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Workbook______________" defaultThemeVersion="202300"/>
  <mc:AlternateContent xmlns:mc="http://schemas.openxmlformats.org/markup-compatibility/2006">
    <mc:Choice Requires="x15">
      <x15ac:absPath xmlns:x15ac="http://schemas.microsoft.com/office/spreadsheetml/2010/11/ac" url="https://d.docs.live.net/2a25a66056d2f040/Desktop/Masters/thesis/DATA/"/>
    </mc:Choice>
  </mc:AlternateContent>
  <xr:revisionPtr revIDLastSave="811" documentId="8_{151FD193-2457-43B2-A0CA-98D9FDEEB2BC}" xr6:coauthVersionLast="47" xr6:coauthVersionMax="47" xr10:uidLastSave="{29A14B4E-542C-4B46-B245-F7FF192E3AB1}"/>
  <bookViews>
    <workbookView xWindow="-110" yWindow="-110" windowWidth="19420" windowHeight="10420" tabRatio="771" activeTab="2" xr2:uid="{B168AAEB-66B0-4CD9-AB11-A1DD487DC677}"/>
  </bookViews>
  <sheets>
    <sheet name="True Labels" sheetId="2" r:id="rId1"/>
    <sheet name="o" sheetId="1" r:id="rId2"/>
    <sheet name="c" sheetId="3" r:id="rId3"/>
    <sheet name="e" sheetId="4" r:id="rId4"/>
    <sheet name="a" sheetId="5" r:id="rId5"/>
    <sheet name="n" sheetId="6" r:id="rId6"/>
  </sheets>
  <definedNames>
    <definedName name="_xlnm._FilterDatabase" localSheetId="5" hidden="1">n!$A$1:$H$182</definedName>
    <definedName name="True_labels">'True Labels'!$A$1:$H$61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1" i="1" l="1" a="1"/>
  <c r="I81" i="1" s="1"/>
  <c r="I32" i="1" a="1"/>
  <c r="I32" i="1" s="1"/>
  <c r="I21" i="1" a="1"/>
  <c r="I21" i="1" s="1"/>
  <c r="I54" i="1" a="1"/>
  <c r="I54" i="1" s="1"/>
  <c r="I23" i="1" a="1"/>
  <c r="I23" i="1" s="1"/>
  <c r="I24" i="1" a="1"/>
  <c r="I24" i="1" s="1"/>
  <c r="I38" i="1" a="1"/>
  <c r="I38" i="1" s="1"/>
  <c r="I41" i="1" a="1"/>
  <c r="I41" i="1" s="1"/>
  <c r="I11" i="1" a="1"/>
  <c r="I11" i="1" s="1"/>
  <c r="I12" i="1" a="1"/>
  <c r="I12" i="1" s="1"/>
  <c r="I15" i="1" a="1"/>
  <c r="I15" i="1" s="1"/>
  <c r="I16" i="1" a="1"/>
  <c r="I16" i="1" s="1"/>
  <c r="I36" i="1" a="1"/>
  <c r="I36" i="1" s="1"/>
  <c r="I4" i="1" a="1"/>
  <c r="I4" i="1" s="1"/>
  <c r="I50" i="1" a="1"/>
  <c r="I50" i="1" s="1"/>
  <c r="I44" i="1" a="1"/>
  <c r="I44" i="1" s="1"/>
  <c r="I45" i="1" a="1"/>
  <c r="I45" i="1" s="1"/>
  <c r="I29" i="1" a="1"/>
  <c r="I29" i="1" s="1"/>
  <c r="I30" i="1" a="1"/>
  <c r="I30" i="1" s="1"/>
  <c r="I17" i="1" a="1"/>
  <c r="I17" i="1" s="1"/>
  <c r="I19" i="1" a="1"/>
  <c r="I19" i="1" s="1"/>
  <c r="I83" i="1" a="1"/>
  <c r="I83" i="1" s="1"/>
  <c r="I61" i="1" a="1"/>
  <c r="I61" i="1" s="1"/>
  <c r="I90" i="1" a="1"/>
  <c r="I90" i="1" s="1"/>
  <c r="I6" i="1" a="1"/>
  <c r="I6" i="1" s="1"/>
  <c r="I7" i="1" a="1"/>
  <c r="I7" i="1" s="1"/>
  <c r="I8" i="1" a="1"/>
  <c r="I8" i="1" s="1"/>
  <c r="I26" i="1" a="1"/>
  <c r="I26" i="1" s="1"/>
  <c r="I68" i="1" a="1"/>
  <c r="I68" i="1" s="1"/>
  <c r="I47" i="1" a="1"/>
  <c r="I47" i="1" s="1"/>
  <c r="I48" i="1" a="1"/>
  <c r="I48" i="1" s="1"/>
  <c r="I49" i="1" a="1"/>
  <c r="I49" i="1" s="1"/>
  <c r="I72" i="1" a="1"/>
  <c r="I72" i="1" s="1"/>
  <c r="I77" i="1" a="1"/>
  <c r="I77" i="1" s="1"/>
  <c r="I92" i="1" a="1"/>
  <c r="I92" i="1" s="1"/>
  <c r="I94" i="1" a="1"/>
  <c r="I94" i="1" s="1"/>
  <c r="I98" i="1" a="1"/>
  <c r="I98" i="1" s="1"/>
  <c r="I100" i="1" a="1"/>
  <c r="I100" i="1" s="1"/>
  <c r="I65" i="1" a="1"/>
  <c r="I65" i="1" s="1"/>
  <c r="I67" i="1" a="1"/>
  <c r="I67" i="1" s="1"/>
  <c r="I57" i="1" a="1"/>
  <c r="I57" i="1" s="1"/>
  <c r="I95" i="1" a="1"/>
  <c r="I95" i="1" s="1"/>
  <c r="I96" i="1" a="1"/>
  <c r="I96" i="1" s="1"/>
  <c r="I101" i="1" a="1"/>
  <c r="I101" i="1" s="1"/>
  <c r="I103" i="1" a="1"/>
  <c r="I103" i="1" s="1"/>
  <c r="I105" i="1" a="1"/>
  <c r="I105" i="1" s="1"/>
  <c r="I106" i="1" a="1"/>
  <c r="I106" i="1" s="1"/>
  <c r="I107" i="1" a="1"/>
  <c r="I107" i="1" s="1"/>
  <c r="I108" i="1" a="1"/>
  <c r="I108" i="1" s="1"/>
  <c r="I109" i="1" a="1"/>
  <c r="I109" i="1" s="1"/>
  <c r="I110" i="1" a="1"/>
  <c r="I110" i="1" s="1"/>
  <c r="I113" i="1" a="1"/>
  <c r="I113" i="1" s="1"/>
  <c r="I114" i="1" a="1"/>
  <c r="I114" i="1" s="1"/>
  <c r="I115" i="1" a="1"/>
  <c r="I115" i="1" s="1"/>
  <c r="I116" i="1" a="1"/>
  <c r="I116" i="1" s="1"/>
  <c r="I117" i="1" a="1"/>
  <c r="I117" i="1" s="1"/>
  <c r="I118" i="1" a="1"/>
  <c r="I118" i="1" s="1"/>
  <c r="I131" i="1" a="1"/>
  <c r="I131" i="1" s="1"/>
  <c r="I132" i="1" a="1"/>
  <c r="I132" i="1" s="1"/>
  <c r="I125" i="1" a="1"/>
  <c r="I125" i="1" s="1"/>
  <c r="I128" i="1" a="1"/>
  <c r="I128" i="1" s="1"/>
  <c r="I129" i="1" a="1"/>
  <c r="I129" i="1" s="1"/>
  <c r="I130" i="1" a="1"/>
  <c r="I130" i="1" s="1"/>
  <c r="I137" i="1" a="1"/>
  <c r="I137" i="1" s="1"/>
  <c r="I138" i="1" a="1"/>
  <c r="I138" i="1" s="1"/>
  <c r="I120" i="1" a="1"/>
  <c r="I120" i="1" s="1"/>
  <c r="I121" i="1" a="1"/>
  <c r="I121" i="1" s="1"/>
  <c r="I140" i="1" a="1"/>
  <c r="I140" i="1" s="1"/>
  <c r="I141" i="1" a="1"/>
  <c r="I141" i="1" s="1"/>
  <c r="I142" i="1" a="1"/>
  <c r="I142" i="1" s="1"/>
  <c r="I135" i="1" a="1"/>
  <c r="I135" i="1" s="1"/>
  <c r="I143" i="1" a="1"/>
  <c r="I143" i="1" s="1"/>
  <c r="I147" i="1" a="1"/>
  <c r="I147" i="1" s="1"/>
  <c r="I148" i="1" a="1"/>
  <c r="I148" i="1" s="1"/>
  <c r="I149" i="1" a="1"/>
  <c r="I149" i="1" s="1"/>
  <c r="I150" i="1" a="1"/>
  <c r="I150" i="1" s="1"/>
  <c r="I151" i="1" a="1"/>
  <c r="I151" i="1" s="1"/>
  <c r="I153" i="1" a="1"/>
  <c r="I153" i="1" s="1"/>
  <c r="I156" i="1" a="1"/>
  <c r="I156" i="1" s="1"/>
  <c r="I157" i="1" a="1"/>
  <c r="I157" i="1" s="1"/>
  <c r="I170" i="1" a="1"/>
  <c r="I170" i="1" s="1"/>
  <c r="I171" i="1" a="1"/>
  <c r="I171" i="1" s="1"/>
  <c r="I162" i="1" a="1"/>
  <c r="I162" i="1" s="1"/>
  <c r="I159" i="1" a="1"/>
  <c r="I159" i="1" s="1"/>
  <c r="I160" i="1" a="1"/>
  <c r="I160" i="1" s="1"/>
  <c r="I168" i="1" a="1"/>
  <c r="I168" i="1" s="1"/>
  <c r="I169" i="1" a="1"/>
  <c r="I169" i="1" s="1"/>
  <c r="I164" i="1" a="1"/>
  <c r="I164" i="1" s="1"/>
  <c r="I165" i="1" a="1"/>
  <c r="I165" i="1" s="1"/>
  <c r="I174" i="1" a="1"/>
  <c r="I174" i="1" s="1"/>
  <c r="I175" i="1" a="1"/>
  <c r="I175" i="1" s="1"/>
  <c r="I177" i="1" a="1"/>
  <c r="I177" i="1" s="1"/>
  <c r="I179" i="1" a="1"/>
  <c r="I179" i="1" s="1"/>
  <c r="I180" i="1" a="1"/>
  <c r="I180" i="1" s="1"/>
  <c r="I181" i="1" a="1"/>
  <c r="I181" i="1" s="1"/>
  <c r="D81" i="6"/>
  <c r="D82" i="6"/>
  <c r="D32" i="6"/>
  <c r="D33" i="6"/>
  <c r="D34" i="6"/>
  <c r="D20" i="6"/>
  <c r="D21" i="6"/>
  <c r="D22" i="6"/>
  <c r="D53" i="6"/>
  <c r="D54" i="6"/>
  <c r="D55" i="6"/>
  <c r="D23" i="6"/>
  <c r="D24" i="6"/>
  <c r="D25" i="6"/>
  <c r="D38" i="6"/>
  <c r="D39" i="6"/>
  <c r="D40" i="6"/>
  <c r="D41" i="6"/>
  <c r="D42" i="6"/>
  <c r="D43" i="6"/>
  <c r="D11" i="6"/>
  <c r="D12" i="6"/>
  <c r="D13" i="6"/>
  <c r="D14" i="6"/>
  <c r="D15" i="6"/>
  <c r="D16" i="6"/>
  <c r="D35" i="6"/>
  <c r="D36" i="6"/>
  <c r="D37" i="6"/>
  <c r="D2" i="6"/>
  <c r="D3" i="6"/>
  <c r="D4" i="6"/>
  <c r="D50" i="6"/>
  <c r="D51" i="6"/>
  <c r="D52" i="6"/>
  <c r="D44" i="6"/>
  <c r="D45" i="6"/>
  <c r="D46" i="6"/>
  <c r="D74" i="6"/>
  <c r="D75" i="6"/>
  <c r="D76" i="6"/>
  <c r="D29" i="6"/>
  <c r="D30" i="6"/>
  <c r="D31" i="6"/>
  <c r="D17" i="6"/>
  <c r="D18" i="6"/>
  <c r="D19" i="6"/>
  <c r="D83" i="6"/>
  <c r="D84" i="6"/>
  <c r="D85" i="6"/>
  <c r="D59" i="6"/>
  <c r="D60" i="6"/>
  <c r="D61" i="6"/>
  <c r="D89" i="6"/>
  <c r="D90" i="6"/>
  <c r="D91" i="6"/>
  <c r="D5" i="6"/>
  <c r="D6" i="6"/>
  <c r="D7" i="6"/>
  <c r="D71" i="6"/>
  <c r="D72" i="6"/>
  <c r="D73" i="6"/>
  <c r="D86" i="6"/>
  <c r="D87" i="6"/>
  <c r="D88" i="6"/>
  <c r="D8" i="6"/>
  <c r="D9" i="6"/>
  <c r="D10" i="6"/>
  <c r="D26" i="6"/>
  <c r="D27" i="6"/>
  <c r="D28" i="6"/>
  <c r="D68" i="6"/>
  <c r="D69" i="6"/>
  <c r="D70" i="6"/>
  <c r="D47" i="6"/>
  <c r="D48" i="6"/>
  <c r="D49" i="6"/>
  <c r="D62" i="6"/>
  <c r="D63" i="6"/>
  <c r="D64" i="6"/>
  <c r="D77" i="6"/>
  <c r="D78" i="6"/>
  <c r="D79" i="6"/>
  <c r="D92" i="6"/>
  <c r="D93" i="6"/>
  <c r="D94" i="6"/>
  <c r="D98" i="6"/>
  <c r="D99" i="6"/>
  <c r="D100" i="6"/>
  <c r="D65" i="6"/>
  <c r="D66" i="6"/>
  <c r="D67" i="6"/>
  <c r="D56" i="6"/>
  <c r="D57" i="6"/>
  <c r="D58" i="6"/>
  <c r="D95" i="6"/>
  <c r="D96" i="6"/>
  <c r="D97" i="6"/>
  <c r="D101" i="6"/>
  <c r="D102" i="6"/>
  <c r="D103" i="6"/>
  <c r="D104" i="6"/>
  <c r="D105" i="6"/>
  <c r="D106" i="6"/>
  <c r="D107" i="6"/>
  <c r="D108" i="6"/>
  <c r="D109" i="6"/>
  <c r="D110" i="6"/>
  <c r="D111" i="6"/>
  <c r="D112" i="6"/>
  <c r="D113" i="6"/>
  <c r="D114" i="6"/>
  <c r="D115" i="6"/>
  <c r="D116" i="6"/>
  <c r="D117" i="6"/>
  <c r="D118" i="6"/>
  <c r="D119" i="6"/>
  <c r="D120" i="6"/>
  <c r="D121" i="6"/>
  <c r="D128" i="6"/>
  <c r="D129" i="6"/>
  <c r="D130" i="6"/>
  <c r="D122" i="6"/>
  <c r="D123" i="6"/>
  <c r="D124" i="6"/>
  <c r="D125" i="6"/>
  <c r="D126" i="6"/>
  <c r="D127" i="6"/>
  <c r="D137" i="6"/>
  <c r="D138" i="6"/>
  <c r="D139" i="6"/>
  <c r="D131" i="6"/>
  <c r="D132" i="6"/>
  <c r="D133" i="6"/>
  <c r="D140" i="6"/>
  <c r="D141" i="6"/>
  <c r="D142" i="6"/>
  <c r="D134" i="6"/>
  <c r="D135" i="6"/>
  <c r="D136" i="6"/>
  <c r="D143" i="6"/>
  <c r="D144" i="6"/>
  <c r="D145" i="6"/>
  <c r="D146" i="6"/>
  <c r="D147" i="6"/>
  <c r="D148" i="6"/>
  <c r="D149" i="6"/>
  <c r="D150" i="6"/>
  <c r="D151" i="6"/>
  <c r="D152" i="6"/>
  <c r="D153" i="6"/>
  <c r="D154" i="6"/>
  <c r="D155" i="6"/>
  <c r="D156" i="6"/>
  <c r="D157" i="6"/>
  <c r="D170" i="6"/>
  <c r="D171" i="6"/>
  <c r="D172" i="6"/>
  <c r="D161" i="6"/>
  <c r="D162" i="6"/>
  <c r="D163" i="6"/>
  <c r="D158" i="6"/>
  <c r="D159" i="6"/>
  <c r="D160" i="6"/>
  <c r="D167" i="6"/>
  <c r="D168" i="6"/>
  <c r="D169" i="6"/>
  <c r="D164" i="6"/>
  <c r="D165" i="6"/>
  <c r="D166" i="6"/>
  <c r="D173" i="6"/>
  <c r="D174" i="6"/>
  <c r="D175" i="6"/>
  <c r="D176" i="6"/>
  <c r="D177" i="6"/>
  <c r="D178" i="6"/>
  <c r="D179" i="6"/>
  <c r="D180" i="6"/>
  <c r="D181" i="6"/>
  <c r="D80" i="6"/>
  <c r="D81" i="5"/>
  <c r="D82" i="5"/>
  <c r="D32" i="5"/>
  <c r="D33" i="5"/>
  <c r="D34" i="5"/>
  <c r="D20" i="5"/>
  <c r="D21" i="5"/>
  <c r="D22" i="5"/>
  <c r="D53" i="5"/>
  <c r="D54" i="5"/>
  <c r="D55" i="5"/>
  <c r="D23" i="5"/>
  <c r="D24" i="5"/>
  <c r="D25" i="5"/>
  <c r="D38" i="5"/>
  <c r="D39" i="5"/>
  <c r="D40" i="5"/>
  <c r="D41" i="5"/>
  <c r="D42" i="5"/>
  <c r="D43" i="5"/>
  <c r="D11" i="5"/>
  <c r="D12" i="5"/>
  <c r="D13" i="5"/>
  <c r="D14" i="5"/>
  <c r="D15" i="5"/>
  <c r="D16" i="5"/>
  <c r="D35" i="5"/>
  <c r="D36" i="5"/>
  <c r="D37" i="5"/>
  <c r="D2" i="5"/>
  <c r="D3" i="5"/>
  <c r="D4" i="5"/>
  <c r="D50" i="5"/>
  <c r="D51" i="5"/>
  <c r="D52" i="5"/>
  <c r="D44" i="5"/>
  <c r="D45" i="5"/>
  <c r="D46" i="5"/>
  <c r="D74" i="5"/>
  <c r="D75" i="5"/>
  <c r="D76" i="5"/>
  <c r="D29" i="5"/>
  <c r="D30" i="5"/>
  <c r="D31" i="5"/>
  <c r="D17" i="5"/>
  <c r="D18" i="5"/>
  <c r="D19" i="5"/>
  <c r="D83" i="5"/>
  <c r="D84" i="5"/>
  <c r="D85" i="5"/>
  <c r="D59" i="5"/>
  <c r="D60" i="5"/>
  <c r="D61" i="5"/>
  <c r="D89" i="5"/>
  <c r="D90" i="5"/>
  <c r="D91" i="5"/>
  <c r="D5" i="5"/>
  <c r="D6" i="5"/>
  <c r="D7" i="5"/>
  <c r="D71" i="5"/>
  <c r="D72" i="5"/>
  <c r="D73" i="5"/>
  <c r="D86" i="5"/>
  <c r="D87" i="5"/>
  <c r="D88" i="5"/>
  <c r="D8" i="5"/>
  <c r="D9" i="5"/>
  <c r="D10" i="5"/>
  <c r="D26" i="5"/>
  <c r="D27" i="5"/>
  <c r="D28" i="5"/>
  <c r="D68" i="5"/>
  <c r="D69" i="5"/>
  <c r="D70" i="5"/>
  <c r="D47" i="5"/>
  <c r="D48" i="5"/>
  <c r="D49" i="5"/>
  <c r="D62" i="5"/>
  <c r="D63" i="5"/>
  <c r="D64" i="5"/>
  <c r="D77" i="5"/>
  <c r="D78" i="5"/>
  <c r="D79" i="5"/>
  <c r="D92" i="5"/>
  <c r="D93" i="5"/>
  <c r="D94" i="5"/>
  <c r="D98" i="5"/>
  <c r="D99" i="5"/>
  <c r="D100" i="5"/>
  <c r="D65" i="5"/>
  <c r="D66" i="5"/>
  <c r="D67" i="5"/>
  <c r="D56" i="5"/>
  <c r="D57" i="5"/>
  <c r="D58" i="5"/>
  <c r="D95" i="5"/>
  <c r="D96" i="5"/>
  <c r="D97" i="5"/>
  <c r="D101" i="5"/>
  <c r="D102" i="5"/>
  <c r="D103" i="5"/>
  <c r="D104" i="5"/>
  <c r="D105" i="5"/>
  <c r="D106" i="5"/>
  <c r="D107" i="5"/>
  <c r="D108" i="5"/>
  <c r="D109" i="5"/>
  <c r="D110" i="5"/>
  <c r="D111" i="5"/>
  <c r="D112" i="5"/>
  <c r="D113" i="5"/>
  <c r="D114" i="5"/>
  <c r="D115" i="5"/>
  <c r="D116" i="5"/>
  <c r="D117" i="5"/>
  <c r="D118" i="5"/>
  <c r="D119" i="5"/>
  <c r="D120" i="5"/>
  <c r="D121" i="5"/>
  <c r="D128" i="5"/>
  <c r="D129" i="5"/>
  <c r="D130" i="5"/>
  <c r="D122" i="5"/>
  <c r="D123" i="5"/>
  <c r="D124" i="5"/>
  <c r="D125" i="5"/>
  <c r="D126" i="5"/>
  <c r="D127" i="5"/>
  <c r="D137" i="5"/>
  <c r="D138" i="5"/>
  <c r="D139" i="5"/>
  <c r="D131" i="5"/>
  <c r="D132" i="5"/>
  <c r="D133" i="5"/>
  <c r="D140" i="5"/>
  <c r="D141" i="5"/>
  <c r="D142" i="5"/>
  <c r="D134" i="5"/>
  <c r="D135" i="5"/>
  <c r="D136" i="5"/>
  <c r="D143" i="5"/>
  <c r="D144" i="5"/>
  <c r="D145" i="5"/>
  <c r="D146" i="5"/>
  <c r="D147" i="5"/>
  <c r="D148" i="5"/>
  <c r="D149" i="5"/>
  <c r="D150" i="5"/>
  <c r="D151" i="5"/>
  <c r="D152" i="5"/>
  <c r="D153" i="5"/>
  <c r="D154" i="5"/>
  <c r="D155" i="5"/>
  <c r="D156" i="5"/>
  <c r="D157" i="5"/>
  <c r="D170" i="5"/>
  <c r="D171" i="5"/>
  <c r="D172" i="5"/>
  <c r="D161" i="5"/>
  <c r="D162" i="5"/>
  <c r="D163" i="5"/>
  <c r="D158" i="5"/>
  <c r="D159" i="5"/>
  <c r="D160" i="5"/>
  <c r="D167" i="5"/>
  <c r="D168" i="5"/>
  <c r="D169" i="5"/>
  <c r="D164" i="5"/>
  <c r="D165" i="5"/>
  <c r="D166" i="5"/>
  <c r="D173" i="5"/>
  <c r="D174" i="5"/>
  <c r="D175" i="5"/>
  <c r="D176" i="5"/>
  <c r="D177" i="5"/>
  <c r="D178" i="5"/>
  <c r="D179" i="5"/>
  <c r="D180" i="5"/>
  <c r="D181" i="5"/>
  <c r="D80" i="5"/>
  <c r="D81" i="4"/>
  <c r="D82" i="4"/>
  <c r="D32" i="4"/>
  <c r="D33" i="4"/>
  <c r="D34" i="4"/>
  <c r="D20" i="4"/>
  <c r="D21" i="4"/>
  <c r="D22" i="4"/>
  <c r="D53" i="4"/>
  <c r="D54" i="4"/>
  <c r="D55" i="4"/>
  <c r="D23" i="4"/>
  <c r="D24" i="4"/>
  <c r="D25" i="4"/>
  <c r="D38" i="4"/>
  <c r="D39" i="4"/>
  <c r="D40" i="4"/>
  <c r="D41" i="4"/>
  <c r="D42" i="4"/>
  <c r="D43" i="4"/>
  <c r="D11" i="4"/>
  <c r="D12" i="4"/>
  <c r="D13" i="4"/>
  <c r="D14" i="4"/>
  <c r="D15" i="4"/>
  <c r="D16" i="4"/>
  <c r="D35" i="4"/>
  <c r="D36" i="4"/>
  <c r="D37" i="4"/>
  <c r="D2" i="4"/>
  <c r="D3" i="4"/>
  <c r="D4" i="4"/>
  <c r="D50" i="4"/>
  <c r="D51" i="4"/>
  <c r="D52" i="4"/>
  <c r="D44" i="4"/>
  <c r="D45" i="4"/>
  <c r="D46" i="4"/>
  <c r="D74" i="4"/>
  <c r="D75" i="4"/>
  <c r="D76" i="4"/>
  <c r="D29" i="4"/>
  <c r="D30" i="4"/>
  <c r="D31" i="4"/>
  <c r="D17" i="4"/>
  <c r="D18" i="4"/>
  <c r="D19" i="4"/>
  <c r="D83" i="4"/>
  <c r="D84" i="4"/>
  <c r="D85" i="4"/>
  <c r="D59" i="4"/>
  <c r="D60" i="4"/>
  <c r="D61" i="4"/>
  <c r="D89" i="4"/>
  <c r="D90" i="4"/>
  <c r="D91" i="4"/>
  <c r="D5" i="4"/>
  <c r="D6" i="4"/>
  <c r="D7" i="4"/>
  <c r="D71" i="4"/>
  <c r="D72" i="4"/>
  <c r="D73" i="4"/>
  <c r="D86" i="4"/>
  <c r="D87" i="4"/>
  <c r="D88" i="4"/>
  <c r="D8" i="4"/>
  <c r="D9" i="4"/>
  <c r="D10" i="4"/>
  <c r="D26" i="4"/>
  <c r="D27" i="4"/>
  <c r="D28" i="4"/>
  <c r="D68" i="4"/>
  <c r="D69" i="4"/>
  <c r="D70" i="4"/>
  <c r="D47" i="4"/>
  <c r="D48" i="4"/>
  <c r="D49" i="4"/>
  <c r="D62" i="4"/>
  <c r="D63" i="4"/>
  <c r="D64" i="4"/>
  <c r="D77" i="4"/>
  <c r="D78" i="4"/>
  <c r="D79" i="4"/>
  <c r="D92" i="4"/>
  <c r="D93" i="4"/>
  <c r="D94" i="4"/>
  <c r="D98" i="4"/>
  <c r="D99" i="4"/>
  <c r="D100" i="4"/>
  <c r="D65" i="4"/>
  <c r="D66" i="4"/>
  <c r="D67" i="4"/>
  <c r="D56" i="4"/>
  <c r="D57" i="4"/>
  <c r="D58" i="4"/>
  <c r="D95" i="4"/>
  <c r="D96" i="4"/>
  <c r="D97" i="4"/>
  <c r="D101" i="4"/>
  <c r="D102" i="4"/>
  <c r="D103" i="4"/>
  <c r="D104" i="4"/>
  <c r="D105" i="4"/>
  <c r="D106" i="4"/>
  <c r="D107" i="4"/>
  <c r="D108" i="4"/>
  <c r="D109" i="4"/>
  <c r="D110" i="4"/>
  <c r="D111" i="4"/>
  <c r="D112" i="4"/>
  <c r="D113" i="4"/>
  <c r="D114" i="4"/>
  <c r="D115" i="4"/>
  <c r="D116" i="4"/>
  <c r="D117" i="4"/>
  <c r="D118" i="4"/>
  <c r="D119" i="4"/>
  <c r="D120" i="4"/>
  <c r="D121" i="4"/>
  <c r="D128" i="4"/>
  <c r="D129" i="4"/>
  <c r="D130" i="4"/>
  <c r="D122" i="4"/>
  <c r="D123" i="4"/>
  <c r="D124" i="4"/>
  <c r="D125" i="4"/>
  <c r="D126" i="4"/>
  <c r="D127" i="4"/>
  <c r="D137" i="4"/>
  <c r="D138" i="4"/>
  <c r="D139" i="4"/>
  <c r="D131" i="4"/>
  <c r="D132" i="4"/>
  <c r="D133" i="4"/>
  <c r="D140" i="4"/>
  <c r="D141" i="4"/>
  <c r="D142" i="4"/>
  <c r="D134" i="4"/>
  <c r="D135" i="4"/>
  <c r="D136" i="4"/>
  <c r="D143" i="4"/>
  <c r="D144" i="4"/>
  <c r="D145" i="4"/>
  <c r="D146" i="4"/>
  <c r="D147" i="4"/>
  <c r="D148" i="4"/>
  <c r="D149" i="4"/>
  <c r="D150" i="4"/>
  <c r="D151" i="4"/>
  <c r="D152" i="4"/>
  <c r="D153" i="4"/>
  <c r="D154" i="4"/>
  <c r="D155" i="4"/>
  <c r="D156" i="4"/>
  <c r="D157" i="4"/>
  <c r="D170" i="4"/>
  <c r="D171" i="4"/>
  <c r="D172" i="4"/>
  <c r="D161" i="4"/>
  <c r="D162" i="4"/>
  <c r="D163" i="4"/>
  <c r="D158" i="4"/>
  <c r="D159" i="4"/>
  <c r="D160" i="4"/>
  <c r="D167" i="4"/>
  <c r="D168" i="4"/>
  <c r="D169" i="4"/>
  <c r="D164" i="4"/>
  <c r="D165" i="4"/>
  <c r="D166" i="4"/>
  <c r="D173" i="4"/>
  <c r="D174" i="4"/>
  <c r="D175" i="4"/>
  <c r="D176" i="4"/>
  <c r="D177" i="4"/>
  <c r="D178" i="4"/>
  <c r="D179" i="4"/>
  <c r="D180" i="4"/>
  <c r="D181" i="4"/>
  <c r="D80"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<sst xmlns="http://schemas.openxmlformats.org/spreadsheetml/2006/main" count="5871" uniqueCount="1925">
  <si>
    <t>High</t>
  </si>
  <si>
    <t>Moderate</t>
  </si>
  <si>
    <t xml:space="preserve">They were willing to ask for somebody's number which takes a level of bravery and also do so by throwing popcorn at a stranger which could be seen as audacious </t>
  </si>
  <si>
    <t xml:space="preserve">the person seems very outgoing and I just feel like they are a yes type of person in general so I feel like if I proposed something new to this person they'd be open to it </t>
  </si>
  <si>
    <t>cheating on their husband, has started texting romantically with a stranger that they think is cute despite having kids and being married</t>
  </si>
  <si>
    <t>Low</t>
  </si>
  <si>
    <t>Although they expressed how much of a good time they had with their friends their post also indicates they went somewhere they're very familiar with, with people they're familiar with</t>
  </si>
  <si>
    <t xml:space="preserve">Didn't strike me as particularly open minded or particularly close minded, They seem like quite an average person, intelligent, but not uncommonly open to new experiences or very innovative or creative </t>
  </si>
  <si>
    <t>The first post in particular expresses a familiarness with the individuals but that perhaps something new was trialled in the form of the cooking or the meal prepared</t>
  </si>
  <si>
    <t>the participant does not describe any particularly novel experiences in these posts, so it is hard to judge one way or another</t>
  </si>
  <si>
    <t>Although the gathering was pre-planned and with familiar faces it appears they hadn't seen these individuals for some time</t>
  </si>
  <si>
    <t>goes on about work on their partner's birthday, which is rather weird, I can't imagine this person being extremely open</t>
  </si>
  <si>
    <t>the participant seems to describe an event where she met up with some people that she had not seen in a while</t>
  </si>
  <si>
    <t>In both posts they've expressed a positive desire to make more new positive memories with friends and their partner</t>
  </si>
  <si>
    <t xml:space="preserve">Just because these posts are a lot less cringe than the previous and this person sounds quite articulate I imagine them being more intelligent and i associate that with openness </t>
  </si>
  <si>
    <t>the participant describes how they have recently spent time catching up with old friends, which is not something they have done in a while</t>
  </si>
  <si>
    <t xml:space="preserve">I have nothing to make me assume high or low so most ppl will be average on this trait I think, including this person </t>
  </si>
  <si>
    <t>the participant describes spending time with some old friends recently, suggesting that this is something not done in many years</t>
  </si>
  <si>
    <t>Both posts expressed positive hopes for the future but with individuals they have strong relationships with already</t>
  </si>
  <si>
    <t>the participant does not state if any of the described experiences are new or if they have any planned, so it is difficult to judge this</t>
  </si>
  <si>
    <t>Clear expression to make the recent social gathering a regular occurrence as well as an acceptance of change in the form of old age</t>
  </si>
  <si>
    <t xml:space="preserve">Seems to have initiative so I can imagine them saying yes to things and being very open in general, doesn't seem closed minded </t>
  </si>
  <si>
    <t>the participant writes about how they have recently engaged with a new experience of catching up with old friends</t>
  </si>
  <si>
    <t>Displays a desire and hopefulness for more positive experiences with individuals mentioned in both posts</t>
  </si>
  <si>
    <t xml:space="preserve">seems intelligent considerate and empathetic so for some reason I assume openess, an interesting person </t>
  </si>
  <si>
    <t>the participant writes about meeting up with acquaintances or friends for the first time in a long period</t>
  </si>
  <si>
    <t>Has expressed a desire to meet up with people again in the first post and is even willing to go on the karaoke in front of everyone even if they are nervous</t>
  </si>
  <si>
    <t xml:space="preserve">they seem not to be very reflective so I feel like they could be an impulsive person doing thigs on a whim and likely to say yes to anything </t>
  </si>
  <si>
    <t>the participant writes in the first post about going to a reunion with people that they have not seen in a long time</t>
  </si>
  <si>
    <t>reason</t>
  </si>
  <si>
    <t>code</t>
  </si>
  <si>
    <t>O1A</t>
  </si>
  <si>
    <t>O1B</t>
  </si>
  <si>
    <t>O1C</t>
  </si>
  <si>
    <t>O2A</t>
  </si>
  <si>
    <t>O2B</t>
  </si>
  <si>
    <t>O2C</t>
  </si>
  <si>
    <t>O3A</t>
  </si>
  <si>
    <t>O3B</t>
  </si>
  <si>
    <t>O3C</t>
  </si>
  <si>
    <t>O4A</t>
  </si>
  <si>
    <t>O4B</t>
  </si>
  <si>
    <t>O4C</t>
  </si>
  <si>
    <t>O5A</t>
  </si>
  <si>
    <t>O5B</t>
  </si>
  <si>
    <t>O5C</t>
  </si>
  <si>
    <t>O6A</t>
  </si>
  <si>
    <t>O6B</t>
  </si>
  <si>
    <t>O6C</t>
  </si>
  <si>
    <t>O7A</t>
  </si>
  <si>
    <t>O7B</t>
  </si>
  <si>
    <t>O7C</t>
  </si>
  <si>
    <t>O8A</t>
  </si>
  <si>
    <t>O8B</t>
  </si>
  <si>
    <t>O8C</t>
  </si>
  <si>
    <t>O9A</t>
  </si>
  <si>
    <t>O9B</t>
  </si>
  <si>
    <t>O9C</t>
  </si>
  <si>
    <t>O10A</t>
  </si>
  <si>
    <t>O10B</t>
  </si>
  <si>
    <t>O10C</t>
  </si>
  <si>
    <t>participant describes going on a night out with friends and plans to surprise husband for his birthday</t>
  </si>
  <si>
    <t>score</t>
  </si>
  <si>
    <t>true rating</t>
  </si>
  <si>
    <t>psych rating</t>
  </si>
  <si>
    <t xml:space="preserve">doesn't strike me as particularly open, seems ot make an effort to describe a very conventional dinner in what seems a rather pompous way </t>
  </si>
  <si>
    <t>Although planned tbey were unfamiliar with the individuals and have recommended others try this experience also</t>
  </si>
  <si>
    <t xml:space="preserve">There is nothing to suggest that they are particularly interested in new experiences, but based on their energy and style I would think they are. </t>
  </si>
  <si>
    <t>O11A</t>
  </si>
  <si>
    <t>O11B</t>
  </si>
  <si>
    <t>low</t>
  </si>
  <si>
    <t xml:space="preserve">The lack of capitalization makes me think this person, poor spelling and lack of punctuation makes me think this person gets carried away in life, including with new experiences. </t>
  </si>
  <si>
    <t>O11C</t>
  </si>
  <si>
    <t>The fact they are making the effort, despite possible logistical barriers to plan a surprise party suggests they are keen to have new exciting experiences.</t>
  </si>
  <si>
    <t>O12A</t>
  </si>
  <si>
    <t>They talk about the school friend reunion which they have been doing for 30 years, so they may be someone who appreciates habit and routine. They were eager to throw a surprise party for their partner, which is suggestive that they enjoy a level of spontaneity, even though the party is not for them.</t>
  </si>
  <si>
    <t>O12B</t>
  </si>
  <si>
    <t>This person seems refined and as if they know what they like doing. I came to this conclusion as the language choices are much more sophisticated e.g. 'wishing you...'. beginning a sentence with a verb rather than a pronoun indicates the person thinks before they write and therefore think before considering new things.</t>
  </si>
  <si>
    <t>O12C</t>
  </si>
  <si>
    <t>They are specifically speaking about the experiences they want to do and have been doing. Whale watching is a pretty unique experience.</t>
  </si>
  <si>
    <t>O13A</t>
  </si>
  <si>
    <t>The writing style is very short and snappy, and they seem to name drop new experiences like whale watching very casually. I think this person likes variety and spontaneity.</t>
  </si>
  <si>
    <t>O13B</t>
  </si>
  <si>
    <t>The lerson seems open to new experiences, especially in the first post, where they mention various fun activities like dancing, playing air hockey, and going to the zoo. These indicate a willingness to try different things. However, the second post is more focused on faith and love, suggesting that while the person is open to experiences, they may not seek them out as often as someone not actively connected to a religious way of life would.</t>
  </si>
  <si>
    <t>O13C</t>
  </si>
  <si>
    <t>The things that they enjoy doing and talked about there are standard things such as eating out, and smoking. Not as unique experiences as whale watching and what other people have done.</t>
  </si>
  <si>
    <t>O14A</t>
  </si>
  <si>
    <t>O14B</t>
  </si>
  <si>
    <t xml:space="preserve">Ran out of time ran out of time ran out of time Ran out of time ran out of time ran out of time Ran out of time ran out of time ran out of time </t>
  </si>
  <si>
    <t>O14C</t>
  </si>
  <si>
    <t>They specifically talked about the type of fun things they get up to, in this case, mini golf and bowling.</t>
  </si>
  <si>
    <t>O15A</t>
  </si>
  <si>
    <t>They reference a few activities in the first post, which although they were not good at they still enjoyed trying.</t>
  </si>
  <si>
    <t>O15B</t>
  </si>
  <si>
    <t>O15C</t>
  </si>
  <si>
    <t xml:space="preserve">They made sure they had a good experience by seeing lots of different types of animals and they really enjoyed it </t>
  </si>
  <si>
    <t>O16A</t>
  </si>
  <si>
    <t>They sound excited to try things and to socialise/ celebrate with close ones, excited for surprises and trying things out</t>
  </si>
  <si>
    <t>O16B</t>
  </si>
  <si>
    <t>The tone used in the text just makes it seem like the individual enjoys engaging in activities, meeting up with friends, and just having fun in general.</t>
  </si>
  <si>
    <t>O16C</t>
  </si>
  <si>
    <t>The use of the word "wild" suggests that they really enjoy exciting experiences and know how to party.</t>
  </si>
  <si>
    <t>O17A</t>
  </si>
  <si>
    <t>Seemed excited to celebrate and party with friends and close ones but not enough information to decide. Particularly in text 1 seemed excited to party in a venue with friends</t>
  </si>
  <si>
    <t>O17B</t>
  </si>
  <si>
    <t>The person went out with their childhood friend and did activities that may not align with their age, which is referenced through the dancning. But i chose moderate because the reference in the second post where they talk about keeping the party low-key shows that they like familiarity rather than doing something wild.</t>
  </si>
  <si>
    <t>O17C</t>
  </si>
  <si>
    <t>They seem to stick to dancing as they still like dancing and not true disco style. They still seem fun but I would have voted high if they done something else that's not as traditional.</t>
  </si>
  <si>
    <t>O18A</t>
  </si>
  <si>
    <t>O18B</t>
  </si>
  <si>
    <t xml:space="preserve">in the first post, the person expressed that they were happy with attending the school reunion and expressed that they shouldn't wait this long before next time. This shows that he is open to new experiences and looks forward to enjoying activiites in the future. </t>
  </si>
  <si>
    <t>O18C</t>
  </si>
  <si>
    <t>It is not clear evidence based on these social media posts that they are open to new experiences or not..</t>
  </si>
  <si>
    <t>O19A</t>
  </si>
  <si>
    <t>O19B</t>
  </si>
  <si>
    <t xml:space="preserve">The person expresses time management difficulties evident in adulthood, making it sound like it is challenging to open up to new experiences with friends, even though they might want to. </t>
  </si>
  <si>
    <t>O19C</t>
  </si>
  <si>
    <t>It is not clear what sort of experiences they do and enjoy so it is hard to tell. They do seem very loving.</t>
  </si>
  <si>
    <t>O20A</t>
  </si>
  <si>
    <t>There was no information ti suggest they are open to new experiences, excited about doing fun stuff new hobbies etc</t>
  </si>
  <si>
    <t>O20B</t>
  </si>
  <si>
    <t>They liked meeting up with old friends with suggests they are open to social gatherings and doing things. They also talk about going through a jounrey, which suggests they might have a lot of life experience.</t>
  </si>
  <si>
    <t>O20C</t>
  </si>
  <si>
    <t xml:space="preserve">They enjoy doing fun things but hard to tell if these can be classed as new experiences or not. They still seem fun. </t>
  </si>
  <si>
    <t>O21A</t>
  </si>
  <si>
    <t>Sounded like they really enjoyed their catch up with friends and the experience of the activity, they also seemed excited to do things with their wife</t>
  </si>
  <si>
    <t>O21B</t>
  </si>
  <si>
    <t>The person likes to spend time with friends and is also to make this an event that happens often. Also eager to try new things like food.</t>
  </si>
  <si>
    <t>O21C</t>
  </si>
  <si>
    <t xml:space="preserve">The way this person speaks suggests they are quite monotone and gives me the vibes that they prefer having a routine </t>
  </si>
  <si>
    <t>O22A</t>
  </si>
  <si>
    <t>Seemed excited to catch up either friends and for the celebration of their partner, going out and doing things on the day</t>
  </si>
  <si>
    <t>O22B</t>
  </si>
  <si>
    <t xml:space="preserve">Talks about different routes taken, which reflects different experiences in life. Also looking forward to go out for birthday, suggesting he like to try new things. </t>
  </si>
  <si>
    <t>O22C</t>
  </si>
  <si>
    <t xml:space="preserve">Their energy seems very positive and people who are very fun despite being at different stages of their lives now </t>
  </si>
  <si>
    <t>O23A</t>
  </si>
  <si>
    <t xml:space="preserve">They seemed excited to do things with their friends and with their partner and have new experiences </t>
  </si>
  <si>
    <t>O23B</t>
  </si>
  <si>
    <t xml:space="preserve">In the middle because the person mostly likes being in environments that they are familiar with. This is evident as she likes how their kids life is mirroring her childhood. </t>
  </si>
  <si>
    <t>O23C</t>
  </si>
  <si>
    <t>They used the word adventure which suggests they do lots of different things and would have lots of nice stories.</t>
  </si>
  <si>
    <t>O24A</t>
  </si>
  <si>
    <t>They seemed to like doing activities woth friends and open to experiences and adventures with their partner</t>
  </si>
  <si>
    <t>O24B</t>
  </si>
  <si>
    <t xml:space="preserve">Excited about making more meories with friends which suggests she is open to making more experiences, and use of explanation make suggesting she is eager. </t>
  </si>
  <si>
    <t>O24C</t>
  </si>
  <si>
    <t>Again this person seems like they may be challenging to deal with based on the language used which suggests they have mental health difficulties.</t>
  </si>
  <si>
    <t>O25A</t>
  </si>
  <si>
    <t xml:space="preserve">Some information they enjoyed catching up either friends and doing activities with their partner etc </t>
  </si>
  <si>
    <t>O25B</t>
  </si>
  <si>
    <t xml:space="preserve">Reminises about how past friendships where important so lots of relfection on the past. But there is also a little excitement about planning for their partne'rs birthday. </t>
  </si>
  <si>
    <t>O25C</t>
  </si>
  <si>
    <t>The language used suggests they are extremely fun and like doing new experiences. I'd like to hang out with them.</t>
  </si>
  <si>
    <t>O26A</t>
  </si>
  <si>
    <t>No informationto suggest they liked adventures or doing/ trying new activities or being open to exciting stuff</t>
  </si>
  <si>
    <t>O26B</t>
  </si>
  <si>
    <t xml:space="preserve">Repeated use of loved in the first post frflects how she loved the social gathering and is also willing to make this a regular thing. </t>
  </si>
  <si>
    <t>O26C</t>
  </si>
  <si>
    <t>Their use of language is pretty hard to read. They seem quite confusing and I can't work them out. Interesting character.</t>
  </si>
  <si>
    <t>O27A</t>
  </si>
  <si>
    <t>No information to suggest this he only talks about self serving acts  he doesnt seem like someone who is open to new activities he seems very close minded</t>
  </si>
  <si>
    <t>O27B</t>
  </si>
  <si>
    <t xml:space="preserve">Lots of refleciton on the past and has noticed how others have changed. This observations hows that they are open to noticing how people change throughout time, but the language is neutral, so not a lot of enthusiasm. </t>
  </si>
  <si>
    <t>O27C</t>
  </si>
  <si>
    <t>They are openly talking about bucket list and new experiences despite being on the older side. No doubt that this is high.</t>
  </si>
  <si>
    <t>O28A</t>
  </si>
  <si>
    <t>Seems to have enjoyed meeting their friends and seems to be excited to go on adventures with their partner</t>
  </si>
  <si>
    <t>O28B</t>
  </si>
  <si>
    <t xml:space="preserve">Very notstalgic tone created, suggesting the person kind of likes to live in the past, but reference to midlife crisis and bucket lif eindicate some openess. </t>
  </si>
  <si>
    <t>O28C</t>
  </si>
  <si>
    <t>They are keen to continue having fun despite the aging process . It is very positive and inspiring which is good to see.</t>
  </si>
  <si>
    <t>O29A</t>
  </si>
  <si>
    <t>Seema to enjoy meeting up with frienda and to be open to adventures and new experiences with family and their husband</t>
  </si>
  <si>
    <t>O29B</t>
  </si>
  <si>
    <t xml:space="preserve">Likes the familiarty of meeting up with friends, so they like routines. This suggests they prefer regular activities rather than seeking new experiences. </t>
  </si>
  <si>
    <t>O29C</t>
  </si>
  <si>
    <t xml:space="preserve">Their use of language and emojis suggests they are very fun and would enjoy doing new random things. </t>
  </si>
  <si>
    <t>O30A</t>
  </si>
  <si>
    <t>Someone who really enjoys spending time with friends, going on adventures and celebrating with husband and special ones</t>
  </si>
  <si>
    <t>O30B</t>
  </si>
  <si>
    <t xml:space="preserve">Very ethusastic to do activities with friends. The enthusiasm is reflected by the use of emojis and punctuation, suggesting this person really enjoys new experiences. </t>
  </si>
  <si>
    <t>O30C</t>
  </si>
  <si>
    <t>They are spiritual and proud of their friends for growing and changing suggesting they are a very open to new experiences</t>
  </si>
  <si>
    <t>O31A</t>
  </si>
  <si>
    <t>The way they speak is not the most exciting so although they do seem fun I have voted moderate. There is a lack of enthusiasm.</t>
  </si>
  <si>
    <t>O31B</t>
  </si>
  <si>
    <t xml:space="preserve">I chose this rating because of the participants reference to spirituality, suggesting they are someone who is open-minded. They also were happy to meet up with anyone that was available for this meet-up, some of which could ne new people so also suggests they are open to new experiences. </t>
  </si>
  <si>
    <t>O31C</t>
  </si>
  <si>
    <t>There is nothing to suggest that this person is or is not open to new experiences she doesn't say anything which makes her seem open or closed</t>
  </si>
  <si>
    <t>O32A</t>
  </si>
  <si>
    <t>The  use of words such as crazy suggest they are very fun and really enjoying new fun experiences in their free time.</t>
  </si>
  <si>
    <t>O32B</t>
  </si>
  <si>
    <t>The "crazy ride down memory lane" suggests that they have done lots of new and exciting things together in the past. suggesting that this is part of their personality.</t>
  </si>
  <si>
    <t>O32C</t>
  </si>
  <si>
    <t xml:space="preserve">This person offered to go for a drink with anyone so it seems they are very open to new experiences </t>
  </si>
  <si>
    <t>O33A</t>
  </si>
  <si>
    <t>They seem like pretty basic average people who just like drinking. nothing to suggest they would enjoy something more fun and innovative.</t>
  </si>
  <si>
    <t>O33B</t>
  </si>
  <si>
    <t>It doesn't sound like they've done lots of new things in the posts, it sounds like their life has sort of remained the same and they've done the usual things expected of them (like not much has changed in the past decade etc.)</t>
  </si>
  <si>
    <t>O33C</t>
  </si>
  <si>
    <t>The person has met up with their friends years later and has still done the same activities that they used to do when they were young. It was also a very common activity</t>
  </si>
  <si>
    <t>O34A</t>
  </si>
  <si>
    <t xml:space="preserve">Again this person seems a lot less educated and a typical person who just likes drinking, a lifestyle I do not agree with. </t>
  </si>
  <si>
    <t>O34B</t>
  </si>
  <si>
    <t>Drinking underage and the "highs and the lows" throughout the twenties suggests that they don't take life too seriously and play by the rules - their life is more of a roller coaster.</t>
  </si>
  <si>
    <t>O34C</t>
  </si>
  <si>
    <t>was willing to change plans (but only after a few drinks) evidenced by hopping over to the show, doesn't seem to be the one to suggest acitivities and experiences but will go along with what others want to do</t>
  </si>
  <si>
    <t>O35A</t>
  </si>
  <si>
    <t xml:space="preserve">This person has a good sense of humour and I liked that they tried something different ie watching a live show. </t>
  </si>
  <si>
    <t>O35B</t>
  </si>
  <si>
    <t>"Jumping" over the road and doing a spontaneous thing such as watching a show ad drinking alcohol, shows that they are willing to go with the flow and see where life takes them.</t>
  </si>
  <si>
    <t>O35C</t>
  </si>
  <si>
    <t>Mentions the soul and therapy so probably open to different experiences also sounds non judgmental and like someone who you could talk to about anything</t>
  </si>
  <si>
    <t>O36A</t>
  </si>
  <si>
    <t>Their positive use of language suggests they would be someone who is very open minded and sophisticated so keen to try new things.</t>
  </si>
  <si>
    <t>O36B</t>
  </si>
  <si>
    <t>"Ridiculous behaviour" seems that they aren't sensible and won't always do things by the book - especially with reference to the memories and because she elicits positive emotions, it sounds like she has done lots of fun things with her life.</t>
  </si>
  <si>
    <t>O36C</t>
  </si>
  <si>
    <t>This person seems open to new experiences because they moved abroad at some point which is a scary new experience</t>
  </si>
  <si>
    <t>O37A</t>
  </si>
  <si>
    <t xml:space="preserve">This person seems to be a pretty basic person overall based on the language they have used. No enthusiasm. </t>
  </si>
  <si>
    <t>O37B</t>
  </si>
  <si>
    <t>It sounds like they have had new experiences with romantic and platonic friendships, as they mentioned "so many things happened" - however, they aren't specific or relate much emotion to this either.</t>
  </si>
  <si>
    <t>O37C</t>
  </si>
  <si>
    <t>They sound like they have tried lots of new things and are especially open as they continued to try new things even though some of them failed</t>
  </si>
  <si>
    <t>O38A</t>
  </si>
  <si>
    <t>Again, the monotone language suggests they may be pretty basic and dull. I cannot say for certain but they do not strike me as the most open minded person.</t>
  </si>
  <si>
    <t>O38B</t>
  </si>
  <si>
    <t>There is no reference to any good memories or new experiences, only a reference to failing, so this contradicts being an open person</t>
  </si>
  <si>
    <t>O38C</t>
  </si>
  <si>
    <t xml:space="preserve">this person references 'wild adventures' which suggests that they are open to new experiences and having fun </t>
  </si>
  <si>
    <t>O39A</t>
  </si>
  <si>
    <t>The use of language suggests they are a very fun person and the type that would enjoy fun things. they seem like they would be fun.</t>
  </si>
  <si>
    <t>O39B</t>
  </si>
  <si>
    <t>Reference to "wild stories" and "inside jokes" and "silly stories" suggests they have have done lots of new experiences in their life</t>
  </si>
  <si>
    <t>O39C</t>
  </si>
  <si>
    <t>There is nothing in this persons writing which suggests that they are open or closed though due to not checking the post I would guess they are probably not a rigid person</t>
  </si>
  <si>
    <t>O40A</t>
  </si>
  <si>
    <t>This person's language suggests they are a very basic human being but I could be wrong. They also mention success so I have gone for the middle option..</t>
  </si>
  <si>
    <t>O40B</t>
  </si>
  <si>
    <t>This person references growing, which suggests new experiences, but it doesn't seem that they embrace them fully although references having fun.</t>
  </si>
  <si>
    <t>O40C</t>
  </si>
  <si>
    <t>All of the activities this person mentioned involved going to eat at restaurants suggesting this person does the same things over and over again, also they did all the things they used to do when meeting up with their friends</t>
  </si>
  <si>
    <t>O41A</t>
  </si>
  <si>
    <t>I assocate people who play minecraft as very anti social and possibly autistic or neurodiverse so this person seems like someone who would be "plain".</t>
  </si>
  <si>
    <t>O41B</t>
  </si>
  <si>
    <t>It seems that this person has done lots of things, as the reference this, but all these things seem quite standard</t>
  </si>
  <si>
    <t>O41C</t>
  </si>
  <si>
    <t>references to partying and adventures and lots of memories so it is likely that this person likes to try new things</t>
  </si>
  <si>
    <t>O42A</t>
  </si>
  <si>
    <t xml:space="preserve">Again the relatively plain language suggests they are more middle of the range rather than any extreme. </t>
  </si>
  <si>
    <t>O42B</t>
  </si>
  <si>
    <t>Because this person references 35 years and "fond memories" it makes me think that they have done a lot with their life, and therefore have experiences new things.</t>
  </si>
  <si>
    <t>O42C</t>
  </si>
  <si>
    <t xml:space="preserve">this person says they prefers to reminisce on old memories rather than make new ones by trying new things </t>
  </si>
  <si>
    <t>O43A</t>
  </si>
  <si>
    <t>They talk about making memories and focus on this so I feel they have done a lot of exciiting activities.</t>
  </si>
  <si>
    <t>O43B</t>
  </si>
  <si>
    <t>This person references funny memories which makes it seem that they've been open to experiences that might be out of the normal and "new". "all those memories" also makes it feel like they've done a lot with their life so far in terms of socialising</t>
  </si>
  <si>
    <t>O43C</t>
  </si>
  <si>
    <t>sounds like they still hang around with all of the same people they were friends with at school so are unlikely to have made new friends through new experiences</t>
  </si>
  <si>
    <t>O44A</t>
  </si>
  <si>
    <t>They met their partner online whch suggests they are wllng to adapt and try new things. Hence I have voted high.</t>
  </si>
  <si>
    <t>O44B</t>
  </si>
  <si>
    <t>Talking about nostalgia and making new memories suggests that they are up for a good time and perhaps open to new experiences</t>
  </si>
  <si>
    <t>O44C</t>
  </si>
  <si>
    <t>This person has only known their partner for a couple of years suggesting they meet new people possibly through experiencing new things</t>
  </si>
  <si>
    <t>O45A</t>
  </si>
  <si>
    <t xml:space="preserve">Does not care much about socialising if he does not even remember friends. He seems pretty boring and basic. </t>
  </si>
  <si>
    <t>O45B</t>
  </si>
  <si>
    <t>This person talks about meeting their friends very generally and it doesn't seem like they've done anything new, but references "good moments" with their partner</t>
  </si>
  <si>
    <t>O45C</t>
  </si>
  <si>
    <t>I love the amount of detail they have put in. It seems very engaging and entertaining, including details about the type of food explaining the experiences.</t>
  </si>
  <si>
    <t>O46A</t>
  </si>
  <si>
    <t>O46B</t>
  </si>
  <si>
    <t xml:space="preserve">They talk about vibes and things being special, which shows somewhat living in the moment. The first post presented them as quite spur of the moment and spontaneous. The second post seemed to imply lots of life experiences with their wife. </t>
  </si>
  <si>
    <t>O46C</t>
  </si>
  <si>
    <t>Their text and style suggests it is not something that comes particularly natural to them. They enjoy fun but not that much compared to others.</t>
  </si>
  <si>
    <t>O47A</t>
  </si>
  <si>
    <t xml:space="preserve">Told their significant other to avoid trouble and did not attend their special event also did not mention doing anything new with friends </t>
  </si>
  <si>
    <t>O47B</t>
  </si>
  <si>
    <t>The first post seems to portray some aspect of openness as they attended the event, but the second post seems to imply some avoidance maybe?</t>
  </si>
  <si>
    <t>O47C</t>
  </si>
  <si>
    <t>Again their use o flanguage and enthusiasm suggests they are very keen to new experiences and having lots of fun and making memories</t>
  </si>
  <si>
    <t>O48A</t>
  </si>
  <si>
    <t>They stated in the first post that they were up for a lot of different activities but then they stated that they had done them all before, this person is probably averagely open to experiences</t>
  </si>
  <si>
    <t>O48B</t>
  </si>
  <si>
    <t>O48C</t>
  </si>
  <si>
    <t>Their use of language suggests someone who is very formal and serious. They may like sticking to a routine.</t>
  </si>
  <si>
    <t>O49A</t>
  </si>
  <si>
    <t>O49B</t>
  </si>
  <si>
    <t>O49C</t>
  </si>
  <si>
    <t>They seem very fun. The age of their partner suggests they are old themselves but they are still so fun at an old age. Unless the person is much much younger but they are at least 50.</t>
  </si>
  <si>
    <t>O50A</t>
  </si>
  <si>
    <t xml:space="preserve">This person states that they moved away from the place where they grew up which shows that they are open to experiences </t>
  </si>
  <si>
    <t>O50B</t>
  </si>
  <si>
    <t>O50C</t>
  </si>
  <si>
    <t>They were organised enough to plan a reunion after many years suggest they enjoy these sorts of events and parties.</t>
  </si>
  <si>
    <t>O51A</t>
  </si>
  <si>
    <t xml:space="preserve">This person chose to spend their time thinking about things they have already done in the past rather than planning events for the future </t>
  </si>
  <si>
    <t>O51B</t>
  </si>
  <si>
    <t xml:space="preserve">They talked about looking forward to adventures and amazing memories, implying they like doing new things and experiences. </t>
  </si>
  <si>
    <t>O51C</t>
  </si>
  <si>
    <t>This persons seem a little plain and "vanilla" based on the language that they have used. They do not seem natural.</t>
  </si>
  <si>
    <t>O52A</t>
  </si>
  <si>
    <t xml:space="preserve">This person is definitely open to new experiences as they have stated that they moved away from the place they grew up </t>
  </si>
  <si>
    <t>O52B</t>
  </si>
  <si>
    <t xml:space="preserve">They seem to express lots of positivity and happiness at their experiences but does not portray doing anything else or aiming toward anything. </t>
  </si>
  <si>
    <t>O52C</t>
  </si>
  <si>
    <t>Their level of language suggests they are very well written and educated. There is a lot of detail so I feel this type of person will be very open minded. Clearly very good at Literature.</t>
  </si>
  <si>
    <t>O53A</t>
  </si>
  <si>
    <t xml:space="preserve">This person seems to prefer reminiscing on old times to having new experiences and making new memories </t>
  </si>
  <si>
    <t>O53B</t>
  </si>
  <si>
    <t>O53C</t>
  </si>
  <si>
    <t xml:space="preserve">Again this person seems very plain and vanilla. They make jokes about wrinkles and grey hairs but otherwise do not have much of a personality. </t>
  </si>
  <si>
    <t>O54A</t>
  </si>
  <si>
    <t>O54B</t>
  </si>
  <si>
    <t>They seem to take the event in their stride and sound experiences in life given their age and relationship.</t>
  </si>
  <si>
    <t>O54C</t>
  </si>
  <si>
    <t xml:space="preserve">again, similar to the last person, they seem a little bit vanilla but without the dry sense of humour. </t>
  </si>
  <si>
    <t>O55A</t>
  </si>
  <si>
    <t xml:space="preserve">Has done lots of new things within the year - new job new pet etc so open to new experiences and making new memories </t>
  </si>
  <si>
    <t>O55B</t>
  </si>
  <si>
    <t xml:space="preserve">They describe lots of fun aspects in the posts, such as fancy dress and dinner at Sky Garden.        </t>
  </si>
  <si>
    <t>O55C</t>
  </si>
  <si>
    <t>They seem to just enjoy typical standard behaviour even at an older age as they are just getting drunk rather than trying more out of the box things.</t>
  </si>
  <si>
    <t>O56A</t>
  </si>
  <si>
    <t xml:space="preserve">This person has referenced multiple activities in both posts which means they have tried lots of things so are likely to want to try more </t>
  </si>
  <si>
    <t>O56B</t>
  </si>
  <si>
    <t xml:space="preserve">They seem pretty care free and up for a good time, such as talking about the alcohol they consumed. They seem to just take things as they come. </t>
  </si>
  <si>
    <t>O56C</t>
  </si>
  <si>
    <t>The ideas they have in mind for their partner are very thrill seeking and out of the norm so it is an obvious vote.</t>
  </si>
  <si>
    <t>O57A</t>
  </si>
  <si>
    <t xml:space="preserve">This person made a joke about doing some very adventurous activities suggesting they like trying new and wild things </t>
  </si>
  <si>
    <t>O57B</t>
  </si>
  <si>
    <t xml:space="preserve">The first post gives low openness, implying lots of anxiety and needed for certainty, but the question in the second post implies some adventure </t>
  </si>
  <si>
    <t>O57C</t>
  </si>
  <si>
    <t xml:space="preserve">Person seems relatively plain as they made a reference to just drinking wine, I assume someone is boring if that is what they enjoy. </t>
  </si>
  <si>
    <t>O58A</t>
  </si>
  <si>
    <t xml:space="preserve">This person references crime which suggests that they like to go on adventures they also mention going away to London which is possibly a new place </t>
  </si>
  <si>
    <t>O58B</t>
  </si>
  <si>
    <t xml:space="preserve">They spoke about getting drinks and dinner and spending time away in London in the second post.     </t>
  </si>
  <si>
    <t>O58C</t>
  </si>
  <si>
    <t>There is nothing to suggest they are less or more open. They do have a pretty good sense of humour so it would not surprise me if they were more open but cannot confidently say that.</t>
  </si>
  <si>
    <t>O59A</t>
  </si>
  <si>
    <t xml:space="preserve">This person talks about reminiscing on the past rather than about what they are doing in the present or will do in the future </t>
  </si>
  <si>
    <t>O59B</t>
  </si>
  <si>
    <t>They seemed comfortable meeting with friends but perhaps implied this was new and not a Frequent occurrence.</t>
  </si>
  <si>
    <t>O59C</t>
  </si>
  <si>
    <t>The monotone language suggests they are very bland and possibly autistic. They tend to be very rigid and risk averse.</t>
  </si>
  <si>
    <t>O60A</t>
  </si>
  <si>
    <t xml:space="preserve">This person references going to their favourite restaurant again which suggests that they prefer to do the same things over and over again they also reference not liking that the world has changed </t>
  </si>
  <si>
    <t>O60B</t>
  </si>
  <si>
    <t xml:space="preserve">They talked about the world changing too much which implies difficult with change and new experiences.   </t>
  </si>
  <si>
    <t>O60C</t>
  </si>
  <si>
    <t>p</t>
  </si>
  <si>
    <t>post1</t>
  </si>
  <si>
    <t>post2</t>
  </si>
  <si>
    <t>O</t>
  </si>
  <si>
    <t>C</t>
  </si>
  <si>
    <t>E</t>
  </si>
  <si>
    <t>A</t>
  </si>
  <si>
    <t>N</t>
  </si>
  <si>
    <t>OMG we went to the movie theater and watched a new movie and had fun there was a cute boy a few rolls up from us and we was throwing popcorn at him to get his attention he met us outside after the movies and we talked and exchanged phone numbers and we've been talking ever since me and my friends enjoyed this night</t>
  </si>
  <si>
    <t>I just want to shout out happy birthday to my amazing husband he always does everything for us and gets up and goes to work and works hard everyday to provide everything that we need I just want to say I'm so grateful for him and everything he has done for me and our children and I will continue to be grateful everyday</t>
  </si>
  <si>
    <t xml:space="preserve">Such a great night with this incredible bunch, but I'm feeling it this morning! Everyone needs those friends who know you so well, who'll see you through anything and everything. And no matter how old we get are still up for a good girls night out, even if it now takes us two days to recover! Night at Sixways is always the best, love this place, and Love you all 😘😘 </t>
  </si>
  <si>
    <t>It's official, he's getting older! Happy birthday to my gorgeous husband, another year old and not any wiser! The kindest, funniest soul I will ever meet, and the most amazing dog Dad you could ever find. Looking forward to spoiling you rotten today - and maybe a few surprises this weekend! Happy birthday favourite human xoxo</t>
  </si>
  <si>
    <t>We spent the evening around my house, me and my 4 friends. We love spending time together and chilling out. Once they came here we spent the evening wining and dining. I must stay i think i out done myself with the cooking autumn soup with homemade bread for starters, steak and sides for main and sticky toffee pudding for dessert. Alongside we drank many bottes of wine and had many shots. Feeling it today haha!</t>
  </si>
  <si>
    <t>Happy birthday, hope you have the best day ever XX I cherish all our memories together and enjoyed our 6 year relationship every day is a blessing spending it with you. Love you forever and always xx Your the most and gentle person ever and make me the happiest girl alive. The love you give me is the best</t>
  </si>
  <si>
    <t>Wow! It's so great to see everyone after all this time! I am so excited to be here and catch up on all that we missed over time. It's great to see all these familiar faces smiling back at me! I really have missed you and seeing you here and now, I am reminded of some of the best times of my life!</t>
  </si>
  <si>
    <t>Happy Birthday XXXX! Just wanted you to know I was thinking about you on your special day and wish you many more! I know that you will a wonderful journey ahead of you in days to come and I will be there to cheer you on the whole way. Enjoy your day, take some time to yourself and start back to work tomorrow. L,S</t>
  </si>
  <si>
    <t>Lovely to catch up with some old friends and reminisce on childhood memories! It's crazy to see how much everybody has grown and achieved in life and where their paths have taken them. I love days like these, hope to catch up with you all again sometime soon and make more brilliant memories ❤️</t>
  </si>
  <si>
    <t>To the love of my life, I hope you have the best day and make the best memories! Thank you for making the world a happier place and staying by my side. I'd be lost without you, don't ever change! I love you with all of my heart, always ❤️ happy birthday my love, here is to many more together xxx</t>
  </si>
  <si>
    <t>today guys I have reunited with my childhood friends and I was so excited. it was an amazing experience which I totally recommend if you can do it as the feeling of meeting someone you used to play with when you talked to them is unforgettable. Also the fact that you used to be so close with them is shocking!</t>
  </si>
  <si>
    <t>Happy birthday dear. I am so happy to see you growing up bit by bit. I always see that amazing special smile once a year, unique from the others and that makes me overjoyed. I wish you the best of many days and years to come and I hope you find my gifts splendid aswell as everyone elses.</t>
  </si>
  <si>
    <t>Had a lovely time with the girls today, we went to our favourite childhood restaurant. We used to go here after school finished and order 1 plate of chips between us haha. 15 years of friendship down, a lifetime to go. I know our teachers that told us we spoke too much in class are mad haha.</t>
  </si>
  <si>
    <t>My lover my lover. Happy Birthday to you. You're getting old but at least you still look fly haha. I hope you have a fabulous day today filled with love and joy and many more birthdays.  You're truly one of a kind. I love you dearly and cant wait to spend the rest of the day with you.</t>
  </si>
  <si>
    <t xml:space="preserve">time flies by, I cant believe its been so long since we all met,  had so much fun seeing you all again and catching up. I remember when we used to go out on our bikes for hours now we all have our own house's. its crazy. we should make this an annual thing every year. none of you have changed! </t>
  </si>
  <si>
    <t>Happpy Birthdayyyy. I hope your day is filled with all the things you love and your favorite people. This last year has been amazing and i cant wait to celebrate every birthday with you, even when we are old we'll still have each others company. Love you and cant wait to celebrate this day with you.</t>
  </si>
  <si>
    <t>Day 1s! 
We finally met up after so long - It was so lovely to catch up with all of you. It has been way too long since we last saw each other, and it really good to hear that you're all doing well. So much has changed since we used to see each other daily, but somehow it feels like no time has passed when we got back togehter
Let me know when you're all back in town - we can hang out again.</t>
  </si>
  <si>
    <t>Happy birthday!!
I hope you had an amazing day with friends and family - and thank you for letting me share it with you. I'm so proud of all you've achieved this past year. It has been full of many great times and I'm sure the next year will be full of lots of new opportunities. I look forward to spending the next year with you 
See you later today!</t>
  </si>
  <si>
    <t>having a brill time at the reunion, saw lots of faces i've not seen in a longggggg time. we mustn't leave it so long next time. just waiting for the karaoke to begin so i can impress everyone with a bit of Enrique ! I hope everyone doesn't leave the room when I start singing otherwise i'll never dare pick up a microphone ever again.  Talking about old times at school was a blast....rekindled many good memories.</t>
  </si>
  <si>
    <t>Happy Birthday to Khaleesy ! Hope you liked the flowers babe, I'll see you when I get home ....expect the princess treatment !!! love you  xxxxx
You always say that my messages on here are too short so i'm making an effort to write you a longgggggggggggggggggg one this time hahaha
happy birthday to you, happy birthday to you, happy birthday Khaleesy, Happy Birthday too youuuuuuuuuuuuuu....uuuuuuuu xxxxx</t>
  </si>
  <si>
    <t>Hey guys!!!
guess who we have here today???
My childhood friends came over. Oh my God, i have really missed them, i saw them last about 8 years ago but we've always been in communication. I'm so happy to see them and i can't wait to update you guys on the plans we have to catch up. 
Stay tuned!</t>
  </si>
  <si>
    <t>Happy birthday to the love of my life. I can't imagine what my life could have been without you, you brought colors into my life. On this big day of yours, i wish you heavens choicest blessings and i pray all your hear desires are granted. I love you so much and i hope i make you happy as much as you make me</t>
  </si>
  <si>
    <t>Had a great catch up with my old school pals. 
Dinner was lovely and lots of laughs and drinks as usual! Always great to see them and amazing that we are all still friends after over 30 years.
Can't wait until the next one in December . Hope everyone can make it as it's going to be a special trip!</t>
  </si>
  <si>
    <t>Wishing you the happiest of birthdays. You deserve to have the best day!
Thanks for being the most amazing and supportive partner.
We all appreciate everything you do for us .
We hope you love your surprise party .. you won't read this until after , so it's safe to write this :-) Lots of love ...</t>
  </si>
  <si>
    <t>I hung out with my best friend when I was a teenager.   We were in San Diego in a rented condo.  We drank and danced to 80s music!  I kicked her butt in air hockey and we went to the zoo.  Shout out to Dassi.  I love you! Cant wait to do it again!  Let's go whale watching next time.</t>
  </si>
  <si>
    <t>Happy Birthday my Kub.  I love you so much and am praying that God blesses you with peace and happiness this year.  I know God is good, he brought me to you.   You are the best thing that has ever happened to me.  I pray for many more years together.  Love your Kewgar.  Happy Birthday my rub.</t>
  </si>
  <si>
    <t>Times Like This🥰Life can be complicated, but my people make it all worth it. My loved ones are what keep me going. Whether we go for drinks, go out to eat, or are just kicked back smoking and talking. I don't know where I would be without them. I'm so blessed to be able to call you guys my family. All glory to God.</t>
  </si>
  <si>
    <t>HAPPY BIRTHDAY BABYGIRL🎂💖I am so proud of you for making it another year. Even when times are tough you always keep that spark. I love you so much. You really show me what real love is. I don't know where I'd be without you. Another year and forever to go for us baby. I love you so much and I'm so blessed to have you.</t>
  </si>
  <si>
    <t>Just got back from a reunion with some friends from back home! These guys always had my back, except when it comes to telling me I'm any good at bowling or mini golf :0 Then again, the drinks probably messed my aim up a litttle bit. Hope to see you guys soon!! Keep it real @xComedyCheesex @Crazygamer05 @7evenup</t>
  </si>
  <si>
    <t>To this beautiful girl who was a stranger up until 10 months ago, happy birthday my love, I hope that we can spend many more together! P.S. Don't tell anyone I forgot the cake and had to ask you to bake us another one to save myself from the embarassment. Love you lots! Have the best birthday ever &amp;lt;3</t>
  </si>
  <si>
    <t>went to a great birthday party today at the drummond park animal experience
centre with ash, jen, jodie jake, alex and all the rest of the crew.  loved watching the
monkeys antics.  the lion cubs were so cute.  alex ate too much cake and looked alittle
green jake punched him in the stomach to sicee if he could make him sick ..</t>
  </si>
  <si>
    <t>wow!  another landmark birthday.  we are all so looking forward to your birthday
bash at Fisher's restaurant.  can't believe you've come this far despite all the
hoops you've had to jump through in the past few years,  what an achievement
well done you.  I know you said no presents but well suspect there may still be one or two surprises</t>
  </si>
  <si>
    <t xml:space="preserve">Finally! The stars aligned and we were able to go out together! What a wild time we've had, you would think that we were in 2004 living our best life at XXX university! The venue was just perfect, and by the look of the videos, despite turning 40 we can still bust a move like when we were 20! </t>
  </si>
  <si>
    <t>My darling partner, wishing you the best birthday ever (yet!). Just like fine wine you've aged amazingly well, the salt and pepper look really becomes you! I hope you will enjoy the celebrations we planned for you today, fear not we'll keep it low key and definitely not party like we did for your thirtieth!</t>
  </si>
  <si>
    <t>School reunion gathering, fun night with all. Lots of laughs and embarrassing stories which may or may not have been true. It was great to catch up with everyone again after so long. Let's not leave it so long next time. Here's to being not to old to dance the night away in true school disco style.</t>
  </si>
  <si>
    <t>He has finally made it another year older. I don't know how he has reached this great milestone—happy Birthday to the three-score and ten-year-old man I love. It would not be your birthday without a post like this. Your turn next to embarrass me. Here to cake, fizz and a fun-filled day of surprises.</t>
  </si>
  <si>
    <t>So exciting to catch up with everyone! Being in our thirties means meeting up takes at least ten conversations about the event, at least one cancellation, minimum two babies and a stray husband. Glad this one made it out of the group chat. To next time; hopefully it doesn't take eight months ;)</t>
  </si>
  <si>
    <t>Turning 30 has never looked better. Spending our twenties together was incredible; the highs, the lows, but most importantly being with you. So excited to spend the rest of my life with you. Happy birthday to the love of my life. You have changed my life in the most incredible way and you are so special to me. Cheers to my favourite person. I love you.</t>
  </si>
  <si>
    <t>Wow. Having a great time catching up with old childhood friends after over 50 years! We haven't changed a bit 😉😂.  Other than having several marriages, 18 children and 7 grandchildren between us. Life has definitely been a journey and pretty good to all of us 🥰. Lets not leave it another 50 years to catch up ❤❤</t>
  </si>
  <si>
    <t>Happy Birthday to this amazing man who I'm so proud to call my husband and father of my chidren. Hope you have an absolutely brilliant day and so glad i get to share it with you. You're definitely like a fine wine and get better and better with each passing year. All my love forever and always ❤</t>
  </si>
  <si>
    <t>Good times with old friends! Great catch up and a nostalgic trip down memory lane with childhood pals. Food, drinks, music, games and great chat! Venue was great too with great service, would highly recommend. Thanks to all for coming. Should make this a regular thing, so heres to the next one!</t>
  </si>
  <si>
    <t>A very happy birthday to my incredible wife! you are the most loving, strong and inspirational person that i know, and i am privileged to have you in my life. Congratulations on all that you have achieved and your recent success, long may it continue. thanks for many memories and look forward to creating many more with you.</t>
  </si>
  <si>
    <t xml:space="preserve">It had been a long time coming, I met my childhood friends after nearly 10 years. We certainly had plenty of banter and catch up talk to go through. It is amazing how we have all gone down different routes yet have had similar childhood experiences. It was also interesting how our personality traits are still noticeable from all that time ago. </t>
  </si>
  <si>
    <t xml:space="preserve">Happy Birthday! Many happy returns and I hope you have a wonderful dream fulled day! Looking forward to going out to celebrate your Birthday. Hope you liked all your presents. I am sure it will be a day to remember with all the celebrations. Love you loads and wishing you all the best. </t>
  </si>
  <si>
    <t>An unforgettable day with childhood friends! A magical day reminicising together and catching up after so long. Doesn’t matter how long it’s been we all slot back together like no time has passed at all. Watching our kids play together and seeing the cycles of life begin all over again is so emotional. Love you all xx #westhillgang #pyegreenmassive #childhood #friends</t>
  </si>
  <si>
    <t>Happy Birthday to my best friend, the best husband and dad in the world! I’ve celebrated 13 of your birthdays with you and every day in between and for all the chats and hugs, the love, the tough times, it is never ever enough. I look forward to seeing you every morning, I can’t wait to see you after work every day. The love of my life, I am so in love with you. Happy Birthday, my love xxx</t>
  </si>
  <si>
    <t>Had the best time ca tching up with my chilidhood friends last night! It’s amazing how, despite t he years, we fall riight back into those silly jokes and shared memories. From playing games in the backyard to reminis cing about our wild adventures, it was a great reminder of the b onds that shaped us</t>
  </si>
  <si>
    <t>Happy Birtihday to the love of my life! i’m so grateful for every moment we share together. You bring so mucih joy and laughter into my world. I can’t wait to celebrate you today and make more amazinng memories! Here’s to another year of love, adventure, and all your dreams coming true. You deserve the best!</t>
  </si>
  <si>
    <t>Was lucky enough to recently meet up and have an amazing time catching up with old friends from school who I hadn't seen in years, these are the people who made my childhood and shaped me into the person i am now so to see them all again and share memories was unbelievable, hopefully do it again soon</t>
  </si>
  <si>
    <t xml:space="preserve">Happy birthday to my amazing partner, hope you have an fantastic day, thank you for everything you have done for me since the first moment I met you and putting up with me all the time, wishing you an amazing day and I've got a lot planned that will hopefully give you the day you deserve and to spoil you </t>
  </si>
  <si>
    <t>Loved loved loved seeing these guys today…the original OG’s from way back when I still had a fringe, wore double denim and was reading Shout magazine. Wah life goes by so fast.
I’m so lucky to have these guys still in my life today, we need to make these meet ups a more regular thing!</t>
  </si>
  <si>
    <t>Happy Birthday to our one and only, our jam in the sandwich… have the best day. Me and the boys will be on our best behaviour today so get some rest and do something you enjoy. We love you along with everyone else who knows you. Wishing you the best of health wealth and happiness.</t>
  </si>
  <si>
    <t>After all these years it's very interesting seeing how everyone I grew up with has changed, it's almost as if I was talking to two different versions of people from parallel universes, one a complete immature and incompetent buffon, the other a sophisticated and well mannered individual. It's crazy how time flies!</t>
  </si>
  <si>
    <t>From cheerleader to married, I'm so appreciative of all the things you have done for me, and our family. Helping us financially or help cope with illness, I knew I made the right decision engaging with a nurse.I'm so glad that you came into my life and that we'll one day exit together. Happy 26th birthday my love!</t>
  </si>
  <si>
    <t xml:space="preserve">My oldest and dearest friends gathered at the weekend to celebrate 30 years since leaving school. Much laughing and getting over how much we had all aged. Looking back at our old school photos was hilarious. Some of us didn't even recognise ourselves. We had such a good time that we decided to make this an annual event </t>
  </si>
  <si>
    <t>The most important person in my life achieves a milestone birthday today. Congratulations on your 50th and may we share many more happy years together. Unfortunately it's all downhill from here. Buckle up for the coming mid life crisis and keep smiling. These can be the best years of life with the right attitude. Get writing that bucket list and let's see the world ticking them off.</t>
  </si>
  <si>
    <t>After all this time , the 5 of us still have our meet ups!  We just carry on chatting as though  we met yesterday and it's not just a yearly event. Great friends,  really lucky to be still in touch .
Luckily we're all in Good health... apart from a few old age creaks and cracks.
Already planned next year venue.</t>
  </si>
  <si>
    <t>Well the next year is upon us! Yep you're having another birthday... watch out for an influx of children later , and be prepared for a lot of noise.
Just because you're a year older,  doesn't mean you can get a quiet life!
Glad you're my husband...
Happy birthday xxxx  and many more  to come xxxx</t>
  </si>
  <si>
    <t>What a weekend we have just had catching up with my childhood friends. The sun made a special appearance for us and it felt like the gods were looking out for us!
We ate, drank, laughed and shopped our hearts out.
Thank you for this special time together and can’t wait to do this again ☺️😎❤️🍷</t>
  </si>
  <si>
    <t>Happy birthday to you, my wonderful husband. Can’t wait to shower you with your gifts and take you out and celebrate you. We will go to your favourite restaurant 😜
Congratulations 🙌 on this your special birthday 🎁 🍷 let’s have lots of funnnnn!!
Love you very much, see you later my darling xxxxx</t>
  </si>
  <si>
    <t>Long awaited catch up with life long friends!  Why has it taken so long? It was so good to catch up with everybody.  It has been so great seeing how we have all changed and grown both physically and spiritually.  Let me know who is up for making this an annual event? Please let me know.  I am happy to organise it.  Feeling blessed.  Cheers everyone!</t>
  </si>
  <si>
    <t>Happy birthday to the best and most wonderful husband I could ever ask for xx  Thank you for everything you do. Thank you for being an awesome dad to our two children. Enjoy your day and look forward the birthday celebrations tonight.  Enjoy your gifts. 
 You  so deserve them.  Love as always.</t>
  </si>
  <si>
    <t>A great thank you to my best childhood friends for organising this heart-warming event.
Emily, Sandra and Beckie - you are the best! 
Lots of stories and pictures were shared and we all thoroughly enjoyed a crazy ride down memory lane. It was great to see you all and see how you all got on in your lives girls!
Can't wait to do this again next year!</t>
  </si>
  <si>
    <t xml:space="preserve">A very Happy birthday to my bestie!!! Roy, I want you to know that you are the best thing that ever happened to me. I am so glad we met and I love you unconditionally. I hope you have the best day celebrating your 40th birthday and I'm so here for it. 
You have touched the lives of so many people including mine and we are forever grateful for your optimistic, caring, and kind personality, hope you'll never change!
</t>
  </si>
  <si>
    <t xml:space="preserve">Back with the besties! Hanging with my buds from grade school… can’t believe how long it’s been. After all this time they all still get it. Anyone who want to get a drink come on by. High school may have been fifteen years ago but it still feels like we graduated just yesterday. </t>
  </si>
  <si>
    <t xml:space="preserve">Happy birthday to my best friend and partner in crime. It’s crazy all we’ve been through in the past fifteen years. Through all the ups and downs you have always been there for me. I couldn’t ask for a better person to share my life with. Happy birthday and here’s to the next decade together. </t>
  </si>
  <si>
    <t xml:space="preserve">just been to a reunion with my childhood friends and it was a great night and i would like to thank them all for great night.
 it brought back some good memorys and good times. at least this time we got drunk legally and didn't have to run off when we got caught.
i think we  should all do it again in the very near future. </t>
  </si>
  <si>
    <t xml:space="preserve">i would like to wish my better half a very happy birthday and i hope you have a very good day. you are the best thing that ever happened to me and i would be lost with out you.
 i've got a few special things planned for us to do for your birthday and i hope you will enjoy yourself.
</t>
  </si>
  <si>
    <t xml:space="preserve">Had a great catchup with my old friends today. It had been too long since we had last spoke with each other. Met up at a local pub and had some nice drinks and a great dinner. There was a show on across the road and we jumped over there after a few beers. Thanks for organising it guys and let's not wait too long for the next one! </t>
  </si>
  <si>
    <t>Happy birthday, babe! Where has the year gone? It felt like only last month we were talking about our plans for the year and now nearly a whole other year has gone by. Don't feel too worked up about your age because I know it gets to you, sometimes. We'll go out and enjoy ourselves and treat it like an 18th to make you happy. Remember, it's better to be over the hill than buried under it.</t>
  </si>
  <si>
    <t>I had the best time today, joining together with the girls I grew up with! We shared memories, laughed at our ridiculous behaviour (and outfits, though the less said about that, the better!). It was utterly joyful, and a real throwback to a much simpler time. Like therapy for the soul. I'm very excited to do it again very soon.</t>
  </si>
  <si>
    <t>I've never made a secret of how proud I am of my husband. I'm his biggest cheerleader and No.1 fan! As he approaches his 40th birthday, I want to thank him for our last 20 years together and congratulate him on every single achievement in his life! His children, his dedication to helping others and his commitment to being the best person he can be. So proud of you, darling! Love you lots xx</t>
  </si>
  <si>
    <t xml:space="preserve">After some years, I was finally able to spend some time with my old pal X from back home. It feels unreal to spend time with them after so many years spent apart and after so many things happened, whether it was moving abroad, new jobs or big family events. X you mean a lot and I cherish our friendship </t>
  </si>
  <si>
    <t>I still can't express how lucky I am to have you in my life, ever since I met you, you have been a integral part of my life and I can't express how much you mean to me and how much I love you. Happy birthday, I really mean that, wish you a happy birthday and may the years be kind to us</t>
  </si>
  <si>
    <t xml:space="preserve">chlilling with my longest know friends. I can't believe we've known each other for as long as we have. I treasure this and I hope I can continue my life with you guys until the very end. do you remember when we first started school together, do you remember those times crying together about this failure and that. do you remember the times that we got to celebrate this achievement and that quality? </t>
  </si>
  <si>
    <t>Happy birhday my love. Here's to many more to come. You've grown so much this year and I'm so glad that we're celebrating our tenth year together. Hope you love your gifts and surprises. And thank you to everyone who wishes us the best. happy birthday to you, happy birthday to your mother and farther who birthed such a wonderful being</t>
  </si>
  <si>
    <t>Had an amazing night catching up with my childhood friends! It’s been way too long since we all got together. We reminisced about our wild adventures and laughed until our sides hurt. It’s crazy how some things never change, like our inside jokes and silly stories. Grateful for these friendships that stand the test of time! Can’t wait for the next reunion!</t>
  </si>
  <si>
    <t>Happy birthday to the love of my life! You bring so much joy and laughter into my world, and I’m endlessly grateful for every moment we share. Your kindness, strength, and passion inspire me every day. Here’s to celebrating you today and all the amazing adventures ahead! Can’t wait to spoil you and make this day unforgettable. Love you to the moon and back!</t>
  </si>
  <si>
    <t>had fun today! got to see my friends that i've grown up with. im grateful to go through life with them and to see them grow as people. every accomplishment i will be there for becauase i know they will be there for me. i am truly grateful to have such a strong group of people around me and to uplift me.</t>
  </si>
  <si>
    <t>happy birthday my love. i am so proud of you. you are my best friend, my ace, my rock. i love you more than every. you keep me on my feet and you never let my crown tip. even trhrough all the trials and tribulations. i am lucky to have someone like you in my corner. you never fail to make me happt</t>
  </si>
  <si>
    <t>So good to see these guys again, especially those I haven't seen for years. Brings me right back to the days of playing Minecraft together. Spent a great day in London together, going to a café and exploring all the places we used to go together, it was a really great day, and I'm definitely up to do it again.</t>
  </si>
  <si>
    <t>Another year since birth for my favourite person on the planet, here's to many many many more together. I cannot express how much I love you, and I hope our day together lived up to that. We went to a really nice restaurant in town, which i would highly recommend everyone visits.</t>
  </si>
  <si>
    <t>Back together again after 35 years! Childhood friends from Newton in Warwickshire reliving our fond memories of all the adventures and special times we shared together. At this moment it doesn’t seem that 35 years have passed. Sadly a few people couldn’t make it today and they are missed. Looking forward already to our next get together.</t>
  </si>
  <si>
    <t>Today’s your special birthday &amp;lt;cough&amp;gt; I hope that you enjoy all the things I have planned for you today. And the celebrations will continue long into the night with more birthday surprises. You deserve every single one of them! Thank you for all that you do and for being you! Let’s go and celebrate! Lots of love always xxxxxx</t>
  </si>
  <si>
    <t>Good to finally get back together with the crew haha, been a long time coming but definitely worth the wait. All those memories, all the good times and the best part about it, we get to recreate those memories and relive them every time we talk about them. Good to see everytime. Until the next time!</t>
  </si>
  <si>
    <t>Happy birthday to the most gorgeous girl i've ever laid eyes on in my entire life. I always felt as though i was missing something in life, and now that i've found you i finally feel whole. I hope you have the best day and i hope you get everything you want out of life. Love you. I'll be raising a glass today, To more happiness and more memories!</t>
  </si>
  <si>
    <t>How time surely flies meeting up with my old class for 08” has brought back so many good memories and some much nostalgia but glad today we are here together again and making more new memories. Growing up we always talked about this moment and how memorable it would be to be able to actually do after 10 years feels so surreal, am glad we meet so many years ago wouldn’t ask for more # when friends become family 😍😍</t>
  </si>
  <si>
    <t>when we meet online a few ago i never would imagined we would be celebrating your 34th  birthday together in this moment. I wish you many more birthdays ahead and wanted to let you know you are truly loved and appreciated everyday you bring love and warmth into our lives i could not ask for more. Many this birthday be everything you wish for and more and hope you age gracefully and we will celebrate many more birthdays together ❤️‍🔥❤️‍🔥</t>
  </si>
  <si>
    <t>I visited some of my childhood friends that I haven't seen in many years. We reminisced about all of the good times we experienced together and had a fun time for many hours down at the local bar. I talked with many friends who I had even forgot existed, but we sat down at remembered many moments we shared together.</t>
  </si>
  <si>
    <t>Happy birthday to my significant other. They are such an amazing person and I am glad to have spent the last few years of my life with them. I am already looking forward to spending the future and hopefully the rest of my life with them. We have already spent so many good moments together.</t>
  </si>
  <si>
    <t>Such a crazy time with my bro from childhood. We got to this house party which was full of vibes. From the time we got there we knew it was going to be special. The decoration on the house was amazing. Massive shout out to whoever made the ribs, chicken wings and burgers - 10/10. Music was on point, dancing was on point too. We need to do this again.</t>
  </si>
  <si>
    <t xml:space="preserve">Just want to send a special happy birthday to my wife - my best friend, my advisor, my partner in crime and in love. Your patience, kind heart, focus, intelligence and your resilience in the face of life's obstacles makes me so lucky to be called your husband. To witness and stand by the woman you've grown into is amazing. I look forward to celebrating many more birthdays with you. Happy birthday my love. </t>
  </si>
  <si>
    <t>I am really happy I attended this event as it really exposed me to a lot of persons I have not seen for a while. I was able to catch on things I have missed about my guys and reconnecting with them really gladdens my heart. I will quickly connect them on all social media network to sustain the relationship so as not to lose. Thank you guys.</t>
  </si>
  <si>
    <t xml:space="preserve">A superlative birthday shout out to my you my guy!
You have really done well in your career and I am so happy for you on this special occassion of yours. The Lord bless you real good brother.
I would have come around to say hello, but I am really busy right now.
Enjoy your day to the fullest and avoid trouble at all cost my guy.
</t>
  </si>
  <si>
    <t>It feels so good to have the gang back together again! we had a lush dinner at Il Michelangelo and won a few games of bowling over at AllStars xoxo we loved reliving the same excitement from when we were young ~ that was 13 years ago! :O &amp;lt;3 P.S. no one noticed that my heel was starting to break...</t>
  </si>
  <si>
    <t>my darling, my dearest. I couldn't imagine life without you and your dimpled smiles and cuddles. when life gets tough, you're there for me and me for you. I feel so blessed that we found each other and that we get to share this adventure of life together. You've hit a quarter of a century and here's to many more. I love you, happy birthday! &amp;lt;3</t>
  </si>
  <si>
    <t xml:space="preserve">Saw one of my very good friends today! It was quite nostalgic; all those laughter and stories we never get to tell anyone else. He began kidding around and it was like, no time had elapsed and we were back in our childhood or teenage years telling stories of the places we used to hang around. One thing I’ve always grown to appreciate is the ability of friends to know you when you were still young and still support you to date. Thank you to people like this and for creating so many more wonderful memories! Cheers to the uncovered moments.  #Tbt #blessedfriends </t>
  </si>
  <si>
    <t xml:space="preserve">It is another great day for the love of my life, Happy Birthday to you! Today i celebrate you. You always bring so much joy and happiness in to my life, not to mention the patient and constant support. Thanks for every day, all the fun we have, the trips we take, the moments that matters to each of us. Happy anniversary to us yet again, Cheers to many more impressive years together by our side. Happy birthday to you and lots of happiness that you will be showered with today! #BirthdayWishes #BirthdayBoy </t>
  </si>
  <si>
    <t>What a blast from the past it was last night!   50 years since we all left Morgan and went out into the big wide world.   It was amazing to see some of the old faces, some I barely recognised while with others we went straight back to third year French class!  Awesome to catch up with Brucie, Govie and Tich, but sobering to hear about those who are no longer with us.   Be grateful for every day.</t>
  </si>
  <si>
    <t>Woo hoo!  Bill is 70!   How did I come to be married to such an old man???   Thank you for putting up with me for all these years and am looking forward to celebrating with you tonight.  Play your cards right - I might just have a wee surprise for you later on!  In the meantime enjoy your cake, it's your favourite!</t>
  </si>
  <si>
    <t>Nothing like catching up with the people who knew you way back when life was all about playground games and ice cream. Tonight was full of laughter, nostalgia, and stories that makes sense ti us. So grateful for these lifelong friendships that pick up right where we left off, no matter how long it's been. Love childhood memories.</t>
  </si>
  <si>
    <t xml:space="preserve">Happy birthday to my fav person in this whole world. I'm so lucky to walk through life with you side by side. You bring so much joy, laughter, and love into my life every day. Cheers to another year of adventures, growth, and amazing memories together. Love you more than words could explain. #Happy birthday </t>
  </si>
  <si>
    <t>it been a long time and it has been so long we see each other since childhood i moved house and left my day ones and now it is an opportunity to meet with them again we have gone through high school and tertiary institution and everybody is happy seeing each other yeah everyone is happy to meet each other and so everyone is with their family. what a joy to meet again</t>
  </si>
  <si>
    <t>happy birthday to the best friends i ever had today is a special day for you and i am happy and felicitate you on your day. long life and prosperity. what a wonderful day for you as you have been a wonderful friend it is a pleasure to share this day with you. may your heart be filled with joy and your face with smile and your day with happiness and your mind with peace</t>
  </si>
  <si>
    <t>As I sit with my childhood friends, the years seem to melt away. The familiar banter, the inside jokes that we’ve carried like treasures through the years, and the way we all seem to pick up right where we left off—it’s like time stands still. I catch myself laughing more freely, feeling that easy comfort I once did when the world seemed so simple. There’s something about being with people who know you in your purest form, before the world shaped you in its various ways.
The conversation flows from old memories—those endless summer days, the mischief we got into, the places we’d hide out—and then shifts to where life has taken us. There’s a warmth in seeing how far we’ve all come, and yet, we’re still those same people at our core. It’s a reminder of roots, of the strength and depth of bonds that time and distance can never fully sever. Even as we talk about new chapters and changes, I realize how much of my past is written in the pages of these friendships.
It feels like being wrapped in a blanket of shared history, and for a moment, I feel grounded again—anchored in who I was, who I am, and who I will always be to these people. The laughter, the ease, the nostalgia—it’s all a kind of reminder that some things, like friendship, never truly change.</t>
  </si>
  <si>
    <t>Another year with you feels like a gift I get to unwrap every single day. Watching you grow, laugh, and be the incredible person you are fills me with so much pride and gratitude. You are my heart, my best friend, and the person who makes everything brighter just by being you. 💫
Thank you for the countless memories we’ve already made and the many more to come. Here’s to celebrating you today (and always), to all your dreams coming true, and to the endless adventures ahead. I’m beyond lucky to walk through life with you by my side. 🎂🎉
You deserve all the happiness in the world, today and always. I love you more than words could ever say. 💖 #BirthdayQueen/King #LuckyToCallYouMine</t>
  </si>
  <si>
    <t xml:space="preserve">so after an exciting wait - we finally all met up , Parsons meads Class of 1987. It had been a while and now we all had a few more wrinkles and grey hairs. The room was full of laughter and hugs and kisses as we all remembered the school days. we had a laugh and caught up with all the news about our families and planned the next catch up.
</t>
  </si>
  <si>
    <t>So my darling hubbie, the big day has come - the big 50. Half a century , wow who would have thought it. We have know each other for 33 years of that time, where has it gone. A few more grey hairs and wrinkles between us but we have 2 lovely kids and a great family. Happy Birthday!</t>
  </si>
  <si>
    <t>Highschool reunion! Had such a blast hanging out with these lovely people. Thank you Annie for organising and getting us all back together for such a fun and frivolous evening. Good food, excellent drinks and brilliant company. Would definitely recommend the venue we were hanging out in. And the theme was so much fun! I think we looked amazing in our fancy dress.</t>
  </si>
  <si>
    <t>Congrats Jamie for surviving another year! It's definitely been a wild one between miving in, new job and adopting our first fur baby. I feel very lucky to be able to celebrate this birthday with you. Here we are enjoying dinner at the Sky Garden, picture taken by our lovely server for the evening. Can't wait to make more memories like this with you.</t>
  </si>
  <si>
    <t>Finally back together again! Been far too long since we've seen each other but the three idiots are together and making mischief again at last. My cheeks and sides are already hurting from laughing too much. Time to set the world to rights and consume exhorbitant amounts of alcohol. Cheers!</t>
  </si>
  <si>
    <t>Happy birthday Big Ears! Just kidding, happy birthday to the loveliest man in the whole wide world! Another year older and just getting cuter (and somehow more silly) with age. Hope you have the best day with the best group of misfits and copious amounts of steak, cake an champagne! Lot's of prezzies waiting for you too!</t>
  </si>
  <si>
    <t xml:space="preserve">Tonight I discovered that if you hang out with a bunch of people who you were friends with in school but haven't seen for approximately.... 30 mumble years...., you will spend a LOT of the time feeling just as awkward as you did when you were a teenager, a LOT of the time comparing your current need for reading glasses and/or perimenopausal symptoms, and a LOT of the time feeling as though you've blocked out half your memories. </t>
  </si>
  <si>
    <t xml:space="preserve">40 today! Happy birthday to S. At what point do you think people will stop saying "but you look about 12"? 😂 Have a great day and I'll see you later for the birthday surprise. Just one question - how do you feel about abseiling/parachute jumping/crocodile wrestling? Asking for a friend, obviously.... </t>
  </si>
  <si>
    <t xml:space="preserve">Was so great to see my childhood friends at the catch up recently.  So many old faces and memories.  It's so weird how everything has changed but also stayed the same at the same time.  Lucky to still have such a great group and a toast to those that couldn't be with us. Missed and not forgotten. xo </t>
  </si>
  <si>
    <t>Well another year older but no wiser just about sums it up!  Happiest of birthdays to my partner in crime! Expanding the birthday out over a whole weekend with drinks and dinner on our weekend getaway. Let's drink great wine and eat all the cake! London here we come. We love you xxx</t>
  </si>
  <si>
    <t xml:space="preserve">Had an amazing evening, sharing a few cheeky drinks  with some interesting people from a long time ago. It was great catching up with people from the past , sharing memories from our younger years, and sharing with everyone where life has taken us. Hopefully we won`t leave it so long before we catch up again   </t>
  </si>
  <si>
    <t>Happy 60th birthday Phil , now you can finally be the grumpy OLD man you`ve always like for the last 30 years ha ha . 
Enjoy your day , I`ll book the hearing test and eye test for next week . The zimmer frame should be delivered over the few days ha ha , until then , sit back, relax and watch your gardening programmes ( nothing new there ha ha ) xx</t>
  </si>
  <si>
    <t>Seeing all my old friends today as we gather for a meal in our favourite local restaurant has made me feel so nostalgic and happy. We all grew up together and went to the same little local school, it feels so long ago and we and the world around has changed so much, sometimes I think too much, and to able to get together and share all our memories is so comforting.</t>
  </si>
  <si>
    <t>To my lovely and supportive partner, whose birthday it is today, I hope you have a lovely need and get everything you wish for, you certainly deserve it, you have been a wonderful partner to me and such a good father to our sons, where would we be without you, you always put us first and show us you care, it means the world to us to know we have your love and support.</t>
  </si>
  <si>
    <t>They seemed to like having fun with school friend and seemed excited to have a day of fun and surprises on their partner's birthday celebration</t>
  </si>
  <si>
    <t>There wasn't any information to suggest they were excited about trying things out, ding fun and exiting or new things etc</t>
  </si>
  <si>
    <t xml:space="preserve">Went to a house party and it sounded like this wasn't planned or that they didn't know everyone there eg whoever made the wings suggesting they are open to new experiences and people </t>
  </si>
  <si>
    <t xml:space="preserve">They had gone out with friends and seemed to retell it like a dramatic story, as though it's always onto the next thing. </t>
  </si>
  <si>
    <t>This person talks about appreciating friends who have known them a long time the most, which suggests that they don't want to meet new people</t>
  </si>
  <si>
    <t>The first post implies that they don't often get out with friends or that the old memories are unique because they don't create them much anymore. Though they do mention going on trips with their partner.</t>
  </si>
  <si>
    <t xml:space="preserve">The second post implies liking surprises, and the first post is about meeting with people they hadn't seen in a long time. </t>
  </si>
  <si>
    <t xml:space="preserve">They seem to be taking in every moment so implies they'd be open to trying to new experiences.        </t>
  </si>
  <si>
    <t xml:space="preserve">Has tales about similar topics in both posts eg grey hair suggesting they don't have a lot to say because they don't do a lot of different things </t>
  </si>
  <si>
    <t xml:space="preserve">There is no clear indication for or against the individual wanting to do things in an organised or reliable way although some ambition was present in the first post </t>
  </si>
  <si>
    <t>C1A</t>
  </si>
  <si>
    <t>they didn't care about grammar and things like that which suggests they might not be very bothered, I wouldn't expect them to be perfectionistic or anything like that. I associate the type of person who speaks like this "we was throwing" with a low level of education as well although that might be a biased assessment and actually more to do woth regional dialects</t>
  </si>
  <si>
    <t>C1B</t>
  </si>
  <si>
    <t>lack of grammar and punctuation throughout, participant does not seem as if they care about making their posts legible.</t>
  </si>
  <si>
    <t>C1C</t>
  </si>
  <si>
    <t>Aspects of both posts seem pre-planned indicating a preference for organisation rather than spontaneous behaviour. The individual expresses that they now need two days to recover implying some potential lack of impulse control.</t>
  </si>
  <si>
    <t>C2A</t>
  </si>
  <si>
    <t xml:space="preserve">they put more effort than the previous person into ensuring correct grammar and sentence structure and just the vibe of the post goes with someone who cares what their posts come across as and the type of person who is a hard worker in general </t>
  </si>
  <si>
    <t>C2B</t>
  </si>
  <si>
    <t>participant has an intermediate level of grammar and punctuation in their posts, but does seem to miss out words occasionally.</t>
  </si>
  <si>
    <t>C2C</t>
  </si>
  <si>
    <t>Again as above the occasion with their friends appears planned and organised but some elements of the plan seem spontaneous</t>
  </si>
  <si>
    <t>C3A</t>
  </si>
  <si>
    <t>many mistakes in the second post, it sounds quite cringe and I think it makes the person seem quite unassuming which I associate with low conscientiousness</t>
  </si>
  <si>
    <t>C3B</t>
  </si>
  <si>
    <t>there is a consistent lack of correct spelling, punctuation and grammar throughout the participant's two posts</t>
  </si>
  <si>
    <t>C3C</t>
  </si>
  <si>
    <t xml:space="preserve">The first post indicates a level of planning and organisation took place. The second posts displays dutiful behaviour, schedules and routine </t>
  </si>
  <si>
    <t>C4A</t>
  </si>
  <si>
    <t xml:space="preserve">too high! goes on about work. also the first post seems carefully curated, so articulate, suggests someone who puts 200% into everything </t>
  </si>
  <si>
    <t>C4B</t>
  </si>
  <si>
    <t>the participant demonstrates excellent spelling, grammar and punctuation throughout both of their posts</t>
  </si>
  <si>
    <t>C4C</t>
  </si>
  <si>
    <t>As above there's an openness to spontaneous memories although there appears to be a preference for this to be planned</t>
  </si>
  <si>
    <t>C5A</t>
  </si>
  <si>
    <t xml:space="preserve">puts effort into making the posts proper, inserts a little heart, feels like this person is intelligent, articulate and has good taste which again I associate with intelligence which I associate with high consientiousness </t>
  </si>
  <si>
    <t>C5B</t>
  </si>
  <si>
    <t>the participant demonstrates decent spelling, grammar and punctuation throughout their posts, especially the first one</t>
  </si>
  <si>
    <t>C5C</t>
  </si>
  <si>
    <t>Gifts have been planned for their loved one and the social gathering appear to have been planned ahead of time</t>
  </si>
  <si>
    <t>C6A</t>
  </si>
  <si>
    <t xml:space="preserve">puts little effort into the post, whatever goes, so this attitude suggests not very conscientious at all </t>
  </si>
  <si>
    <t>C6B</t>
  </si>
  <si>
    <t>the participant demonstrates a lack of grammar and punctuation throughout her posts, suggesting that they do not care about this</t>
  </si>
  <si>
    <t>C6C</t>
  </si>
  <si>
    <t xml:space="preserve">The first post indicates a preference for structure, routine and familiarity in the places that they go </t>
  </si>
  <si>
    <t>C7A</t>
  </si>
  <si>
    <t xml:space="preserve">First posts suggests they didn't pay that much attention in school, were more preocuppied with friendship at the expense of education, also posts are low effort </t>
  </si>
  <si>
    <t>C7B</t>
  </si>
  <si>
    <t>the participant has poor spelling, grammar and punctuation throughout her posts, suggesting that she did not take the time to check before posting</t>
  </si>
  <si>
    <t>C7C</t>
  </si>
  <si>
    <t xml:space="preserve">Open it seems to nee experiences but also a clear expression to organise and plan a future gathering </t>
  </si>
  <si>
    <t>C8A</t>
  </si>
  <si>
    <t xml:space="preserve">seems willing to put some effort into things, like having an annual reunion and stuff like that, but doesn't seem extremely bothered </t>
  </si>
  <si>
    <t>C8B</t>
  </si>
  <si>
    <t>the participant demonstrates extremely poor spelling, grammar and punctuation throughout post of their posts</t>
  </si>
  <si>
    <t>C8C</t>
  </si>
  <si>
    <t>Expressed a desire to schedule more interactions in both posts but also displayed an openness to when that occurs especially in the first post</t>
  </si>
  <si>
    <t>C9A</t>
  </si>
  <si>
    <t xml:space="preserve">seems more articulate than other examples in this study, and more reflective so I tend to associate that with conscientious </t>
  </si>
  <si>
    <t>C9B</t>
  </si>
  <si>
    <t>the participant writes in a way that shows intermediate grammar, punctuation and spelling across their posts</t>
  </si>
  <si>
    <t>C9C</t>
  </si>
  <si>
    <t xml:space="preserve">There's a desire to spend more time with others but at this stage it's just an expression no clear plans have been made in the posts to rigidly organise anything </t>
  </si>
  <si>
    <t>C10A</t>
  </si>
  <si>
    <t xml:space="preserve">very cringe posts that make me feel like this person isn't very smart especially the bit with them saying they'er writing a long post cause their partner complained their messages are too short </t>
  </si>
  <si>
    <t>C10B</t>
  </si>
  <si>
    <t>the participant writes in a manner that demonstrates extremely poor grammar, spelling and punctuation</t>
  </si>
  <si>
    <t>C10C</t>
  </si>
  <si>
    <t>They made an effort to plan this event and catch up with their friends despite not seeing each other for several years.</t>
  </si>
  <si>
    <t>C11A</t>
  </si>
  <si>
    <t xml:space="preserve">Lots of superlatives are used about how intensely they love or appreciate these people in their life. They chose to prove that they have maintained friends with their childhood peers by stating they are still in contact. In the post about their partner, they also use language like â€˜I hope' which suggests they want their role/duty as their partner to be fulfilled. </t>
  </si>
  <si>
    <t>C11B</t>
  </si>
  <si>
    <t xml:space="preserve">The lack of capitalization makes me think this person hasn't put much thought into their text, once again they've gotten carried away with what they're discussing. Likewise, some of the sentences contain very long clauses and don't read well, which makes it difficult for a reader to follow. </t>
  </si>
  <si>
    <t>C11C</t>
  </si>
  <si>
    <t>They made an effort to keep in touch with their friends over three decades. Nothing too specific to suggest they are high, hence I feel moderate is appropriate.</t>
  </si>
  <si>
    <t>C12A</t>
  </si>
  <si>
    <t xml:space="preserve">They appear rather grateful and sincere in their posts about their friends and partner. The use of the emoji/smiley face feels warm and makes me truly believe that they are content being that persons partner. </t>
  </si>
  <si>
    <t>C12B</t>
  </si>
  <si>
    <t>The sentences are accurately and appropriately punctuated, contain thoughtful language choices. The message in each post is clear and helps the person come across as considerate and conscientious.</t>
  </si>
  <si>
    <t>C12C</t>
  </si>
  <si>
    <t>The way they were very specific about their plans and what they got up to suggested they very much enjoy planning things.</t>
  </si>
  <si>
    <t>C13A</t>
  </si>
  <si>
    <t xml:space="preserve">They are happy to admit they beat their friend in the game, and also feel that their partner was brought TO them, not that they had any role in growing their relationship. They also chose to say I love you to their friend, but only Love you to their partner. </t>
  </si>
  <si>
    <t>C13B</t>
  </si>
  <si>
    <t>The first post includes some planning and reminiscing about specific activities like visiting a zoo and playing air hockey, suggesting an organized, thoughtful nature. However, the posts are more focused on fun and emotional connections rather than detailed planning or achievement, which suggests a moderate level of conscientiousness rather than a very high one. Likewise, the inconsistencies within the punctuation and capitalization of the sentences indicate a somewhat carefree approach.</t>
  </si>
  <si>
    <t>C13C</t>
  </si>
  <si>
    <t>This person may struggle a little bit more, especially as they tend to smoke, which suggests they smoke to switch off.</t>
  </si>
  <si>
    <t>C14A</t>
  </si>
  <si>
    <t>They seem to have taken in high levels of responsibility in their romantic relationship, and are very repetitive in the post about how dedicated and committed they are. The use of short sentences punctuated by a full stop comes across as quite serious.</t>
  </si>
  <si>
    <t>C14B</t>
  </si>
  <si>
    <t>C14C</t>
  </si>
  <si>
    <t>The person forgot the cake, but I do not think that is enough to suggest they are less conscioustness than average.</t>
  </si>
  <si>
    <t>C15A</t>
  </si>
  <si>
    <t>They seem committed to their roles of a friend and a partner, and are apologetic when they've made a mistake and want to do better e.g making the cake.</t>
  </si>
  <si>
    <t>C15B</t>
  </si>
  <si>
    <t>C15C</t>
  </si>
  <si>
    <t>There is nothing to suggest they are more consciousness than the average person. Nothing to suggest they do lots to achieve their goals.</t>
  </si>
  <si>
    <t>C16A</t>
  </si>
  <si>
    <t>Because they seemed to really care about their partner, writing them a nice message and celebrating their birthday, getting them a surprise. They also seemed worried about their friend Alex who looked sick</t>
  </si>
  <si>
    <t>C16B</t>
  </si>
  <si>
    <t xml:space="preserve">The person's punctuation is a bit off, and some of the text is not grammatically correct. The tone also seems very casual, and based on the errors, i'm guessing the person did not proof read before posting. </t>
  </si>
  <si>
    <t>C16C</t>
  </si>
  <si>
    <t xml:space="preserve">There is nothing to suggest that they are consciousness or not. You cannot tell based on those social media posts. </t>
  </si>
  <si>
    <t>C17A</t>
  </si>
  <si>
    <t>Seemed very caring of their partner from text 2 - by the words they used. however again not enough information</t>
  </si>
  <si>
    <t>C17B</t>
  </si>
  <si>
    <t xml:space="preserve">They want to keep the party low-key, so they're not really impulsive with decisions, and seem to be a little organised. But at the same time, they still had a wild time at the gathering in post 1. </t>
  </si>
  <si>
    <t>C17C</t>
  </si>
  <si>
    <t>There is not much to suggest they are more or less conscientious than the average person. But the social media post does seem very well thought it.</t>
  </si>
  <si>
    <t>C18A</t>
  </si>
  <si>
    <t>Not enough information to decide, but they did not say anything nasty or horrible in these posts. Not sure. Not sure about embarrassing others but there wasn't anything specific enough and most couples are able to laugh at each other</t>
  </si>
  <si>
    <t>C18B</t>
  </si>
  <si>
    <t xml:space="preserve">In the second post, the person appears to be quite organised and goal driven, they mention cake, fizz and a fun-filled day of surprises. This list sort of gives an impression of the structure of their partner's birthday, creating a organised vibe. </t>
  </si>
  <si>
    <t>C18C</t>
  </si>
  <si>
    <t xml:space="preserve">They are very keen to organise things despite some events being hard to plan and organise hence I voted high. </t>
  </si>
  <si>
    <t>C19A</t>
  </si>
  <si>
    <t>C19B</t>
  </si>
  <si>
    <t xml:space="preserve">The person seems organised. they say they're glad this plan made it out the groupchat, implying a lot of planning and time mangagment went into it. </t>
  </si>
  <si>
    <t>C19C</t>
  </si>
  <si>
    <t xml:space="preserve">The fact they are able to maintain friendships for so many decades suggests that they are keen to stay in touch and do things that make them happy. </t>
  </si>
  <si>
    <t>C20A</t>
  </si>
  <si>
    <t xml:space="preserve">Very lovely posts about catching up with their friends and very lovely post for their husband so they seem very conscientious </t>
  </si>
  <si>
    <t>C20B</t>
  </si>
  <si>
    <t xml:space="preserve">Seems to be very family oreintated and happy with their life. The person is also very reflective and is optimistic about how they can face future challenges. </t>
  </si>
  <si>
    <t>C20C</t>
  </si>
  <si>
    <t>They seem very patient and having a good minder to marriage which suggests they are keen to achieve their goals.</t>
  </si>
  <si>
    <t>C21A</t>
  </si>
  <si>
    <t>Seemed like a really lovely person from both of the texts and they way they were written. Especially their partner's birthday wish</t>
  </si>
  <si>
    <t>C21B</t>
  </si>
  <si>
    <t xml:space="preserve">The person describes their partner's acheivements and optimistically talks about their future. This creates a sense of being very goal oreintated and ambitious about the future. </t>
  </si>
  <si>
    <t>C21C</t>
  </si>
  <si>
    <t>I feel this person would be very rigid but stubborn and enjoyed doing mundane tasks so I feel they would.be very high.</t>
  </si>
  <si>
    <t>C22A</t>
  </si>
  <si>
    <t>They wrote a very lovely reflextive considerate text in text 1 and their message to their partner was quite nice</t>
  </si>
  <si>
    <t>C22B</t>
  </si>
  <si>
    <t xml:space="preserve">The person appears to be thoughtful and organised. They are intending to go out for the mum's birthday, which suggests that there must be some pre-planning and organisation involved. </t>
  </si>
  <si>
    <t>C22C</t>
  </si>
  <si>
    <t xml:space="preserve">It is very hard to tell if they would be conscientious or not . The social media posts do not give much away. </t>
  </si>
  <si>
    <t>C23A</t>
  </si>
  <si>
    <t>Very lovely posts about their friends and their partner, they look like someone who really cares about small things and their loved ones</t>
  </si>
  <si>
    <t>C23B</t>
  </si>
  <si>
    <t xml:space="preserve">High because she has been in a long term relationship of 13 years. This reflects committment, perseverance and being able to care and manage differences. </t>
  </si>
  <si>
    <t>C23C</t>
  </si>
  <si>
    <t>They do not seem as educated based on their language which suggests they may not be as hard working but is hard to tell.</t>
  </si>
  <si>
    <t>C24A</t>
  </si>
  <si>
    <t xml:space="preserve">Lovely posts both about friends and loved one, language used was from someone who will score higher on conscientiousness </t>
  </si>
  <si>
    <t>C24B</t>
  </si>
  <si>
    <t>in the middle because Ethusiastic lanauge used throughout. However, Some grammatical erros so not as orgnised</t>
  </si>
  <si>
    <t>C24C</t>
  </si>
  <si>
    <t xml:space="preserve">They seem like someone who would be very stubborn and focused and be quite tedious overall hence I voted moderate. </t>
  </si>
  <si>
    <t>C25A</t>
  </si>
  <si>
    <t>Lovely posts both about their friends and their partner, someone whi cares about people and their loves ones</t>
  </si>
  <si>
    <t>C25B</t>
  </si>
  <si>
    <t xml:space="preserve">Lots of organisation invovled for the birthday. Also acknowledges and appreciates her partner's patience, which suggests she is aware of others and her envrionemnt. </t>
  </si>
  <si>
    <t>C25C</t>
  </si>
  <si>
    <t>They seem to be people that would go out of their way to achieve their goals and be successful. Like them a lot.</t>
  </si>
  <si>
    <t>C26A</t>
  </si>
  <si>
    <t>Seemed like a generally nice considerate person but not enough information frankly the texts to be able to judge</t>
  </si>
  <si>
    <t>C26B</t>
  </si>
  <si>
    <t>Compared to previous posts shown, there isn't as much emphasis or ethnusiasm about planning future gatherings in post 1, which reflects lower levels of organisation.</t>
  </si>
  <si>
    <t>C26C</t>
  </si>
  <si>
    <t>It suggests that they are reliant on others but again we don't fully understand the context hence I stuck with moderate but did consider high and low.</t>
  </si>
  <si>
    <t>C27A</t>
  </si>
  <si>
    <t>This person doesn't seem like someone who is very conscientious or cares abiut others he seems very bigoted and self centered even his bday message to his wife was about how she serves him</t>
  </si>
  <si>
    <t>C27B</t>
  </si>
  <si>
    <t xml:space="preserve">Reflects on past behaviours, such as being immature to becoming more sophistaticated which reflects change in life style and becoming organised. </t>
  </si>
  <si>
    <t>C27C</t>
  </si>
  <si>
    <t xml:space="preserve">They are keen for age not to.be a barrier and for them to carry on enjoying life and having lots of fun! </t>
  </si>
  <si>
    <t>C28A</t>
  </si>
  <si>
    <t>Very lovely posts both about their friends and their loved one. Seems like a conscientious person who cares about people</t>
  </si>
  <si>
    <t>C28B</t>
  </si>
  <si>
    <t xml:space="preserve">Wants to make the school reunion a yearly comminemtn, so is determiend and organised to keep this oging. </t>
  </si>
  <si>
    <t>C28C</t>
  </si>
  <si>
    <t>They are determined to carry on living their life even though they may be aging and getting older. That is clear based on the friendship post and the partner post.</t>
  </si>
  <si>
    <t>C29A</t>
  </si>
  <si>
    <t>Seems to be a very caring individual who cares about their friends family and husband and enjoys spending time with them</t>
  </si>
  <si>
    <t>C29B</t>
  </si>
  <si>
    <t>Some references to changes in physical features, so acknowledging health responsibilities. this creates a responsible tone as the person knows they are maturing.</t>
  </si>
  <si>
    <t>C29C</t>
  </si>
  <si>
    <t xml:space="preserve">They seem like people who would be very thoughtful and keen to meet their goals. I could be wrong and she may actually be drunk. </t>
  </si>
  <si>
    <t>C30A</t>
  </si>
  <si>
    <t>Someone who really values their friends and the time spent with them and someone who cares about their husband and wants to make their birthday special</t>
  </si>
  <si>
    <t>C30B</t>
  </si>
  <si>
    <t>In the birthday post, there isn't a clear references to what they will be doing. Creates more of a sense of an adverture and an absence of organisation.</t>
  </si>
  <si>
    <t>C30C</t>
  </si>
  <si>
    <t>She wanted to know answers straight away, was willing to plan the next event and had planned a celebration for her partner</t>
  </si>
  <si>
    <t>C31A</t>
  </si>
  <si>
    <t xml:space="preserve">They seem pretty keen to take the lead on organising these meet ups on a more regular basis i.e. annually. </t>
  </si>
  <si>
    <t>C31B</t>
  </si>
  <si>
    <t>It seems that they have spoilt their husband with gifts and celebrations, and also were happy to organise an annual reunion event with friends.</t>
  </si>
  <si>
    <t>C31C</t>
  </si>
  <si>
    <t>Sounds like they did not organise the event with their friends but has possibly organised something for their partners birthday</t>
  </si>
  <si>
    <t>C32A</t>
  </si>
  <si>
    <t>This person seems pretty sophistacted overall although they know how to let their hair down so they seem fun overall.</t>
  </si>
  <si>
    <t>C32B</t>
  </si>
  <si>
    <t>They have written lots of kind meaningful words about their friends online and the way they have written the birthday message makes it seem it's sincere - such as being here for you.</t>
  </si>
  <si>
    <t>C32C</t>
  </si>
  <si>
    <t>this person does not say anything relevant to having planned anything for their friends birthday or for meeting friends</t>
  </si>
  <si>
    <t>C33A</t>
  </si>
  <si>
    <t>Once more they seem like pretty basic people, with all due respect. They may not be the most educated person.</t>
  </si>
  <si>
    <t>C33B</t>
  </si>
  <si>
    <t>It sounds like they might have lost touch with friends over the years, but also that they're easy to get along with as they are open to having a drink and being in touch with friends.</t>
  </si>
  <si>
    <t>C33C</t>
  </si>
  <si>
    <t>Lack of planning shown by choosing a frequently done activity which does not require planning, does not use good grammar and no evidence of having organised anything for partner or friends</t>
  </si>
  <si>
    <t>C34A</t>
  </si>
  <si>
    <t>They may not be that disciplined etc. based on their alcohol consumption and risk taking behaviour. But they also do seem determined in their romantic relationship despite the ups and downs.</t>
  </si>
  <si>
    <t>C34B</t>
  </si>
  <si>
    <t>The fact that there are spelling mistakes and bad grammar suggests that they don't really care much about doing things right.</t>
  </si>
  <si>
    <t>C34C</t>
  </si>
  <si>
    <t>Shows no evidence of having planned the event with friends and no intention of planning the next one, however did do some minor planning for partners birthday</t>
  </si>
  <si>
    <t>C35A</t>
  </si>
  <si>
    <t xml:space="preserve">It is hard to tell, they have a good sense of humour but it is unclear based on that how conscientious they may be. </t>
  </si>
  <si>
    <t>C35B</t>
  </si>
  <si>
    <t>Their message to their partner seemed really attentive to what the partner wants in life and their needs.</t>
  </si>
  <si>
    <t>C35C</t>
  </si>
  <si>
    <t>doesn't sound like they planned anything for the partners birthday or for the meeting with friends and has not offered to plan a next meet up</t>
  </si>
  <si>
    <t>C36A</t>
  </si>
  <si>
    <t xml:space="preserve">Once again, their language used suggests they are very disciplined, organised and have got all of their stuff together. </t>
  </si>
  <si>
    <t>C36B</t>
  </si>
  <si>
    <t>The words about her friends and husband seem very from the heart and personal, it seems that they are willing to be very complimentary of other people</t>
  </si>
  <si>
    <t>C36C</t>
  </si>
  <si>
    <t>It takes a lot of planning to move abroad which shows that this person is conscientious they also have a new job and most jobs require this</t>
  </si>
  <si>
    <t>C37A</t>
  </si>
  <si>
    <t xml:space="preserve">This person just seems a little bit simple and basic so it is hard to tell based on the text how they would be. </t>
  </si>
  <si>
    <t>C37B</t>
  </si>
  <si>
    <t>They seem very complimentary about their partner and that they would do anything for them and is giving in the relationship</t>
  </si>
  <si>
    <t>C37C</t>
  </si>
  <si>
    <t>Didn't check their posts for grammatical or punctuation errors which suggests they aren't very conscientious</t>
  </si>
  <si>
    <t>C38A</t>
  </si>
  <si>
    <t>They seem very reflective and inspirational talking about their past failures and how they have now achieved lots of things.</t>
  </si>
  <si>
    <t>C38B</t>
  </si>
  <si>
    <t>The spelling mistakes in the post suggests they don't really care about the way they come across or if they are correct</t>
  </si>
  <si>
    <t>C38C</t>
  </si>
  <si>
    <t>This person has planned their partners birthday and says they are planning amazing adventures in the future</t>
  </si>
  <si>
    <t>C39A</t>
  </si>
  <si>
    <t>Again, their use of language suggests they are educated and someone who has a lot of good traits needed to be succesful.</t>
  </si>
  <si>
    <t>C39B</t>
  </si>
  <si>
    <t>There is nothing that makes me feel that this person is really contentious, it seems that they care a lot about the needs and feelings of others over themselves.</t>
  </si>
  <si>
    <t>C39C</t>
  </si>
  <si>
    <t xml:space="preserve">This person has not checked their post for spelling or grammar so they are unlikely to be conscientious </t>
  </si>
  <si>
    <t>C40A</t>
  </si>
  <si>
    <t>They do not seem the most educated based on their poor use of the language but they have made a reference to lots of achievements also.</t>
  </si>
  <si>
    <t>C40B</t>
  </si>
  <si>
    <t>This person talks about accomplishments, making them sound contentious, and also is "on their feet" so it makes them seem on the ball and not letting themselves slip.</t>
  </si>
  <si>
    <t>C40C</t>
  </si>
  <si>
    <t>There is no evidence of this person having planned any of the activities with their partner or with their friends</t>
  </si>
  <si>
    <t>C41A</t>
  </si>
  <si>
    <t>This person may be very organised and efficient as people who tend to play such games may be very organised and structured.</t>
  </si>
  <si>
    <t>C41B</t>
  </si>
  <si>
    <t>The person seems kind and caring, they list the things the enjoy doing and have done for other people</t>
  </si>
  <si>
    <t>C41C</t>
  </si>
  <si>
    <t>big random accidental word in the first post suggests that the person did not spell check the post and is therefore unlikely to be conscientious</t>
  </si>
  <si>
    <t>C42A</t>
  </si>
  <si>
    <t>Seem very organised in organising such a nice gift for their romantic partner's gifts and using lots of kisses.</t>
  </si>
  <si>
    <t>C42B</t>
  </si>
  <si>
    <t>They reference planning lots of things for their partner which makes them come across and contentious as they are generous and thinking of others.</t>
  </si>
  <si>
    <t>C42C</t>
  </si>
  <si>
    <t xml:space="preserve">this person did not plan anything for their partners brithday and it does not sound like they planned anything for their friends either </t>
  </si>
  <si>
    <t>C43A</t>
  </si>
  <si>
    <t xml:space="preserve">There is nothiing clear to suggest anything either way hence I have gone for the middle option overall. </t>
  </si>
  <si>
    <t>C43B</t>
  </si>
  <si>
    <t>It doesn't sound like this person is particularly hard working, it sounds like their more around for a good time as they don't reference anything serious</t>
  </si>
  <si>
    <t>C43C</t>
  </si>
  <si>
    <t xml:space="preserve">they haven't read through their post to check for spelling and grammar and this is not very conscientious </t>
  </si>
  <si>
    <t>C44A</t>
  </si>
  <si>
    <t>They had been talking about planning something but it took a while to plan. So could not vote high or low.</t>
  </si>
  <si>
    <t>C44B</t>
  </si>
  <si>
    <t>The use of emojis shows that they don't really take themselves too seriously, but I'm not really sure what they have done with their life in the 10 years from the post.</t>
  </si>
  <si>
    <t>C44C</t>
  </si>
  <si>
    <t>this person forgot some of their friends had existed so seems a little bit ditzy which does not normal coincide with being conscientious</t>
  </si>
  <si>
    <t>C45A</t>
  </si>
  <si>
    <t xml:space="preserve">I get negative vibes from him. Seems like someone who would be quite bitter hence I have voted low. </t>
  </si>
  <si>
    <t>C45B</t>
  </si>
  <si>
    <t>It seems that this person is conscious of not expressing too much emotion in their posts, everything is very general</t>
  </si>
  <si>
    <t>C45C</t>
  </si>
  <si>
    <t>The way he has written a very loving message to their partner really suggests that they are very conscientious and want their partner to achieve the best.</t>
  </si>
  <si>
    <t>C46A</t>
  </si>
  <si>
    <t xml:space="preserve">Has made lists of traits and food in the posts which suggests they are an organised person with organised thoughts </t>
  </si>
  <si>
    <t>C46B</t>
  </si>
  <si>
    <t xml:space="preserve">The first post doesn't seem to portray much conscientiousness, but the second post shows effort to do something well and care for their wife. </t>
  </si>
  <si>
    <t>C46C</t>
  </si>
  <si>
    <t>Nothing to suggest they are more than average. The language is very monotone which suggests they may be a little awkward.</t>
  </si>
  <si>
    <t>C47A</t>
  </si>
  <si>
    <t xml:space="preserve">May be disorganised as they did not manage their work load in order to be able to attend their significant others special occasion </t>
  </si>
  <si>
    <t>C47B</t>
  </si>
  <si>
    <t xml:space="preserve">The first post seems to show thinking reflectively about the event and the repercussions etc, and the second post seems to show a lot of effort being put into the message. </t>
  </si>
  <si>
    <t>C47C</t>
  </si>
  <si>
    <t>Their commitment to their partner and going through ups and downs and affections suggest their levels are very high.</t>
  </si>
  <si>
    <t>C48A</t>
  </si>
  <si>
    <t xml:space="preserve">No evidence of this person having planned any part of seeing their friends or anything for their significant other but they have not suggested that they didn't either </t>
  </si>
  <si>
    <t>C48B</t>
  </si>
  <si>
    <t xml:space="preserve">They seem to have put a lot of effort into the second post and reflecting on gratefulness. They don't always capitalise their sentences. </t>
  </si>
  <si>
    <t>C48C</t>
  </si>
  <si>
    <t xml:space="preserve">Again, the use of the language is pretty formal which suggests they are quite serious and thorough. </t>
  </si>
  <si>
    <t>C49A</t>
  </si>
  <si>
    <t xml:space="preserve">This person does not state that they have made any plans to see their friends again or to do something special for their significant other </t>
  </si>
  <si>
    <t>C49B</t>
  </si>
  <si>
    <t xml:space="preserve">They showed deep reflection in the first post, thinking about types of relationships and patterns of friendships, what's important etc. They put a lot of effort into the second post , picking up on the personal aspects. </t>
  </si>
  <si>
    <t>C49C</t>
  </si>
  <si>
    <t>There is nothing to suggest much about their conscientiousness and whether it's above average or below average.</t>
  </si>
  <si>
    <t>C50A</t>
  </si>
  <si>
    <t xml:space="preserve">This person has planned a surprise for their partners birthday which shows that they are organised  </t>
  </si>
  <si>
    <t>C50B</t>
  </si>
  <si>
    <t xml:space="preserve">They were thoughtful of the people that are no longer with us in the first post. They have put in effort into their birthday present for their partner. </t>
  </si>
  <si>
    <t>C50C</t>
  </si>
  <si>
    <t>They seem very loving towards their partner and want them to be happy. They are very loyal, suggested by the language used.</t>
  </si>
  <si>
    <t>C51A</t>
  </si>
  <si>
    <t xml:space="preserve">This person did not plan any new activities for their meeting with friends and has not tried to organise another meet up, they have also not planned anything for the birthday </t>
  </si>
  <si>
    <t>C51B</t>
  </si>
  <si>
    <t xml:space="preserve">They showed reflection of how friendships change over time and the positive aspects of those that reunite. </t>
  </si>
  <si>
    <t>C51C</t>
  </si>
  <si>
    <t>Nothing to suggest they are more conscienticuous than average. The grammar is also poor which could be linked surprisingly.</t>
  </si>
  <si>
    <t>C52A</t>
  </si>
  <si>
    <t xml:space="preserve">The person has not spell or grammar checked either of their posts so they seem like they rush into things rather than being organised </t>
  </si>
  <si>
    <t>C52B</t>
  </si>
  <si>
    <t xml:space="preserve">The writing didn't seem very effortful. It may be a language barrier but gives off rushed vibes. They seem to be positive at surface level but not much depth. </t>
  </si>
  <si>
    <t>C52C</t>
  </si>
  <si>
    <t>This person seems like someone who would be very emotionally intelligent based on their languages. I would think they are smart and successful.</t>
  </si>
  <si>
    <t>C53A</t>
  </si>
  <si>
    <t xml:space="preserve">This person has spent a long time thinking about what to say as evidenced by the length and detail in the posts </t>
  </si>
  <si>
    <t>C53B</t>
  </si>
  <si>
    <t xml:space="preserve">They wrote so much! They put a lot of effort into their posts, deeply reflecting on their thoughts and feelings. </t>
  </si>
  <si>
    <t>C53C</t>
  </si>
  <si>
    <t>This person has a dry sense of humour so I feel they would not be as conscientious compared to some of the other people.</t>
  </si>
  <si>
    <t>C54A</t>
  </si>
  <si>
    <t xml:space="preserve">Has planned to see their friends again but has not planned something special for their significant other </t>
  </si>
  <si>
    <t>C54B</t>
  </si>
  <si>
    <t>The posts are brief with not much effort or attention to detail, they seem to focus on more surface level aspects</t>
  </si>
  <si>
    <t>C54C</t>
  </si>
  <si>
    <t>Seems very polite and thoughtful regarding planning the visit to sky garden but nothing to suggest they are more conscientious than average.</t>
  </si>
  <si>
    <t>C55A</t>
  </si>
  <si>
    <t xml:space="preserve">Did not organise anything for their significant others meet up with friends but organised a dinner for their significant others </t>
  </si>
  <si>
    <t>C55B</t>
  </si>
  <si>
    <t xml:space="preserve">They showed lots of appreciation and gratefulness for the night, even thanking the organiser and noting the server. </t>
  </si>
  <si>
    <t>C55C</t>
  </si>
  <si>
    <t>Their sense of humour suggests they may be conscientious and pretty caring towards their partner overall.</t>
  </si>
  <si>
    <t>C56A</t>
  </si>
  <si>
    <t>This person sounds as if they go with the flow but they have also listed lots of activities they want to do suggesting some organisation</t>
  </si>
  <si>
    <t>C56B</t>
  </si>
  <si>
    <t xml:space="preserve">They seem pretty care free but their description is quite surface level, though they seem to have put effort in for their partner and their presents. </t>
  </si>
  <si>
    <t>C56C</t>
  </si>
  <si>
    <t>Their sense of humour suggests they are very fun and enjoyable but it is not obvious to predict how conscientious they are.</t>
  </si>
  <si>
    <t>C57A</t>
  </si>
  <si>
    <t>This person has organised a birthday suprise for their significant other so they are probably a very organised person</t>
  </si>
  <si>
    <t>C57B</t>
  </si>
  <si>
    <t xml:space="preserve">They seem very thoughtful and considerate of their own experience and reflective of their position in a group </t>
  </si>
  <si>
    <t>C57C</t>
  </si>
  <si>
    <t>Person seems like a very simple person but pretty content overall hence I voted for high. They do have a sense of humour.</t>
  </si>
  <si>
    <t>C58A</t>
  </si>
  <si>
    <t xml:space="preserve">This person has organised a trip to London for their significant other so I'd likely conscientious as this requires a large amount of planning  </t>
  </si>
  <si>
    <t>C58B</t>
  </si>
  <si>
    <t xml:space="preserve">They put effort into their partners birthday celebrations and were considerate of people no longer with us. </t>
  </si>
  <si>
    <t>C58C</t>
  </si>
  <si>
    <t>They did go through the process of ordering new things for the partner's birthday but again not clear enough to suggest it is high.</t>
  </si>
  <si>
    <t>C59A</t>
  </si>
  <si>
    <t xml:space="preserve">This person says they want to meet up with their friends again soon but has made no effort to organise anything </t>
  </si>
  <si>
    <t>C59B</t>
  </si>
  <si>
    <t>They seem aware of the dynamics at play in the friend group and thought a lot about perhaps inside jokes with partner.</t>
  </si>
  <si>
    <t>C59C</t>
  </si>
  <si>
    <t>THey seem like someone who would be pretty simple and organised, but cannot confidently say they would be higher than average.</t>
  </si>
  <si>
    <t>C60A</t>
  </si>
  <si>
    <t xml:space="preserve">This person has not said anything in either of their posts to suggest that they are or are not an organised person </t>
  </si>
  <si>
    <t>C60B</t>
  </si>
  <si>
    <t xml:space="preserve">They seem to have put in effort into their posts and reflected in how life has changed and relates to memories. </t>
  </si>
  <si>
    <t>C60C</t>
  </si>
  <si>
    <t>A willingness to engage with others and the outside world is present. They started the engagement with the stranger via throwing popcorn and subsequently felt comfortable enough talking with this stranger and exchanging numbers.</t>
  </si>
  <si>
    <t>E1A</t>
  </si>
  <si>
    <t>they seem like a very outgoing and sociable person, interacting with the boy in the first scenario even though they did not know him</t>
  </si>
  <si>
    <t>E1B</t>
  </si>
  <si>
    <t>participant went out with friends, spent time actively trying to get the attention of a man and started cheating on her husband with them</t>
  </si>
  <si>
    <t>E1C</t>
  </si>
  <si>
    <t>The individual has clearly been socialising in the first post but indicates that this is with friends who are well known to them and which they have a strong bond with</t>
  </si>
  <si>
    <t>E2A</t>
  </si>
  <si>
    <t>I think someone who enjoys nights out with a group of ppl AND post about it has got to be quite extraverted!</t>
  </si>
  <si>
    <t>E2B</t>
  </si>
  <si>
    <t>the participant went out with a group of friends and seems happy to be engaging with extroverted behaviours</t>
  </si>
  <si>
    <t>E2C</t>
  </si>
  <si>
    <t>The individual has expressed positive emotions around their recent social gathering but as above appears to have attended this with individuals they know and are close to</t>
  </si>
  <si>
    <t>E3A</t>
  </si>
  <si>
    <t xml:space="preserve">they describe a quiet evenign in having dinner, and they focus on the food and that type of thing, rather than the social aspect so they seem more like an introvert. they also seem lower on social skills due to making rather cringe posts so that again suggests they are more likely to be introverted </t>
  </si>
  <si>
    <t>E3B</t>
  </si>
  <si>
    <t>the patient seems to enjoy spending time with her husband and with her close friends, but chose to have a night in rather than in public</t>
  </si>
  <si>
    <t>E3C</t>
  </si>
  <si>
    <t>As documented in previous answers the social gathering appeared planned but also indicated they hadn't seen each other in quite some time</t>
  </si>
  <si>
    <t>E4A</t>
  </si>
  <si>
    <t xml:space="preserve">even with their partner they seem very distant and reserved which is strange and suggests an introvert, same for the first post, they focus on their reflections and seem rather introspective, rather than talking about enjoying the social aspect itself </t>
  </si>
  <si>
    <t>E4B</t>
  </si>
  <si>
    <t>the participant describes seeing old friends or acquaintances really and states that this was something that they enjoyed</t>
  </si>
  <si>
    <t>E4C</t>
  </si>
  <si>
    <t xml:space="preserve">Social gathering appears planned in nature but appears to be with individuals they haven't seen in quite some time </t>
  </si>
  <si>
    <t>E5A</t>
  </si>
  <si>
    <t xml:space="preserve">seems reflective and introspective rather than too focused on the social aspects, but seems to have a deeper connection with the partner so introvert makes sense </t>
  </si>
  <si>
    <t>E5B</t>
  </si>
  <si>
    <t>the participant describes recently spending time in the company of some old friends and how this was enjoyable for them</t>
  </si>
  <si>
    <t>E5C</t>
  </si>
  <si>
    <t>Although the gathering was planned it was with individuals they weren't fully familiar with anymore which indicates spontaneous behaviour</t>
  </si>
  <si>
    <t>E6A</t>
  </si>
  <si>
    <t xml:space="preserve">Seems social but superficial going on about how close she is with childhood friends which is hard to believe </t>
  </si>
  <si>
    <t>E6B</t>
  </si>
  <si>
    <t>the participant talks about their relationships with others in both of their posts, and that these seem to make them happy</t>
  </si>
  <si>
    <t>E6C</t>
  </si>
  <si>
    <t>Appears to enjoy and value their time with others but both posts indicate long standing strong relationships with these individuals</t>
  </si>
  <si>
    <t>E7A</t>
  </si>
  <si>
    <t xml:space="preserve">so focused on friendship and so open to talking about how they feel about their partner's attractiveness in a public forum, which is rather cringe and borderline oversharing, so I feel like this person is extremly extroverted </t>
  </si>
  <si>
    <t>E7B</t>
  </si>
  <si>
    <t>the participant describes spending time with a group of friends recently as well as past experiences socially</t>
  </si>
  <si>
    <t>E7C</t>
  </si>
  <si>
    <t>Although the event was planned it appears to be with people they were unfamiliar with as they hadn't seen them in a while which displays positive spontaneous behaviour</t>
  </si>
  <si>
    <t>E8A</t>
  </si>
  <si>
    <t xml:space="preserve">Feels like an introvert who is caught up in reflection and reminiscing a lot, rather than being loud and social and overly excited </t>
  </si>
  <si>
    <t>E8B</t>
  </si>
  <si>
    <t>the participant writes about how they have had recent social experiences and that they have found these very enjoyable</t>
  </si>
  <si>
    <t>E8C</t>
  </si>
  <si>
    <t xml:space="preserve">The individual met up with people they haven't seen in a considerable amount of time and expressed a desire to do so again whenever they were back in town which doesn't indicate rigid structure in terms of when that next interaction takes place </t>
  </si>
  <si>
    <t>E9A</t>
  </si>
  <si>
    <t xml:space="preserve">reflective, genuinely empathetic, that suggests an introvert. samr for the post about friends which doesn't seem overly excited </t>
  </si>
  <si>
    <t>E9B</t>
  </si>
  <si>
    <t>the participant talks about two different social events that they have recently engaged in and that these were fun for them</t>
  </si>
  <si>
    <t>E9C</t>
  </si>
  <si>
    <t>The individual seems brave enough to perform karaoke in front of a load of people they previously hadn't seen in a long time as well express a desire to see them again</t>
  </si>
  <si>
    <t>E10A</t>
  </si>
  <si>
    <t>too high, sharing everything in a public forum including their partner saying their messages are too short - very cringe, would only expect this from an exteme extrovert</t>
  </si>
  <si>
    <t>E10B</t>
  </si>
  <si>
    <t>the participant writes in the first post about how much they have enjoyed spending time with others socially, including a desire to sing in public</t>
  </si>
  <si>
    <t>E10C</t>
  </si>
  <si>
    <t>They seem very excited to share to the world that they have these plans. They are posting upddates on social media for all of their followers to see.</t>
  </si>
  <si>
    <t>E11A</t>
  </si>
  <si>
    <t xml:space="preserve">They appear quite motivated by spending time with people in their life, and also choose to share with others on social media that they are socialising or have a partner. </t>
  </si>
  <si>
    <t>E11B</t>
  </si>
  <si>
    <t xml:space="preserve">This person definitely seems outgoing, adventurous and the kind of person who loves life with a big group of people. The exaggeration and metaphors "you brought colours into my life" indicate this person is highly extraverted. </t>
  </si>
  <si>
    <t>E11C</t>
  </si>
  <si>
    <t>Because I do not feel someone with high levels of extraversion would enjoy such an event, nor would they be so excited to share it with everyone on social media.</t>
  </si>
  <si>
    <t>E12A</t>
  </si>
  <si>
    <t>E12B</t>
  </si>
  <si>
    <t>Both posts show a high degree of enthusiasm and energy. The first post describes a social gathering with friends, full of "lots of laughs" and anticipation for future events, whilst the second post is full of positivity about a birthday. Phrases like "Had a great catch up," "lots of laughs and drinks," and "Can't wait until the next one" suggest a high level of engagement with others and a preference for social activities.</t>
  </si>
  <si>
    <t>E12C</t>
  </si>
  <si>
    <t>The excitement and enthuasism with which they talk about what sort of events they have been doing socially suggest they may be extraverted.</t>
  </si>
  <si>
    <t>E13A</t>
  </si>
  <si>
    <t>They seem motivated and engaged by spending time with peers. The tone is a lot more excited when referencing specific social activities, compared to just their relationship in general with their partner.</t>
  </si>
  <si>
    <t>E13B</t>
  </si>
  <si>
    <t>Both posts reveal a high level of social interaction and enthusiasm. In the first post, the person describes a fun, energetic experience with a friend, full of kinetic activities like dancing, drinking, and playing air hockey. The use of exclamatory phrases like "I love you!" and "Cant wait to do it again!" further emphasize their excitement and enjoyment of social connections.</t>
  </si>
  <si>
    <t>E13C</t>
  </si>
  <si>
    <t xml:space="preserve">The way this person is speaking, suggests they are not so extraverted generally speaking, but only with people they are comfortable with. </t>
  </si>
  <si>
    <t>E14A</t>
  </si>
  <si>
    <t>E14B</t>
  </si>
  <si>
    <t>E14C</t>
  </si>
  <si>
    <t>They seem to be out and enjoy things in social settings such as in bowling or in mini golf. They were very enthuastic about the fun that they had.</t>
  </si>
  <si>
    <t>E15A</t>
  </si>
  <si>
    <t>They express they want to see their friends again soon, and tag them in the post in the hopes that they will see and maybe initiate new plans.</t>
  </si>
  <si>
    <t>E15B</t>
  </si>
  <si>
    <t>E15C</t>
  </si>
  <si>
    <t xml:space="preserve">From what they described, they really enjoyed socialising and being out and about with their friends. </t>
  </si>
  <si>
    <t>E16A</t>
  </si>
  <si>
    <t>Again, seems very sociable - outing with friends, birthday parties for partner, excited to spend time with close ones etc</t>
  </si>
  <si>
    <t>E16B</t>
  </si>
  <si>
    <t xml:space="preserve">Similar to my response to openness, the person seems to enjoy social interactions, and likes trying new experiences. They show enthusiasm using words such as WOW, followed by an explanation mark. </t>
  </si>
  <si>
    <t>E16C</t>
  </si>
  <si>
    <t xml:space="preserve">They spoke only about how much they enjoyed partying while they were students at university and going out and partying. </t>
  </si>
  <si>
    <t>E17A</t>
  </si>
  <si>
    <t>E17B</t>
  </si>
  <si>
    <t xml:space="preserve">The person really enjoyed the social gathering in the first post. This enthusiasm is evident by repeated used of explanation marks. They just seem like they like to do stuff. </t>
  </si>
  <si>
    <t>E17C</t>
  </si>
  <si>
    <t>They seemed to enjoy dancing and partying and having a reunion which suggests they like being in busy places and being out.</t>
  </si>
  <si>
    <t>E18A</t>
  </si>
  <si>
    <t>E18B</t>
  </si>
  <si>
    <t xml:space="preserve">This is mainly evident in the first post as the person's tone remains ethnusiastic throughout. There's lots of mention about how they enjoyed laughting, gossiping, and dancing and is eager to meet up again in fututure, suggesting they like to socialise. </t>
  </si>
  <si>
    <t>E18C</t>
  </si>
  <si>
    <t>This person has not suggested they had as much fun as some of the other posts , there was some passive aggressiveness.</t>
  </si>
  <si>
    <t>E19A</t>
  </si>
  <si>
    <t>Again, no information about being open to try things out, excited about doing social things etc. Their post about catching up with friends sounded like a moan that it took forever to meet up</t>
  </si>
  <si>
    <t>E19B</t>
  </si>
  <si>
    <t xml:space="preserve">The person found it exciting to catch up with others and is also forward thinking about the struggle of planning future sessions, but never the less, they are still thinking ahead about future gatherings. </t>
  </si>
  <si>
    <t>E19C</t>
  </si>
  <si>
    <t xml:space="preserve">It is not clear how much they enjoy going out and socialising. Waiting 50 years suggests that maybe they don't like going out but it's hard to tell. </t>
  </si>
  <si>
    <t>E20A</t>
  </si>
  <si>
    <t>Again no information to suggest they are outgoing and extroverted or are excited to socialise need more info to decide</t>
  </si>
  <si>
    <t>E20B</t>
  </si>
  <si>
    <t xml:space="preserve">Very outgoing tone created, also lots of emojis. The person defo seems to like connecting with others, and feels comfortable with this too. </t>
  </si>
  <si>
    <t>E20C</t>
  </si>
  <si>
    <t xml:space="preserve">They really enjoy doing things with friends and having long days which could be several hours long. </t>
  </si>
  <si>
    <t>E21A</t>
  </si>
  <si>
    <t>Seemed excited to try thingss out and socialise, to see friends and catch up and enjoy things with their wife</t>
  </si>
  <si>
    <t>E21B</t>
  </si>
  <si>
    <t xml:space="preserve">Very upbeat tone created in first post through use of language and punctuation like the explanation marks. The person seems to like attending social events and is eager to continue doing so. </t>
  </si>
  <si>
    <t>E21C</t>
  </si>
  <si>
    <t>This person seems like someone who it is not natural for as there seems to be a lack of expression in the texts .</t>
  </si>
  <si>
    <t>E22A</t>
  </si>
  <si>
    <t>E22B</t>
  </si>
  <si>
    <t>The person expersed hwo they enjoyed connecting with friends, suggesting they like social gatherings. However there wasn't much enthusiasm compared to other posts, i'.e no explanation marks.</t>
  </si>
  <si>
    <t>E22C</t>
  </si>
  <si>
    <t>Their sort of language used suggests that they are very fun loving and enjoy doing such experiences and are very fun people.</t>
  </si>
  <si>
    <t>E23A</t>
  </si>
  <si>
    <t>Not enough information but seemed to enjoy seeing friends and doing activities and doing things with their partner</t>
  </si>
  <si>
    <t>E23B</t>
  </si>
  <si>
    <t xml:space="preserve">Lots of hashtags used which are associated with social gatherings reflecting her wanting to spend time with others. </t>
  </si>
  <si>
    <t>E23C</t>
  </si>
  <si>
    <t xml:space="preserve">They seem like someone who would enjoy being out and doing fun things and could do it for long periods of time. </t>
  </si>
  <si>
    <t>E24A</t>
  </si>
  <si>
    <t>They seemed to like catching up with friends and they seemed excited to go on adventures and explore with their partner</t>
  </si>
  <si>
    <t>E24B</t>
  </si>
  <si>
    <t xml:space="preserve">Punctuation and language used suggests this person enjoys the company of others and is excited about creating new memories. </t>
  </si>
  <si>
    <t>E24C</t>
  </si>
  <si>
    <t xml:space="preserve">This person does not seem a natural extravert and it does not seem like they were natural at express themselves. </t>
  </si>
  <si>
    <t>E25A</t>
  </si>
  <si>
    <t>Not much information to suggest they are an outgoing sociable person that will score highly on extraversion</t>
  </si>
  <si>
    <t>E25B</t>
  </si>
  <si>
    <t>Seems to enjoy social situations, which is reflected in the enthusiastic tone created throguhout both posts. Also lack of punctuation shows they are excited and could not pause for a break in typing.</t>
  </si>
  <si>
    <t>E25C</t>
  </si>
  <si>
    <t xml:space="preserve">The way they expressed themselves suggests they are very fun and enjoy socialising and being out and about. </t>
  </si>
  <si>
    <t>E26A</t>
  </si>
  <si>
    <t xml:space="preserve">No i formationto suggest this person is regularly sociable, likes going out or is extroverted individual </t>
  </si>
  <si>
    <t>E26B</t>
  </si>
  <si>
    <t xml:space="preserve">Use of punctuation mark and repeated language creates an ethnuastic and eager tone, reflecting a willingmness to engage in group social activiites. </t>
  </si>
  <si>
    <t>E26C</t>
  </si>
  <si>
    <t xml:space="preserve">They seem to be quite bitter at some point and not someone who is a natural in such social situations. </t>
  </si>
  <si>
    <t>E27A</t>
  </si>
  <si>
    <t>No indication he is extroverted he seems like he hates people and doesnâ€™t enjoy being sociable as he does not seem interested in un people</t>
  </si>
  <si>
    <t>E27B</t>
  </si>
  <si>
    <t xml:space="preserve">Although this person likes social gathering, it seems like she has reached a point in her life where she is priortising personal growth instead of going out to party with friends. </t>
  </si>
  <si>
    <t>E27C</t>
  </si>
  <si>
    <t>It is very mixed some of the language they used so I cannot decide either way hence I will choose moderate.</t>
  </si>
  <si>
    <t>E28A</t>
  </si>
  <si>
    <t>Seems to have enjoyed socialising with friends and looking forward to doing it more. Seems to enjoy going out with partner</t>
  </si>
  <si>
    <t>E28B</t>
  </si>
  <si>
    <t xml:space="preserve">Energetic tone created. Likes to be around others and is enthusiastic abotu future experiences, and wants to be involved in much as possible </t>
  </si>
  <si>
    <t>E28C</t>
  </si>
  <si>
    <t>They don't seem as exciting as some other people for whom it feels natural but they don't seem completely awkward .</t>
  </si>
  <si>
    <t>E29A</t>
  </si>
  <si>
    <t>Seems to be someone who enjoys socialising and enjoys big family gatherings and spending time with their husband and friends</t>
  </si>
  <si>
    <t>E29B</t>
  </si>
  <si>
    <t xml:space="preserve">Enjoys social situation and likes meeting up with firends reguarly. Has maintained the same group of friends, suggesting they are close and enjoy eachother's company. </t>
  </si>
  <si>
    <t>E29C</t>
  </si>
  <si>
    <t xml:space="preserve">The use of language suggests they naturally enjoy these sorts of situations and are very fun. I like the messages </t>
  </si>
  <si>
    <t>E30A</t>
  </si>
  <si>
    <t>Someone who enjoys socialising with friends and who is excited to go out and do activities with their husband</t>
  </si>
  <si>
    <t>E30B</t>
  </si>
  <si>
    <t xml:space="preserve">Very sociable vibe created. Is looking forward to birthday celebration and meeting friends, and also reflected by emojis. </t>
  </si>
  <si>
    <t>E30C</t>
  </si>
  <si>
    <t>She seems up for a lot of events celebrations and meeting people. She talked about spending time with others like she does it a lot</t>
  </si>
  <si>
    <t>E31A</t>
  </si>
  <si>
    <t>Again, they do not seem the most enthusiastic, so even they had fun and want to do it again they do not seem THAT extraverted.</t>
  </si>
  <si>
    <t>E31B</t>
  </si>
  <si>
    <t>This participant seems to get energy from being around other people and celebrating other people, and also would like to make meeting up with others' a regular thing.</t>
  </si>
  <si>
    <t>E31C</t>
  </si>
  <si>
    <t>this person really seems to enjoy spending time with people and from what they have written wants to spend more time with people</t>
  </si>
  <si>
    <t>E32A</t>
  </si>
  <si>
    <t>I think overall they really enjoyed it and are keen to do it again. I would say on the lower end of the high spectrum though.</t>
  </si>
  <si>
    <t>E32B</t>
  </si>
  <si>
    <t>They seem chatty and their posts seems more of an inner monologue of feelings, suggesting they are more extraverted.</t>
  </si>
  <si>
    <t>E32C</t>
  </si>
  <si>
    <t>this person seems to enjoy spending time with friends and has offered to have a drink with anyone on their social media - wants to meet new people</t>
  </si>
  <si>
    <t>E33A</t>
  </si>
  <si>
    <t>The use of language is not that exciting. Lack of emojis and genuine expression hence I have voted moderate.</t>
  </si>
  <si>
    <t>E33B</t>
  </si>
  <si>
    <t>They don't sound really extraverted but they do seem outgoing in the way that they like to hang out with friends, and are asking people to let them know when they are about.</t>
  </si>
  <si>
    <t>E33C</t>
  </si>
  <si>
    <t>Seems to have enjoyed spending time with people and eager to do it again, shown by saying lets do it again soon</t>
  </si>
  <si>
    <t>E34A</t>
  </si>
  <si>
    <t>This person seems a little bit dull based on the language used, even though they did enjoy themselves. However people are naturally more excitable when they are drunk and alcohol is involved.</t>
  </si>
  <si>
    <t>E34B</t>
  </si>
  <si>
    <t>Seems that they have a group of friends and have had lots of experiences where it suggests they have met lots of people/ done lots of new things.</t>
  </si>
  <si>
    <t>E34C</t>
  </si>
  <si>
    <t xml:space="preserve">doesn't seem that enthusiastic about going out with their friends again and seems to speak as if they don't have a lot of friends to celebrate the birthday with </t>
  </si>
  <si>
    <t>E35A</t>
  </si>
  <si>
    <t>Their good sense of humour and unique personality suggests they are pretty extraverted overall although the language is pretty basic also. Lower end of high I would say.</t>
  </si>
  <si>
    <t>E35B</t>
  </si>
  <si>
    <t>Their "go with the flow" attitude seems more linked with being an extravert - they are happy to do new things and meet new people.</t>
  </si>
  <si>
    <t>E35C</t>
  </si>
  <si>
    <t>Seems to really thrive when spending time with other people, they also seem really at ease when posting the post to social media, speaks freely and naturally so is likely confident around people</t>
  </si>
  <si>
    <t>E36A</t>
  </si>
  <si>
    <t>When talking about their sort of behavioiur, seems they really enjoy having a good time, but they also seem to be someone that would work hard also.</t>
  </si>
  <si>
    <t>E36B</t>
  </si>
  <si>
    <t>Sounds like they get their energy from being around other people and making memories, whether that be friends, husband or children.</t>
  </si>
  <si>
    <t>E36C</t>
  </si>
  <si>
    <t>The person chose to spend time with one person rather than a group, they don't seem to have a lot of friends and they didnt seem too enthusiastic about spending time with people</t>
  </si>
  <si>
    <t>E37A</t>
  </si>
  <si>
    <t xml:space="preserve">This person does not strike me as someone who absolutely loves socialising and they could live without it. </t>
  </si>
  <si>
    <t>E37B</t>
  </si>
  <si>
    <t>Something about the way they have written seems quite flat, makes me think that they might have lost touch with the friends until recently.</t>
  </si>
  <si>
    <t>E37C</t>
  </si>
  <si>
    <t>This person does not seem to have enjoyed spending time with their friends, they are talking about the past not the present. They also don't seem enthusiastic about doing it again</t>
  </si>
  <si>
    <t>E38A</t>
  </si>
  <si>
    <t xml:space="preserve">They seem like someone who enjoys being themselves and does not necessarily crave socialising with other people. </t>
  </si>
  <si>
    <t>E38B</t>
  </si>
  <si>
    <t>Again they seem that they haven't done many new things or has any funny or interesting memories, so it seems that they are more introverted</t>
  </si>
  <si>
    <t>E38C</t>
  </si>
  <si>
    <t>This person appears to have a lot of fun and is energised by going on adventures with people, is enthusiastic about seeing their friends again</t>
  </si>
  <si>
    <t>E39A</t>
  </si>
  <si>
    <t>The detailed and indepth nature suggests they would be very fun overall and really enjoy spending time with others.</t>
  </si>
  <si>
    <t>E39B</t>
  </si>
  <si>
    <t>They reference adventure a lot and wild stories, suggesting that they are up for a laugh and more outgoing in nature.</t>
  </si>
  <si>
    <t>E39C</t>
  </si>
  <si>
    <t>This person speaks as if they do not see their friends very often this suggests they do not have extraverted traits</t>
  </si>
  <si>
    <t>E40A</t>
  </si>
  <si>
    <t xml:space="preserve">They do not seem the most natural of socialisers but it is clear they still enjoy the company of others. </t>
  </si>
  <si>
    <t>E40B</t>
  </si>
  <si>
    <t>This person references "trials and tribulations" which makes it seem that they have put themselves out there in society.</t>
  </si>
  <si>
    <t>E40C</t>
  </si>
  <si>
    <t>They mentioned playing minecraft and most people that play video games tend to be intraverts, I think its a single player game too?</t>
  </si>
  <si>
    <t>E41A</t>
  </si>
  <si>
    <t>As soon as I heard the term, "minecraft" i pictured a typical anti social person. This may be wrong or unfair but that was my first impression.</t>
  </si>
  <si>
    <t>E41B</t>
  </si>
  <si>
    <t xml:space="preserve">This person definitely doesn't live an isolated life and it sounds like they do a lot of things. These things seem quote ordinary though and not "out there" </t>
  </si>
  <si>
    <t>E41C</t>
  </si>
  <si>
    <t>This person talks about adventures with friends and wanting to party late into the night which suggests they are extraverted</t>
  </si>
  <si>
    <t>E42A</t>
  </si>
  <si>
    <t xml:space="preserve">They seem to enjoy socialising but the language used still suggests they are pretty basic and could live without it. </t>
  </si>
  <si>
    <t>E42B</t>
  </si>
  <si>
    <t>They are specific about where they have spent time in childhood and I am interested into the stories experienced there ( I think reference to the place makes me think this)</t>
  </si>
  <si>
    <t>E42C</t>
  </si>
  <si>
    <t>this person prefers to reminisce and think of things they have already done rather than make new memories with other people</t>
  </si>
  <si>
    <t>E43A</t>
  </si>
  <si>
    <t>While they did enjoy it, there is not much enthusiasm as compared to others hence I have voted moderate. They diid not seem plain however hence did not vote low.</t>
  </si>
  <si>
    <t>E43B</t>
  </si>
  <si>
    <t>This person references funny and good memories, suggesting that they have done a lot of things with friends and seem extraverted</t>
  </si>
  <si>
    <t>E43C</t>
  </si>
  <si>
    <t xml:space="preserve">this person seems to enjoy spending time with others but does not seem to be proactive in seeing their friends again </t>
  </si>
  <si>
    <t>E44A</t>
  </si>
  <si>
    <t>They met their partner online so it suggests they are willing to try different thngs to meet new people.</t>
  </si>
  <si>
    <t>E44B</t>
  </si>
  <si>
    <t>It sounds like this person was friends with a lot of people and have close relationships with them all</t>
  </si>
  <si>
    <t>E44C</t>
  </si>
  <si>
    <t xml:space="preserve">this person has a lot of friends and seems to have really enjoyed meeting up with new people, stayed at the bar for hours </t>
  </si>
  <si>
    <t>E45A</t>
  </si>
  <si>
    <t>It is not nice to be dry and mention you have forgotten about your friends. It is a clear no for me and their language is very dry.</t>
  </si>
  <si>
    <t>E45B</t>
  </si>
  <si>
    <t>The person doesn't seem that they have a lot of energy, the posts are general and limited use of personal words or punctuation.</t>
  </si>
  <si>
    <t>E45C</t>
  </si>
  <si>
    <t>Considering how much fun they had at the party and dancing and the expression in the text it is clear they are very extraverted.</t>
  </si>
  <si>
    <t>E46A</t>
  </si>
  <si>
    <t xml:space="preserve">Went to a party with a lot of people and said they really enjoyed it they said they didnâ€™t know everyone there suggesting they like to meet people </t>
  </si>
  <si>
    <t>E46B</t>
  </si>
  <si>
    <t>E46C</t>
  </si>
  <si>
    <t>The style of writing etc suggests they are not naturally extraverted. Lack of emojis and enthuiasm compared to others.</t>
  </si>
  <si>
    <t>E47A</t>
  </si>
  <si>
    <t xml:space="preserve">Chose not to attend their significant others special occasion and wrote very rigidly about meeting their old friends, sounds like they donâ€™t really want to do it again </t>
  </si>
  <si>
    <t>E47B</t>
  </si>
  <si>
    <t>E47C</t>
  </si>
  <si>
    <t>again, the use of language, expression and detail talking about how much fun they had in the party suggests they are a party animal.</t>
  </si>
  <si>
    <t>E48A</t>
  </si>
  <si>
    <t xml:space="preserve">This person says they love spending time cuddling their partner which involves spending time with their partner also seems to have been energised by spending time with friends </t>
  </si>
  <si>
    <t>E48B</t>
  </si>
  <si>
    <t>E48C</t>
  </si>
  <si>
    <t>Said they met just one friend and it is normal to enjoy friends company. Their style suggests they are not a naturally extraverted person.</t>
  </si>
  <si>
    <t>E49A</t>
  </si>
  <si>
    <t>This person talks about appreciating friends who have known them a long time the most, which suggests that they donâ€™t want to meet new people</t>
  </si>
  <si>
    <t>E49B</t>
  </si>
  <si>
    <t>E49C</t>
  </si>
  <si>
    <t>They seemed to really enjoying meeting up despite being  a lot older which suggests they are naturally extraverted.</t>
  </si>
  <si>
    <t>E50A</t>
  </si>
  <si>
    <t>This person does seem to have enjoyed catching up with old friends but has not bothered to keep in contact over the years so may find maintaining relationships draining</t>
  </si>
  <si>
    <t>E50B</t>
  </si>
  <si>
    <t xml:space="preserve">They give off older vibes, as in has lived a life and are doing things all the time. They seem to enjoy surprises and big events. </t>
  </si>
  <si>
    <t>E50C</t>
  </si>
  <si>
    <t>While they had fun, do not seem as enthuastic based on those messages alone compared to others but it does not seem abnormal either hence voted moderate.</t>
  </si>
  <si>
    <t>E51A</t>
  </si>
  <si>
    <t xml:space="preserve">This person has not said anything in either of their posts to suggest that they feel drained or energised by being around other people </t>
  </si>
  <si>
    <t>E51B</t>
  </si>
  <si>
    <t>E51C</t>
  </si>
  <si>
    <t>Would not say they are awkward as such but nothing to suggest they are "crazy" or super fun and energised by such experiences.</t>
  </si>
  <si>
    <t>E52A</t>
  </si>
  <si>
    <t>E52B</t>
  </si>
  <si>
    <t>They donâ€™t say much to imply that they like to be sociable or go out doing things, it seems to portray that this is new to them.</t>
  </si>
  <si>
    <t>E52C</t>
  </si>
  <si>
    <t>It is a no brainer that considering how in depth they have written how much they enjoyed this experience so clearly high.</t>
  </si>
  <si>
    <t>E53A</t>
  </si>
  <si>
    <t xml:space="preserve">This person was very reflective of how good spending time with friends made them feel suggesting they were energised by it </t>
  </si>
  <si>
    <t>E53B</t>
  </si>
  <si>
    <t>They seem to going through the meeting with friends step by step, perhaps implying more of an internalised processing rather than acting before thinking.</t>
  </si>
  <si>
    <t>E53C</t>
  </si>
  <si>
    <t>They did seem to enjoy the get together but again does not seem as excited by it compared to others.</t>
  </si>
  <si>
    <t>E54A</t>
  </si>
  <si>
    <t xml:space="preserve">Has not kept in touch with their school friends which suggests they find maintaining relationships a little draining but has planned to see them again so not very draining </t>
  </si>
  <si>
    <t>E54B</t>
  </si>
  <si>
    <t>E54C</t>
  </si>
  <si>
    <t>The use of language once more suggests they are not super extraverted or super enthusiastic about meet ups.</t>
  </si>
  <si>
    <t>E55A</t>
  </si>
  <si>
    <t>E55B</t>
  </si>
  <si>
    <t xml:space="preserve">They seem open to social events and familiarising themselves with others, such  as the server.       </t>
  </si>
  <si>
    <t>E55C</t>
  </si>
  <si>
    <t>Their funny language and banter suggests they very much enjoy having a good time and laughs, compared to others.</t>
  </si>
  <si>
    <t>E56A</t>
  </si>
  <si>
    <t xml:space="preserve">This person reference events with multiple people in both posts which means they probably enjoy spending a lot of time with people </t>
  </si>
  <si>
    <t>E56B</t>
  </si>
  <si>
    <t xml:space="preserve">They seem pretty social and happy to go with the flow when hanging out with others, and encourage new experiences </t>
  </si>
  <si>
    <t>E56C</t>
  </si>
  <si>
    <t>The detail and interesting conversation topics suggests they very much enjoy socialising, even at an older age.</t>
  </si>
  <si>
    <t>E57A</t>
  </si>
  <si>
    <t xml:space="preserve">This person certainly didnâ€™t enjoy spending time with their old friends and seems to have found it very draining and difficult to think of interesting conversation </t>
  </si>
  <si>
    <t>E57B</t>
  </si>
  <si>
    <t xml:space="preserve">They seem to imply being uncomfortable in the social setting and being internalising in their thought and reflections. </t>
  </si>
  <si>
    <t>E57C</t>
  </si>
  <si>
    <t>Again, the language used is a bit more vanilla despite the odd joke, not someone who it comes naturally to but they do not seem awkward either.</t>
  </si>
  <si>
    <t>E58A</t>
  </si>
  <si>
    <t xml:space="preserve">This person references a partner in crime suggesting that they love to spend time with this person and are energised by their presence </t>
  </si>
  <si>
    <t>E58B</t>
  </si>
  <si>
    <t xml:space="preserve">They seemed comfortable with the social setting and wanting to go out in London and get drinks and dinner. </t>
  </si>
  <si>
    <t>E58C</t>
  </si>
  <si>
    <t>Like some other people, the language seems pretty dull and plain, hence I voted moderate. They do not seem awkward however.</t>
  </si>
  <si>
    <t>E59A</t>
  </si>
  <si>
    <t>E59B</t>
  </si>
  <si>
    <t>Whilst they seemed happy to meet with friends, the second post implied wanting to be cosy at home with partner.</t>
  </si>
  <si>
    <t>E59C</t>
  </si>
  <si>
    <t xml:space="preserve">The lack of emojis and enthusiasm suggest they would be someone who is socially awkward and quite shy. </t>
  </si>
  <si>
    <t>E60A</t>
  </si>
  <si>
    <t>E60B</t>
  </si>
  <si>
    <t>They seem to struggle with the uncertainty of the world and talk about their partner in terms of their cosy home and family.</t>
  </si>
  <si>
    <t>E60C</t>
  </si>
  <si>
    <t>This was more present in the second post where they expressed gratitude for their partner and the harmony he provides in their household through his role.</t>
  </si>
  <si>
    <t>A1A</t>
  </si>
  <si>
    <t xml:space="preserve">I feel like they are a sociable person who would generally be concerned if someone was suffering and that they would want to be liked and please others bc they seem to be trying really hard to express their feelings of gratitude towards their husband </t>
  </si>
  <si>
    <t>A1B</t>
  </si>
  <si>
    <t>they seem rather insufferable - a good and agreeable person would not be actively cheating on their partner and lying about it</t>
  </si>
  <si>
    <t>A1C</t>
  </si>
  <si>
    <t>Both posts express an appreciation for the relationships they have with others and how grateful they are for them</t>
  </si>
  <si>
    <t>A2A</t>
  </si>
  <si>
    <t xml:space="preserve">they seem like a pleasant person in general, I can just imagine them being quite polite and considerate based on their appreciation of their friends and their significant other </t>
  </si>
  <si>
    <t>A2B</t>
  </si>
  <si>
    <t>the participant seems nice, she thanks her friends for their time and her husband for his care and love</t>
  </si>
  <si>
    <t>A2C</t>
  </si>
  <si>
    <t xml:space="preserve">Both posts express an appreciation for others as well as harmony and unity in between those individuals </t>
  </si>
  <si>
    <t>A3A</t>
  </si>
  <si>
    <t xml:space="preserve">I don't think this person comes across as particularly likeable so that is influencing my perception of their agreableness </t>
  </si>
  <si>
    <t>A3B</t>
  </si>
  <si>
    <t>the patient seems happy to be spending time with and interacting with her friends and her husband, and shares this in her posts</t>
  </si>
  <si>
    <t>A3C</t>
  </si>
  <si>
    <t xml:space="preserve">Positive comments and appreciation are demonstrated in both posts. However, the second post takes time to remind the individual to go back to their duties tomorrow rather than have the post be focused on wishing them a happy birthday </t>
  </si>
  <si>
    <t>A4A</t>
  </si>
  <si>
    <t xml:space="preserve">this person seems to be in their own world, I can imagine them being quite aloof and closed off, rather than preocupied with the wellbeing of others and wanting to be liked </t>
  </si>
  <si>
    <t>A4B</t>
  </si>
  <si>
    <t>the participant seems friendly and happy, they use language in their posts that shows positive emotions</t>
  </si>
  <si>
    <t>A4C</t>
  </si>
  <si>
    <t xml:space="preserve">Strong positive appreciation expressed for others around them and their value to them in both posts </t>
  </si>
  <si>
    <t>A5A</t>
  </si>
  <si>
    <t xml:space="preserve">I am positively biased and imagining this person as very likeable and eager to help others and to be liked </t>
  </si>
  <si>
    <t>A5B</t>
  </si>
  <si>
    <t>the participant appears to be kind and friendly, with their posts describing positive relationships that they have with others</t>
  </si>
  <si>
    <t>A5C</t>
  </si>
  <si>
    <t>Positive emotions expressed towards others, appreciation for others also expressed and their value to the individual, the emotive language used perhaps could have been more expressive</t>
  </si>
  <si>
    <t>A6A</t>
  </si>
  <si>
    <t xml:space="preserve">goes on to give other advice which might be tone deaf and not tailored to their own experiences, a simple person assuming everyone thinks like them and not bothering to take on others' perspectives much </t>
  </si>
  <si>
    <t>A6B</t>
  </si>
  <si>
    <t>the participant describes their own positive emotions, behaviours and thoughts, suggesting that they seem to be rather friendly</t>
  </si>
  <si>
    <t>A6C</t>
  </si>
  <si>
    <t>Expresses a desire and preference for many more positive years with the individuals mentioned in both posts indicating that they value them</t>
  </si>
  <si>
    <t>A7A</t>
  </si>
  <si>
    <t xml:space="preserve">sounds like a people pleaser so eager to show everyone how much they love their partner and friends </t>
  </si>
  <si>
    <t>A7B</t>
  </si>
  <si>
    <t>the participant seems friendly and describes how they have enjoyed the company of other people socially and romantically</t>
  </si>
  <si>
    <t>A7C</t>
  </si>
  <si>
    <t>More so displayed in the second post where they express their love and appreciation for their partner indicating a desire to maintain positive relationships</t>
  </si>
  <si>
    <t>A8A</t>
  </si>
  <si>
    <t xml:space="preserve">seem empathethic and warm and pleasant for some reason, and the connection to both the firends and the partner seems quite genuine </t>
  </si>
  <si>
    <t>A8B</t>
  </si>
  <si>
    <t>the participant comes across as friendly and happy in both posts, describing positive factors only throughout</t>
  </si>
  <si>
    <t>A8C</t>
  </si>
  <si>
    <t xml:space="preserve">Positive emotions towards others and a desire to maintain a positive relationship expressed in both posts. An appreciation for all the individual does and their value to the person posting is expressed more in the second post </t>
  </si>
  <si>
    <t>A9A</t>
  </si>
  <si>
    <t xml:space="preserve">seems warm empatheticand the type of person who really cheers others on, like them saying they're proud of their partner </t>
  </si>
  <si>
    <t>A9B</t>
  </si>
  <si>
    <t>the participant seems to be a rather happy person and describes only positive situations in her posts</t>
  </si>
  <si>
    <t>A9C</t>
  </si>
  <si>
    <t xml:space="preserve">Some desire to get along with others expressed in both posts and they've visibly expressed their intentions to spoil an individual for their birthday </t>
  </si>
  <si>
    <t>A10A</t>
  </si>
  <si>
    <t>seems like an annoying and unpleasant person that's not a very good listener - Ithink I'm biased by them not seeming very smar t</t>
  </si>
  <si>
    <t>A10B</t>
  </si>
  <si>
    <t>the participant uses lots of loving language and phrases, which suggests that they seem to get along well with some others</t>
  </si>
  <si>
    <t>A10C</t>
  </si>
  <si>
    <t>They seem the type of person to be down to plan such fun events. They seem interested to plan fun events and do things that are different.</t>
  </si>
  <si>
    <t>A11A</t>
  </si>
  <si>
    <t>I think the posts are slightly dramatic, and could come across as slightly intense or over the top. It might frustrate people who are already friends with the individual, as they seem to be placing these childhood friends on a pedestal. The use of exclamation marks and hypothetical questioning may come across as a bit patronising.</t>
  </si>
  <si>
    <t>A11B</t>
  </si>
  <si>
    <t xml:space="preserve">The person seems agreeable as they discuss heavily their love for their significant other and are very positive about them. However, </t>
  </si>
  <si>
    <t>A11C</t>
  </si>
  <si>
    <t>Seems very kind and caring, and one that genuinely enjoys the company of their friends and doing fun stuff, no matter how much time passes.</t>
  </si>
  <si>
    <t>A12A</t>
  </si>
  <si>
    <t>This person seems very polite and agreeable. They use proper writing style with correct punctuation and grammar. They also donâ€™t appear to show off or brag so much. I also like the sense of humour towards the end of their partners birthday post, with the smiley face and little note about them seeing the post after their party.</t>
  </si>
  <si>
    <t>A12B</t>
  </si>
  <si>
    <t xml:space="preserve">Both posts are written in a warm and considerate tone and emphasizing support and appreciation. The person expresses gratitude and a desire to make their friends /significant other feel happy, indicating a strong sense of agreeableness. </t>
  </si>
  <si>
    <t>A12C</t>
  </si>
  <si>
    <t>This person seems very easy going, laid back and knows how to have a fun and enjoyable time. They seem very fun.</t>
  </si>
  <si>
    <t>A13A</t>
  </si>
  <si>
    <t>I think the posts come across as slightly insensitive. The partner may be offended about the tone and excitement when they speak about their friend compared to their partner. Lots more punctuation variety in the friend post.</t>
  </si>
  <si>
    <t>A13B</t>
  </si>
  <si>
    <t xml:space="preserve">Both posts show affection and emotional warmth. The first post shows a supportive relationship with a best friend, and the second post contains loving and considerate language, such as "I love you so much" and "praying that God blesses you with peace and happiness." Both posts show care, love, and devotion, which reflect a high level of Agreeableness. However, in my experience alignment with religion often means a person is only agreeable with people with similar views, which is why I did not put high. </t>
  </si>
  <si>
    <t>A13C</t>
  </si>
  <si>
    <t>They talk about a lot of difficulties that they experience, suggesting they may have had some conflict before.</t>
  </si>
  <si>
    <t>A14A</t>
  </si>
  <si>
    <t>The use of emojis and complementary language to their friends and partner makes it appear like they really want to please their peers.</t>
  </si>
  <si>
    <t>A14B</t>
  </si>
  <si>
    <t>A14C</t>
  </si>
  <si>
    <t xml:space="preserve">They seem fun and always willing to have good friendships and relationships which is a very good sign. </t>
  </si>
  <si>
    <t>A15A</t>
  </si>
  <si>
    <t>The tone in both posts feels very light hearted and jovial. Using humour, exclamation marks, smiley faces.</t>
  </si>
  <si>
    <t>A15B</t>
  </si>
  <si>
    <t>A15C</t>
  </si>
  <si>
    <t>I voted high as despite people saying they don't want presents, they went above and beyond to make sure someone else gets a great experience.</t>
  </si>
  <si>
    <t>A16A</t>
  </si>
  <si>
    <t>I am not too sure about this one as there was not enough information. They didnâ€™t seem like a non-agreeable person so placed my answer in the middle</t>
  </si>
  <si>
    <t>A16B</t>
  </si>
  <si>
    <t>In the second post, the birthday person didn't want any gifts, but the person posting still decided to give gifts. I guess that doesn't make them a bad person, but they're not agreeing with the wishes of the other person.</t>
  </si>
  <si>
    <t>A16C</t>
  </si>
  <si>
    <t xml:space="preserve">This person is going above and beyond to ensure that their partner has a very good birthday. They are very fun. </t>
  </si>
  <si>
    <t>A17A</t>
  </si>
  <si>
    <t>Not enough information to decide, they seem to care about their partnerâ€™s bday and be close to their partner and friends. Someone low on agreeableness would not have many close people in their life</t>
  </si>
  <si>
    <t>A17B</t>
  </si>
  <si>
    <t xml:space="preserve">This is more evident in the second most. The post starts off with a caring tone which shows that the person appreciates their partner. It just seems to be ver affectionate. </t>
  </si>
  <si>
    <t>A17C</t>
  </si>
  <si>
    <t>They will go out of their way to show their love and appreciation for their loved ones which. They want to make them happy.</t>
  </si>
  <si>
    <t>A18A</t>
  </si>
  <si>
    <t>Again not enough information so choosing in the middle. Not sure. There wasnâ€™t anything specific in the nexts. There should be a neutral button</t>
  </si>
  <si>
    <t>A18B</t>
  </si>
  <si>
    <t>Evident in the second post through the caring tone. This creates a warm atmosphere and demonstrates that they have a strong relationships.</t>
  </si>
  <si>
    <t>A18C</t>
  </si>
  <si>
    <t>They go out of their way to plan things despite having bad setbacks because it seems there was lots of different setbacks.</t>
  </si>
  <si>
    <t>A19A</t>
  </si>
  <si>
    <t>Judging from their first post they sounded a bit like a person who gets annoyed when other people canâ€™t find child minders, have responsibilities etc or want to bring their partner but there is not enough information about the person or the friendship group to judge</t>
  </si>
  <si>
    <t>A19B</t>
  </si>
  <si>
    <t xml:space="preserve">Warm tone created in the second post. There is a lot of emotive lanugage used, which makes it seem like she is a loving person and appreciates those around them. </t>
  </si>
  <si>
    <t>A19C</t>
  </si>
  <si>
    <t>They are keen to meet and stay consistent for so many years and decades.  50 years is a very long time.v</t>
  </si>
  <si>
    <t>A20A</t>
  </si>
  <si>
    <t>They seemed like a lovely agreeable person from the posts but not enough information to tell need more info to decide</t>
  </si>
  <si>
    <t>A20B</t>
  </si>
  <si>
    <t xml:space="preserve">Warm tone used in the birthday post. They appear to be family orientated and have good bonds with both friends and family. </t>
  </si>
  <si>
    <t>A20C</t>
  </si>
  <si>
    <t xml:space="preserve">They seem very loving and keen to support their partner through thick and thin which is required for a marriage </t>
  </si>
  <si>
    <t>A21A</t>
  </si>
  <si>
    <t>Seemed like a nice person who has close people around them and values their partner. Not much can be judged from the texts so put moderate</t>
  </si>
  <si>
    <t>A21B</t>
  </si>
  <si>
    <t xml:space="preserve">In the first post there is a friendly tone created by wanting to meet up with friends again, and in the second tone, the person shows admiration and appreciation of their partner. They just appear to be very engaged and appreciative of others. </t>
  </si>
  <si>
    <t>A21C</t>
  </si>
  <si>
    <t>They seem someone who may be laid back and would not want to argue much with others. They may be selfless.</t>
  </si>
  <si>
    <t>A22A</t>
  </si>
  <si>
    <t>Not enough information to decide but seemed like someone who is interested in otherâ€™s experiences, listens and reflects</t>
  </si>
  <si>
    <t>A22B</t>
  </si>
  <si>
    <t>Loving and warm tone created in the second post. In the first post, he also notices how his friend's personality traits are still noticable, which suggests the is aware of his friend's emotions.</t>
  </si>
  <si>
    <t>A22C</t>
  </si>
  <si>
    <t xml:space="preserve">They seem like people who would be very laid back and would enjoy doing anything as long as the company is good. </t>
  </si>
  <si>
    <t>A23A</t>
  </si>
  <si>
    <t>They seemed like a person who has close people in their life and from the texts like someone who will score highly on agreeableness</t>
  </si>
  <si>
    <t>A23B</t>
  </si>
  <si>
    <t>Very warm tone used thrughout both posts. It demonstrates that she is close to those around her and is grateful for them.</t>
  </si>
  <si>
    <t>A23C</t>
  </si>
  <si>
    <t xml:space="preserve">They seem very loving towards their partner and keen to put their happiness first which is a good trait </t>
  </si>
  <si>
    <t>A24A</t>
  </si>
  <si>
    <t>Seemed like someone who cares about others and is agreeable who gets on with people and have close ones</t>
  </si>
  <si>
    <t>A24B</t>
  </si>
  <si>
    <t xml:space="preserve">Warm and reflective tone demonstrated in both posts. The lanauge used suggests the person appreciates both friends and family. </t>
  </si>
  <si>
    <t>A24C</t>
  </si>
  <si>
    <t>This seems like person who would not be argumentative and would bend over backwards for anyone including their partner.</t>
  </si>
  <si>
    <t>A25A</t>
  </si>
  <si>
    <t>Seemed like a caring person who has close people in ther life but not enough information to decide and judge</t>
  </si>
  <si>
    <t>A25B</t>
  </si>
  <si>
    <t xml:space="preserve">Very appreciative tone created in the second post. This suggests she is a caring person and is grategul for the people around them. </t>
  </si>
  <si>
    <t>A25C</t>
  </si>
  <si>
    <t xml:space="preserve">Seems very grateful and loving and keen to make sure other people have a good time.seems to refer to their partner in a loving way. </t>
  </si>
  <si>
    <t>A26A</t>
  </si>
  <si>
    <t>A26B</t>
  </si>
  <si>
    <t>Warm tone created throguhout both posts. These warm phrases suggest the person is supportive and appreciative of those around them.</t>
  </si>
  <si>
    <t>A26C</t>
  </si>
  <si>
    <t xml:space="preserve">They seem grateful for all that their partner does for them but no clear answer either way hence I voted for moderate 
</t>
  </si>
  <si>
    <t>A27A</t>
  </si>
  <si>
    <t xml:space="preserve">This person seems very close minded selfish bigoted individual that thinks he is better than everyone just from these texts and i doubt he will score highly on agreeableness </t>
  </si>
  <si>
    <t>A27B</t>
  </si>
  <si>
    <t xml:space="preserve">The second post is warm in tone, but the first post is more neutral. So I guess the level of agreeablness depends on the people in her social cirtcle, i.e, more close to partner compared to friends. </t>
  </si>
  <si>
    <t>A27C</t>
  </si>
  <si>
    <t xml:space="preserve">It is hard to tell. I can't tell if they are joking or being passive aggressive regarding things being downhill , hard to know without context. </t>
  </si>
  <si>
    <t>A28A</t>
  </si>
  <si>
    <t xml:space="preserve">Seems to get on well with friends and wife and seens like someone who will score highly on agreeableness </t>
  </si>
  <si>
    <t>A28B</t>
  </si>
  <si>
    <t xml:space="preserve">Warm tone created in birthday post. The person is appreciative of their partner. they sound caring and seems to value their partner. </t>
  </si>
  <si>
    <t>A28C</t>
  </si>
  <si>
    <t>There is nothing clear either way hence moderate. I cannot tell if they would be agreeable or selfless.</t>
  </si>
  <si>
    <t>A29A</t>
  </si>
  <si>
    <t xml:space="preserve">Seems to be someone who has close friends and loved ones and someone who will score higher on agreeableness </t>
  </si>
  <si>
    <t>A29B</t>
  </si>
  <si>
    <t xml:space="preserve">Warm tone created in both posts. Appreciates both their partner and friends. And also these are both long-term, suggesting they're copperative. </t>
  </si>
  <si>
    <t>A29C</t>
  </si>
  <si>
    <t xml:space="preserve">Seems very thoughtful as keen to take their partner to their favourite restaurant in the special day. </t>
  </si>
  <si>
    <t>A30A</t>
  </si>
  <si>
    <t>Someone who has close friends and family and gets on well with people and is caring and agreeable and who will score highly on this scale</t>
  </si>
  <si>
    <t>A30B</t>
  </si>
  <si>
    <t xml:space="preserve">Warm tone created throughout. They are appreciative of their friends and family, suggesting they have a loving personality and is also supprotive. </t>
  </si>
  <si>
    <t>A30C</t>
  </si>
  <si>
    <t>Seems like they have put a lot of effort into making their husbands birthday really good and also for making sure their friends have a lot of fun</t>
  </si>
  <si>
    <t>A31A</t>
  </si>
  <si>
    <t>They seem to be organised, thoughtful and willing to take the lead to organise future events hence I have voted higher.</t>
  </si>
  <si>
    <t>A31B</t>
  </si>
  <si>
    <t>They seem to have good relationships with their husband, and also feels blessed to have friends, so seems to have a good relationships with friends (and has maintained friends for what seems over years)</t>
  </si>
  <si>
    <t>A31C</t>
  </si>
  <si>
    <t>The person seems to have put their husbands needs first in the second post but does not suggest that they put their friends needs first in the second</t>
  </si>
  <si>
    <t>A32A</t>
  </si>
  <si>
    <t>This person seems like someone very well to get on with especially by saying they love someone unconditionally.</t>
  </si>
  <si>
    <t>A32B</t>
  </si>
  <si>
    <t>They seem to have good relationships with other people, and it seems that they can maintain friendships as it appears a lot of them have lasted decades.</t>
  </si>
  <si>
    <t>A32C</t>
  </si>
  <si>
    <t>sounds like this person just goes with the flow and just does what they want rather than thinking about others first as she doesn't offer to do anything for others in either post</t>
  </si>
  <si>
    <t>A33A</t>
  </si>
  <si>
    <t>They seem very grateful for all the love they have experienced with the partner despite the negative experiences.</t>
  </si>
  <si>
    <t>A33B</t>
  </si>
  <si>
    <t>Seems that they have kept a close friend over decades from school, suggests that they can maintain friendships, but seems they have more of a select group of friends.</t>
  </si>
  <si>
    <t>A33C</t>
  </si>
  <si>
    <t>Doesn't sound like they planned anything for their friends or partner. They also seem proud of the fact that they may have broken rules and caused chaos</t>
  </si>
  <si>
    <t>A34A</t>
  </si>
  <si>
    <t>They must be relatively agreeable if they are willing to stay in a long term relationship through all of the challenges.</t>
  </si>
  <si>
    <t>A34B</t>
  </si>
  <si>
    <t>Seems that they have lots of friendships but also with the "lows" it seems that there could be potential to stand their ground and disagree with other people.</t>
  </si>
  <si>
    <t>A34C</t>
  </si>
  <si>
    <t>Seems to just do what other people have planned and what others want to do rather than doing things for themselves</t>
  </si>
  <si>
    <t>A35A</t>
  </si>
  <si>
    <t>It is hard to tell. It seems like he did not take the lead on organising nor is he keen to and will rather wait for someone else to organise things.</t>
  </si>
  <si>
    <t>A35B</t>
  </si>
  <si>
    <t>Seems very kind to their partner and to their friends, although seems that the friends organised the meet-up.</t>
  </si>
  <si>
    <t>A35C</t>
  </si>
  <si>
    <t>The way she talks about her partner and her friends sounds like she really cares about them and would do anything for them</t>
  </si>
  <si>
    <t>A36A</t>
  </si>
  <si>
    <t>This person is very loving towards their husband and children, and I think they would be very willing to compromise.</t>
  </si>
  <si>
    <t>A36B</t>
  </si>
  <si>
    <t>Phrases like "utterly joyful" seem very genuine and seem that they would be a warm genuine person that is easy to get along with.</t>
  </si>
  <si>
    <t>A36C</t>
  </si>
  <si>
    <t>there is nothing to suggest that this person is either agreeable or disagreeable, they don't seem to have put others or their own needs first</t>
  </si>
  <si>
    <t>A37A</t>
  </si>
  <si>
    <t xml:space="preserve">Probably wants minimal fuss and just keen to get on with things. Can't imagine them being too opinionated. </t>
  </si>
  <si>
    <t>A37B</t>
  </si>
  <si>
    <t>It sounds like they have a good relationship with their partner but again sounds like they might have lost touch with friends as they have said "after some years" - what have they been doing in those years?</t>
  </si>
  <si>
    <t>A37C</t>
  </si>
  <si>
    <t>This person hasn't said anything to suggest that they have planned something for their partners birthday or puts others first</t>
  </si>
  <si>
    <t>A38A</t>
  </si>
  <si>
    <t xml:space="preserve">This person may be laid back and relatively easily satisfied overall. It is hard to tell overall however. </t>
  </si>
  <si>
    <t>A38B</t>
  </si>
  <si>
    <t>Seems that they have a select few friends and clearly has a positive relationship with them, but doesn't' seem like an outgoing person</t>
  </si>
  <si>
    <t>A38C</t>
  </si>
  <si>
    <t>has put a lot of effort into planning their partners birthday suggesting they put the needs of others first</t>
  </si>
  <si>
    <t>A39A</t>
  </si>
  <si>
    <t>Seems like a very smart person who is genuine and would be willing to do others and be a selfless individual.</t>
  </si>
  <si>
    <t>A39B</t>
  </si>
  <si>
    <t>The words they have said about friends and the partner seems very heartfelt and genuine, suggesting high agreeableness.</t>
  </si>
  <si>
    <t>A39C</t>
  </si>
  <si>
    <t xml:space="preserve">There is nothing in this persons writing which suggests that they are either agreeable or disagreeable </t>
  </si>
  <si>
    <t>A40A</t>
  </si>
  <si>
    <t>Person may seem dull but overall would be very loving so would probably be willing to accept others and make sacrificies.</t>
  </si>
  <si>
    <t>A40B</t>
  </si>
  <si>
    <t>This person sounds very grateful and thankful of other people, suggesting they are supportive and agreeable of other people.</t>
  </si>
  <si>
    <t>A40C</t>
  </si>
  <si>
    <t>There is no evidence of this person having planned any of the activities with their partner or with their friends suggesting they haven't put others above themselves</t>
  </si>
  <si>
    <t>A41A</t>
  </si>
  <si>
    <t xml:space="preserve">They seem quite easy going overall and when the chance to socialise comes up they will prefer something simple. </t>
  </si>
  <si>
    <t>A41B</t>
  </si>
  <si>
    <t>This person seems to be quite agreeable, is a nice person as they are complimentary of other people and seems to have friends.</t>
  </si>
  <si>
    <t>A41C</t>
  </si>
  <si>
    <t>There is nothing in the way this person writes to suggest that they are either agreeable or disagreeable</t>
  </si>
  <si>
    <t>A42A</t>
  </si>
  <si>
    <t>They seem to be pretty easily satisfied overall and laid back, content with simple things and very loving.</t>
  </si>
  <si>
    <t>A42B</t>
  </si>
  <si>
    <t>This person references missing friends who have passed away, they seem to be aware of social standards and respectful</t>
  </si>
  <si>
    <t>A42C</t>
  </si>
  <si>
    <t>this person said lots of nice things about their partner but has not made any effort to do anything for their birthday</t>
  </si>
  <si>
    <t>A43A</t>
  </si>
  <si>
    <t>They seem liike they would enjoy doing different things and willinig to do things for others. They would enjoy fun things.</t>
  </si>
  <si>
    <t>A43B</t>
  </si>
  <si>
    <t>This person seems that they were popular in school as they reference a "crew" and they are very kind and complimentary of their partner</t>
  </si>
  <si>
    <t>A43C</t>
  </si>
  <si>
    <t xml:space="preserve">there is no evidence in these two social media posts that this person has put others above themselves </t>
  </si>
  <si>
    <t>A44A</t>
  </si>
  <si>
    <t>This person seems very lovinig towards ther partner based on the language that they have used hence have voted high.</t>
  </si>
  <si>
    <t>A44B</t>
  </si>
  <si>
    <t>This person talks about friends becoming family, making it seem that they are highly agreeable and have close people around them.</t>
  </si>
  <si>
    <t>A44C</t>
  </si>
  <si>
    <t>there is nothing in the way that either of these social media posts have been written which suggests that the writer is agreeable or disagreeable</t>
  </si>
  <si>
    <t>A45A</t>
  </si>
  <si>
    <t>Again seems a very selfish and boring person who does not want to be inconvenienced as I get very negative vibes.</t>
  </si>
  <si>
    <t>A45B</t>
  </si>
  <si>
    <t>This person seems to have a few friends but again seems lacking in energy to some extent and flat in affect towards others</t>
  </si>
  <si>
    <t>A45C</t>
  </si>
  <si>
    <t>They seem very patient and keen to achieve long term goals, I feel this is the case based on the message they wrote regarding their partner.</t>
  </si>
  <si>
    <t>A46A</t>
  </si>
  <si>
    <t xml:space="preserve">Seemed to really care about how the wife feels and wanted them to be happy from saying lovely things about them, they also wanted to make sure the person who cooked the food felt appreciated </t>
  </si>
  <si>
    <t>A46B</t>
  </si>
  <si>
    <t xml:space="preserve">They seem to present as someone whoâ€™s all about having a good time and getting along with everyone. This can either make you popular or rub people the wrong way, so I put moderate agreeableness. </t>
  </si>
  <si>
    <t>A46C</t>
  </si>
  <si>
    <t>They did not go out of their way to say hello based on the social media post, suggesting they may not put others need before themselves.</t>
  </si>
  <si>
    <t>A47A</t>
  </si>
  <si>
    <t xml:space="preserve">Put their own activities above attending a special occasion event for their significant other which is not agreeable </t>
  </si>
  <si>
    <t>A47B</t>
  </si>
  <si>
    <t>They seemed to talk respectfully of the people they met and wanting to befriend them. They seemed kind towards their partner but did not see them on their birthday. Almost seems too positive in their sentences or too friendly, to the point of being annoying.</t>
  </si>
  <si>
    <t>A47C</t>
  </si>
  <si>
    <t>Their messages about being there for their partner suggests they really go through tough times together and are very loving.</t>
  </si>
  <si>
    <t>A48A</t>
  </si>
  <si>
    <t xml:space="preserve">There is nothing in either of the posts to suggest that this person is either agreeable or disagreeable </t>
  </si>
  <si>
    <t>A48B</t>
  </si>
  <si>
    <t xml:space="preserve">They seem to have a group of friends that they have known for a long time which implies they are agreeable and able to get along with others. Their relationship with their partner seems to present agreeableness. </t>
  </si>
  <si>
    <t>A48C</t>
  </si>
  <si>
    <t>They seem like someone who would not be selfish and would be keen to put others, they seem a very caring person.</t>
  </si>
  <si>
    <t>A49A</t>
  </si>
  <si>
    <t xml:space="preserve">This person has not said anything in either of their posts which suggests that they put others before themself or that they donâ€™t </t>
  </si>
  <si>
    <t>A49B</t>
  </si>
  <si>
    <t xml:space="preserve">They shared some reflections about aspects of positive friendships, implying that they re aware of how they come across or impact on others. </t>
  </si>
  <si>
    <t>A49C</t>
  </si>
  <si>
    <t>The language used towards their partner suggests they are loyal and commited for a long time. They have gone out of their way to organise a nice surprise.</t>
  </si>
  <si>
    <t>A50A</t>
  </si>
  <si>
    <t xml:space="preserve">This person has planned something special for their partners birthday which shows that they put others first </t>
  </si>
  <si>
    <t>A50B</t>
  </si>
  <si>
    <t>They seem considerate of others and likeable, but also potentially chaotic or overly positive which can rub people up the wrong way.</t>
  </si>
  <si>
    <t>A50C</t>
  </si>
  <si>
    <t>They seem very commited to their partner but nothing to suggest more or less average than the regular person.</t>
  </si>
  <si>
    <t>A51A</t>
  </si>
  <si>
    <t xml:space="preserve">This person has not said anything in either of their posts to suggest that they do or donâ€™t put others before themselves </t>
  </si>
  <si>
    <t>A51B</t>
  </si>
  <si>
    <t>They seem nice and friendly, but perhaps too positive. They seem like they may put people on a pedestal above them as they mentioned being lucky.</t>
  </si>
  <si>
    <t>A51C</t>
  </si>
  <si>
    <t>There is nothing to suggest that it is low or high hence I voted moderate. Does seem pretty loving towards their friends.</t>
  </si>
  <si>
    <t>A52A</t>
  </si>
  <si>
    <t xml:space="preserve">This person has not said anything in either of their posts to suggest that this person does or doesnâ€™t put others before themselves </t>
  </si>
  <si>
    <t>A52B</t>
  </si>
  <si>
    <t xml:space="preserve">They seem to be presenting with positivity and kindness vibes, but this seems very surface level and over friendly which can be annoying. </t>
  </si>
  <si>
    <t>A52C</t>
  </si>
  <si>
    <t>Clearly my favourite so far, they seem like someone who would be very agreeable and supportive, I picked that up in particular when they were talking about their partner.</t>
  </si>
  <si>
    <t>A53A</t>
  </si>
  <si>
    <t xml:space="preserve">This person really cares that others know how much they appreciate them which shows they care about others and are agreeable </t>
  </si>
  <si>
    <t>A53B</t>
  </si>
  <si>
    <t xml:space="preserve">They seem friendly and kind and thinking about others in the situation, like they wouldnâ€™t want to upset anyone, </t>
  </si>
  <si>
    <t>A53C</t>
  </si>
  <si>
    <t>WHile they are dry, still seems to be pretty consistent in their romantic relationship and they have also raised children together.</t>
  </si>
  <si>
    <t>A54A</t>
  </si>
  <si>
    <t xml:space="preserve">Has not planned anything special for their significant others birthday and has not eveidenced putting others first </t>
  </si>
  <si>
    <t>A54B</t>
  </si>
  <si>
    <t xml:space="preserve">They seem to get along with everyone they refer to and have a family and loved ones, but there is an element of bluntness. </t>
  </si>
  <si>
    <t>A54C</t>
  </si>
  <si>
    <t xml:space="preserve">This person seems like someone who would be a proper gentleman and is pretty thorough so i voted high. </t>
  </si>
  <si>
    <t>A55A</t>
  </si>
  <si>
    <t xml:space="preserve">This person went out of their way to thank their friend and has also planned a fancy dinner for their partner </t>
  </si>
  <si>
    <t>A55B</t>
  </si>
  <si>
    <t>They seem to want to network and get along in social events. They compliment others such as the fancy dress and photo.</t>
  </si>
  <si>
    <t>A55C</t>
  </si>
  <si>
    <t xml:space="preserve">Person does seem very loving based on their amount of "prezzies" the have gotten for their partner. </t>
  </si>
  <si>
    <t>A56A</t>
  </si>
  <si>
    <t>This person has done some planning for things to do with their friends suggesting they have sacrificed their time for their friends</t>
  </si>
  <si>
    <t>A56B</t>
  </si>
  <si>
    <t>They seem to be someone that gets on with everyone and just wants to have a good time, but may rub people up the wrong way.</t>
  </si>
  <si>
    <t>A56C</t>
  </si>
  <si>
    <t>They are going out of their way to organise very exciting activities as a party present hence I voted high.</t>
  </si>
  <si>
    <t>A57A</t>
  </si>
  <si>
    <t xml:space="preserve">This person took the time to create a birthday surprise for their friend and has therefore put them first but does not seem to care about offending their old friends in the first post by complaining about the meet up </t>
  </si>
  <si>
    <t>A57B</t>
  </si>
  <si>
    <t xml:space="preserve">They seem to struggle getting on with others and describe feeling awkward, perhaps implying lack of agreeable in situ. </t>
  </si>
  <si>
    <t>A57C</t>
  </si>
  <si>
    <t>They seem laid back, content and pretty easily pleased. They enjoy average things such as drinking wine but does seem very loving.</t>
  </si>
  <si>
    <t>A58A</t>
  </si>
  <si>
    <t xml:space="preserve">Has planned a trip away for their friend and is also going on the trip so theyâ€™ve used a lot of their time to benefit the friend </t>
  </si>
  <si>
    <t>A58B</t>
  </si>
  <si>
    <t xml:space="preserve">They seem to present as friendly and positive, though seeming slightly surface level rather than deeper feelings expressed. </t>
  </si>
  <si>
    <t>A58C</t>
  </si>
  <si>
    <t>They do seem pretty loving overall despite the mocking humour and banter. Not clear either way hence I chose middle option.</t>
  </si>
  <si>
    <t>A59A</t>
  </si>
  <si>
    <t xml:space="preserve">This person has not planned anything for their friends and significant other and they are not worried about offending the significant other shown through the use of derogatory jokes </t>
  </si>
  <si>
    <t>A59B</t>
  </si>
  <si>
    <t xml:space="preserve">They seemed very funny and jokey and wanting to make people laugh, as well as positive and friendly </t>
  </si>
  <si>
    <t>A59C</t>
  </si>
  <si>
    <t>This person probably would go out of their way to please others, if anything, just to avoid conflict.</t>
  </si>
  <si>
    <t>A60A</t>
  </si>
  <si>
    <t xml:space="preserve">This person hasnâ€™t referenced doing anything nice for their partner or their friends in either of the posts </t>
  </si>
  <si>
    <t>A60B</t>
  </si>
  <si>
    <t xml:space="preserve">They seem to want to get along with others and spoke positively of meetings with their friends, and also spoke highly of their partner. </t>
  </si>
  <si>
    <t>A60C</t>
  </si>
  <si>
    <t>Strong emotions aren't thoroughly expressed in either post and the emotions expressed are positive rather than negative</t>
  </si>
  <si>
    <t>N1A</t>
  </si>
  <si>
    <t xml:space="preserve">i think they seem like the type of person who tries hard to mask any difficulties that they have but they might be quite an insecure and anxious person in general bc their posts sounds like this person talks a lot and very fast which I associate with anxiety and insecurity </t>
  </si>
  <si>
    <t>N1B</t>
  </si>
  <si>
    <t>they appear to be engaging with high risk behaviours such as infidelity, it would seem as though someone who does this does not worry about consequences</t>
  </si>
  <si>
    <t>N1C</t>
  </si>
  <si>
    <t xml:space="preserve">The emotions described in both posts are powerful but both posts focus on very positive loving emotions </t>
  </si>
  <si>
    <t>N2A</t>
  </si>
  <si>
    <t xml:space="preserve">I can imagine them being anxious and depressed and just in general tbh I don't think there are many ppl out there who are low on neuroticism </t>
  </si>
  <si>
    <t>N2B</t>
  </si>
  <si>
    <t>the participant does not describe any behaviours, thoughts or emotions that would indicate that they are dealing with neuroticism</t>
  </si>
  <si>
    <t>N2C</t>
  </si>
  <si>
    <t xml:space="preserve">Lots of positive emotions are used throughout both posts and used to describe positive feelings towards others and life in general </t>
  </si>
  <si>
    <t>N3A</t>
  </si>
  <si>
    <t xml:space="preserve">seems very preoccupied with their performance at the dinner, going on about their cooking. The second post is very low quality which could suggest they were in a bad emotional state when making it </t>
  </si>
  <si>
    <t>N3B</t>
  </si>
  <si>
    <t>the participant does not describe any events that are stressful or hard to deal with, so it is difficult to judge how she would manage such situations</t>
  </si>
  <si>
    <t>N3C</t>
  </si>
  <si>
    <t>Strong negative emotions aren't visibly present in either post and both seem to be more positive in nature</t>
  </si>
  <si>
    <t>N4A</t>
  </si>
  <si>
    <t>high introspection goes with high neuroticism, plus how carefully curated the post seems and how reserved and aloof this person comes across</t>
  </si>
  <si>
    <t>N4B</t>
  </si>
  <si>
    <t>the participant does not describe any particular events or situations that were difficult so it is hard to judge any neuroticism on their part</t>
  </si>
  <si>
    <t>N4C</t>
  </si>
  <si>
    <t>Would have scored low as emotions described towards others were positive in nature, only pessimistic aspect was declaring they'd be lost without their partner</t>
  </si>
  <si>
    <t>N5A</t>
  </si>
  <si>
    <t xml:space="preserve">I can imagine a tendency towards neuroticism but also good ability to regulate emotion, so overall moderate - just based on their social competence and grammar 
</t>
  </si>
  <si>
    <t>N5B</t>
  </si>
  <si>
    <t>the participant hints at how they would struggle without their partner, but it is hard to tell how neurotic this would make them</t>
  </si>
  <si>
    <t>N5C</t>
  </si>
  <si>
    <t>Positive emotions and reflective statements were provided by the individual in both posts rather than pessimistic ones</t>
  </si>
  <si>
    <t>N6A</t>
  </si>
  <si>
    <t xml:space="preserve">Seems unassuming which I think goes with low neuroticism in some cases, low reflective ability too so I don't assume much rumination, anxiety etc this person goes with the flow </t>
  </si>
  <si>
    <t>N6B</t>
  </si>
  <si>
    <t>the participant does not describe anything linked to negative or stressful experiences so it is hard to say either way</t>
  </si>
  <si>
    <t>N6C</t>
  </si>
  <si>
    <t xml:space="preserve">Emotions in both posts are positive in nature and both posts indicate a positive hopefulness for the future </t>
  </si>
  <si>
    <t>N7A</t>
  </si>
  <si>
    <t xml:space="preserve">seems unassuming and to have low reflective abilities so I can't imagine lots of neuroticism and rumination anxiety etc </t>
  </si>
  <si>
    <t>N7B</t>
  </si>
  <si>
    <t>the participant only describes positive experiences and so it is hard to judge how they might deal with negative ones</t>
  </si>
  <si>
    <t>N7C</t>
  </si>
  <si>
    <t xml:space="preserve">The language used in both posts were positive and hopeful for the future rather than pessimistic in nature </t>
  </si>
  <si>
    <t>N8A</t>
  </si>
  <si>
    <t xml:space="preserve">Someone reflective and preocuppied with memories and stuff might be bound to ruminate and generally be preocuppied with things, anxious etc </t>
  </si>
  <si>
    <t>N8B</t>
  </si>
  <si>
    <t>the participant only writes about positive events and relationships and it is unclear how neurotic they might be from the provided information</t>
  </si>
  <si>
    <t>N8C</t>
  </si>
  <si>
    <t>In both posts the emotions expressed are positive and their view for the future and what it holds also appears positive too</t>
  </si>
  <si>
    <t>N9A</t>
  </si>
  <si>
    <t xml:space="preserve">I think only people who aren't that smart are very low on neuroticism - this is my bias and this eprson seems rather smart </t>
  </si>
  <si>
    <t>N9B</t>
  </si>
  <si>
    <t>the participant talks about the future and seems optimistic about her ability to support others throughout difficult times</t>
  </si>
  <si>
    <t>N9C</t>
  </si>
  <si>
    <t>Mostly positive language and emotions expressed in both posts. However, they had stated they would never pick up a microphone again if everyone left before they started singing on the karaoke</t>
  </si>
  <si>
    <t>N10A</t>
  </si>
  <si>
    <t xml:space="preserve">as I said biased by them not seeming very snart, not very reflective, jsut happy go lucky and unassuming </t>
  </si>
  <si>
    <t>N10B</t>
  </si>
  <si>
    <t>the participant writes in the first post about how they would find it hard to cope if others laughed at or made fun of them for their singing</t>
  </si>
  <si>
    <t>N10C</t>
  </si>
  <si>
    <t>They seem extremely positive. There is some poor grammar but I do not feel that suggests neuroticism.</t>
  </si>
  <si>
    <t>N11A</t>
  </si>
  <si>
    <t xml:space="preserve">Some of the language feels over-compensatory, which could suggest levels of jealousy, dissatisfaction or insecurity in their relationships with these friends or their partner. The use of superlatives, exclamation marks and endearing language could be seen as a bit forced, and trying to prove a point or show off to people on social media. </t>
  </si>
  <si>
    <t>N11B</t>
  </si>
  <si>
    <t>The use of exclamations indicate this person is moderately neurotic. Likewise, the general chaos  of the content of both posts and lack of punctuation shows that this person is not orderly and instead may be quite a high strung individual.</t>
  </si>
  <si>
    <t>N11C</t>
  </si>
  <si>
    <t>There is nothing to suggest they are neurotic. They seem very positive, loving and fun, but of course a couple of social media posts does not show much about one's personality.</t>
  </si>
  <si>
    <t>N12A</t>
  </si>
  <si>
    <t>The person comes across as level headed and content. They do not feel to be over or under compensating with their language, and they do not appear depressed, anxious or jealous from their posts.</t>
  </si>
  <si>
    <t>N12B</t>
  </si>
  <si>
    <t>The post is positive, supportive, and calm, without any signs of anxiety, worry, or emotional instability. The person expresses appreciation in an emotionally stable tone in both posts as shown though the consistency in appropriate language and use of punctuation.</t>
  </si>
  <si>
    <t>N12C</t>
  </si>
  <si>
    <t>Once again, there is nothing to suggest that they are neurotic, they just seem like someone very positive who knows how to have a fun time.</t>
  </si>
  <si>
    <t>N13A</t>
  </si>
  <si>
    <t xml:space="preserve">The language about god bringing the partner TO him strikes me as rather egotistical, and suggests that the individual put no effort in but was handed something. Also, the choice of language in the friend post feels more affectionate and possibly motivated in jealousy, in order to make his partner feel under appreciated? </t>
  </si>
  <si>
    <t>N13B</t>
  </si>
  <si>
    <t xml:space="preserve">The persons posts don't show signs of anxiety, worry, or emotional instability. The language is confident and affectionate in both posts, without any expressions of fear or distress. The positive tone and reassurance in the second post, especially with the focus on prayer and religion. </t>
  </si>
  <si>
    <t>N13C</t>
  </si>
  <si>
    <t>Even though they smoke, there is still not much to suggest they are more neurotic than the average person.</t>
  </si>
  <si>
    <t>N14A</t>
  </si>
  <si>
    <t>N14B</t>
  </si>
  <si>
    <t>N14C</t>
  </si>
  <si>
    <t>Once again, nothing to suggest they are particuarly neurotic. They may drink alcohol but it seems like a special occasion. Alcohol is linked with higher levels of neuroticism but there is nothing to suggest they drink more than average.</t>
  </si>
  <si>
    <t>N15A</t>
  </si>
  <si>
    <t>They seem quite settled, and able to laugh at themselves (being bad at golf, forgetting cake) with humour and not express frustration or disappointment in themselves.</t>
  </si>
  <si>
    <t>N15B</t>
  </si>
  <si>
    <t>N15C</t>
  </si>
  <si>
    <t xml:space="preserve">Nothing to suggest that they are neurotic as there is not enough evidence based on this. They seem very fun and laid back. </t>
  </si>
  <si>
    <t>N16A</t>
  </si>
  <si>
    <t>Again, not enough information but from the text there was no information about anxiousness/ nervousness etc</t>
  </si>
  <si>
    <t>N16B</t>
  </si>
  <si>
    <t xml:space="preserve">This person gives calm vibes and seems to be the life of the party. Also in the second post when they say 'we can't believe you come this far' seems to give a reassuring tone. </t>
  </si>
  <si>
    <t>N16C</t>
  </si>
  <si>
    <t>Again there is nothing to suggest that they are neurotic but they seem a very positive person who enjoys life.</t>
  </si>
  <si>
    <t>N17A</t>
  </si>
  <si>
    <t>Again, not enough information to decide. But there was no mentioning of stress/ anxiety/ nervousness or any signs of it</t>
  </si>
  <si>
    <t>N17B</t>
  </si>
  <si>
    <t xml:space="preserve">The person seems really upbeat and comfortable with engaging with others in various social situations. </t>
  </si>
  <si>
    <t>N17C</t>
  </si>
  <si>
    <t xml:space="preserve">There is really nothing to suggest they are more or less neurotic than the average person based on these social media posts. </t>
  </si>
  <si>
    <t>N18A</t>
  </si>
  <si>
    <t>Again, not enough information, no signs or reports of anxiety/ nervousness/ stress/ neuroticism. Not sure</t>
  </si>
  <si>
    <t>N18B</t>
  </si>
  <si>
    <t>Throughout both posts, the person's tone was really calm and reasuring. This shows that they are comofrtable with where they are in life and they enjoy the company of those around them.</t>
  </si>
  <si>
    <t>N18C</t>
  </si>
  <si>
    <t>I voted high because there seems to be some passive aggressiveness and sarcasm in her posts about the failed meet ups.</t>
  </si>
  <si>
    <t>N19A</t>
  </si>
  <si>
    <t xml:space="preserve">They seed a bit stressy from their first post - someone that gets annoyed and irritated and moans/ complains. </t>
  </si>
  <si>
    <t>N19B</t>
  </si>
  <si>
    <t>Both posts are calm, neutral, and caring. The person conveys that they are happy and content with their current life and the people around them.</t>
  </si>
  <si>
    <t>N19C</t>
  </si>
  <si>
    <t>They could be passive aggressive but it's very hard to tell over text compared to in person. But I can imagine they could have her fine arguments.</t>
  </si>
  <si>
    <t>N20A</t>
  </si>
  <si>
    <t>No information to suggest they are neurotic/ anxious, stressed, nervous, on edge etc or that they would score high on neuroticism</t>
  </si>
  <si>
    <t>N20B</t>
  </si>
  <si>
    <t xml:space="preserve">Lots of humour used in the first post, and this is further enhanced by the use of the emojis. Seems to be very comfortable and content with their life. </t>
  </si>
  <si>
    <t>N20C</t>
  </si>
  <si>
    <t>They seem very stable and seem to have their things together and are very patient which is good. But I could be wrong</t>
  </si>
  <si>
    <t>N21A</t>
  </si>
  <si>
    <t>No indication of stress, anxiety, nervousness, worry, etc so didnâ€™t seem like someone who will score highly on neuroticism</t>
  </si>
  <si>
    <t>N21B</t>
  </si>
  <si>
    <t xml:space="preserve">She appears to be socially competent and reflects on good memories with others. Overall, a very optimistic and happy tone conveyed in both posts. </t>
  </si>
  <si>
    <t>N21C</t>
  </si>
  <si>
    <t xml:space="preserve">They may often experience meltdowns and breakdowns. Something suggests that they are autistic though it is hard to tell </t>
  </si>
  <si>
    <t>N22A</t>
  </si>
  <si>
    <t>No information to suggest this is a person who will scorenhighly on neuroticism no signs of anxiety/ nervousness</t>
  </si>
  <si>
    <t>N22B</t>
  </si>
  <si>
    <t>He is looking forward to meet others and celebrate birthdays which creates a positive vibe. He also appears to be comofrtable with the people around him.</t>
  </si>
  <si>
    <t>N22C</t>
  </si>
  <si>
    <t xml:space="preserve">It is very hard to tell but again there is nothing to suggest that they are neurotic. They seem fun and using good language </t>
  </si>
  <si>
    <t>N23A</t>
  </si>
  <si>
    <t>No signs of anxiety, nervousness, stress, worry - not someone who will score highly on neuroticism from the texts</t>
  </si>
  <si>
    <t>N23B</t>
  </si>
  <si>
    <t xml:space="preserve">This person has successfuly balances life with personal and friendship commitments, They seem eager and opstimistic about the future. </t>
  </si>
  <si>
    <t>N23C</t>
  </si>
  <si>
    <t>I feel they are less educated and if I am not mistaken they are more likely to be neurotiic if they are not as educated.</t>
  </si>
  <si>
    <t>N24A</t>
  </si>
  <si>
    <t>No information to suggest they are a nervous anxious neurotic stressed person but not enough information</t>
  </si>
  <si>
    <t>N24B</t>
  </si>
  <si>
    <t xml:space="preserve">Seems to be down to earth and stable with both family and friendships. Also opsitimsitic and strong willed. </t>
  </si>
  <si>
    <t>N24C</t>
  </si>
  <si>
    <t>they seem a little bit autistic based on the language used but again I could not be super confident because it's hard to tell.</t>
  </si>
  <si>
    <t>N25A</t>
  </si>
  <si>
    <t>N25B</t>
  </si>
  <si>
    <t xml:space="preserve">Overall a positive tone used throughout both posts. The person gets on well with those around them and is content. </t>
  </si>
  <si>
    <t>N25C</t>
  </si>
  <si>
    <t>Nothing to suggest that they would be neurotic hence I have voted for low. but it is hard to be 100% sur</t>
  </si>
  <si>
    <t>N26A</t>
  </si>
  <si>
    <t xml:space="preserve">Again not enough information but there was no sugns of neuroticism anxiety nervousness worry stress etc </t>
  </si>
  <si>
    <t>N26B</t>
  </si>
  <si>
    <t xml:space="preserve">The appreciative nature, and willingness to have fun and engage with others suggests this person is emotionally strong. </t>
  </si>
  <si>
    <t>N26C</t>
  </si>
  <si>
    <t xml:space="preserve">Their use of language especially "buffoon" suggests they may not understand social cues and be quite mentally unstable if they are posting that on social media
</t>
  </si>
  <si>
    <t>N27A</t>
  </si>
  <si>
    <t>Seems like someone who is quite easily stressed irritable and neurotic. Someone who gets annoyed at everyone and is unhappy</t>
  </si>
  <si>
    <t>N27B</t>
  </si>
  <si>
    <t xml:space="preserve">The person's abulity to reflect on previous struggles demonstrates how she has been able to cope and persevere through difficulties. </t>
  </si>
  <si>
    <t>N27C</t>
  </si>
  <si>
    <t>They may be neurotic because some.of the dark humour suggests they may have mental issues . Again I may be wrong as it may be a genuine joke.</t>
  </si>
  <si>
    <t>N28A</t>
  </si>
  <si>
    <t>No signs of anxiety/ neomuroticism, nervousness stress worry etc maybe the sentence about its all downhill from here but it could have been a joke</t>
  </si>
  <si>
    <t>N28B</t>
  </si>
  <si>
    <t>Humours approach used through the joke to mid life crisis, suggests they are happy and content. Also strong relationship with others.</t>
  </si>
  <si>
    <t>N28C</t>
  </si>
  <si>
    <t>I will vote for high as again there may be some sarcasm when talking about the cracks and stuff so I feel they are morre likely to be neurotic.</t>
  </si>
  <si>
    <t>N29A</t>
  </si>
  <si>
    <t>Not much indication of worry/ neuroticism/ anxiety/ scepticism stress etc maybe a bit apprehension about grandchilden</t>
  </si>
  <si>
    <t>N29B</t>
  </si>
  <si>
    <t xml:space="preserve">relaxed tone creted throguhout. Seems to get along with everyone in her social circle and has maintained strong long term relationships. </t>
  </si>
  <si>
    <t>N29C</t>
  </si>
  <si>
    <t xml:space="preserve">I do get slightly neurotic vibes from the language they used however I could be wrong and she does seem a little bit excited suggesting she may be drunk when she wrote them. </t>
  </si>
  <si>
    <t>N30A</t>
  </si>
  <si>
    <t>No information to suggest this is a person who will score highly on neuroticism no info about anxiety or nervousness</t>
  </si>
  <si>
    <t>N30B</t>
  </si>
  <si>
    <t xml:space="preserve">Positive language and emoji's used throughout, suggesting the person is warm and happy. There is no negative langauge use.d </t>
  </si>
  <si>
    <t>N30C</t>
  </si>
  <si>
    <t>They seemed desperate to know whether their friends wanted to meet again - said let me know twice this is a neurotic trait</t>
  </si>
  <si>
    <t>N31A</t>
  </si>
  <si>
    <t>This person seems to be very spiritual based on the language so I imagine them to be pretty calm and hence I have voted low.</t>
  </si>
  <si>
    <t>N31B</t>
  </si>
  <si>
    <t>No negative emotions are expressed in the posts, suggesting a low score. However, the fact that they are posting inner thoughts to social media about their relationships might suggest low self-esteem as needing gratification from others'.</t>
  </si>
  <si>
    <t>N31C</t>
  </si>
  <si>
    <t>This person sounds very relaxed and like they like to go with the flow as is doesn't sound like they care for organising things</t>
  </si>
  <si>
    <t>N32A</t>
  </si>
  <si>
    <t>This person seems pretty stable and seems to have a strong head on their shoulders overall. Hence  I voted moderate.</t>
  </si>
  <si>
    <t>N32B</t>
  </si>
  <si>
    <t>The posts seem very positive. The words are meaningful and the use of exclamation marks seems very upbeat.</t>
  </si>
  <si>
    <t>N32C</t>
  </si>
  <si>
    <t>This person speaks very clearly and doesn't care about grammar, they also seem to go with the flow eg meeting up with anyone on their socials for a drink</t>
  </si>
  <si>
    <t>N33A</t>
  </si>
  <si>
    <t xml:space="preserve">I feel this person is not that educated and sophistacted so it would be less surprising if they were a little bit more neurotic than average. </t>
  </si>
  <si>
    <t>N33B</t>
  </si>
  <si>
    <t>The way the post is written seems a bit more flat - not sure if it is the use of full stops, less exclamation etc. The flatness can seem a bit low in terms of mood and affect.</t>
  </si>
  <si>
    <t>N33C</t>
  </si>
  <si>
    <t>They seem like they just do what they want - said they have done illegal things and they are proud of it</t>
  </si>
  <si>
    <t>N34A</t>
  </si>
  <si>
    <t xml:space="preserve">I get uneducated vibes from this person and these people may be less mentally stable and therefore more neurotic. </t>
  </si>
  <si>
    <t>N34B</t>
  </si>
  <si>
    <t>The reference to the "highs and the lows" suggests that their mood can be liable and they might have a propensity for low mood/stress/anxiety etc.</t>
  </si>
  <si>
    <t>N34C</t>
  </si>
  <si>
    <t>Very good grammar, definitely reread the post before posting it, and described absolutely everything they did with their friends and seemed worried that their second post would upset their partner</t>
  </si>
  <si>
    <t>N35A</t>
  </si>
  <si>
    <t>They have a good sense of humour, can be seen as dry but hard to tell  much about their mental stability overall.</t>
  </si>
  <si>
    <t>N35B</t>
  </si>
  <si>
    <t>Their mood seems quite high from the posts - I think the questions to themself about where has the time gone and the exclamation mark makes the post seem more upbeat.</t>
  </si>
  <si>
    <t>N35C</t>
  </si>
  <si>
    <t>Seems to not mind making a fool of themselves (laughing about bad outfits and past behaviour), easy going and goes with the flow</t>
  </si>
  <si>
    <t>N36A</t>
  </si>
  <si>
    <t xml:space="preserve">Overall, this person seems like someone who would be very mentally stable and hence I have voted low. </t>
  </si>
  <si>
    <t>N36B</t>
  </si>
  <si>
    <t>They seem high energy, due to the meaningful words said that the punctuation - they seem upbeat and happy.</t>
  </si>
  <si>
    <t>N36C</t>
  </si>
  <si>
    <t>there is nothing to suggest that this person is either neurotic or calm, they don't seem to have put others or their own needs first</t>
  </si>
  <si>
    <t>N37A</t>
  </si>
  <si>
    <t>Seems laid back and very simple overall. I would say they are stable however they may have some form of learning disability.</t>
  </si>
  <si>
    <t>N37B</t>
  </si>
  <si>
    <t>The reference to the "lost" years and "so much" happening suggests there may have been some really difficult times for this person</t>
  </si>
  <si>
    <t>N37C</t>
  </si>
  <si>
    <t>Seems a little desperate to impress their partners parents and has as a result said something really strange</t>
  </si>
  <si>
    <t>N38A</t>
  </si>
  <si>
    <t>This person seems like they may be stable overall, and would be able to take bad experiences on the chin.</t>
  </si>
  <si>
    <t>N38B</t>
  </si>
  <si>
    <t>Reference to failing and lack of reference to lots of good or funny memories suggests some neuroticism and low mood</t>
  </si>
  <si>
    <t>N38C</t>
  </si>
  <si>
    <t>This person goes on wild adventures so is unlikely to worry about the small things they are likely to go with the flow</t>
  </si>
  <si>
    <t>N39A</t>
  </si>
  <si>
    <t xml:space="preserve">This person seems to have their thiings together and would probably be emotionally stable and resillient. </t>
  </si>
  <si>
    <t>N39B</t>
  </si>
  <si>
    <t>This person sounds very upbeat, they reference their emotions and seem in-tune with themselves. They sound like a happy person, their use of personal anecdotes and exclamation n marks helps with this.</t>
  </si>
  <si>
    <t>N39C</t>
  </si>
  <si>
    <t>This person has not checked their post for spelling or grammar so they are unlikely to be neurotic and a worrier</t>
  </si>
  <si>
    <t>N40A</t>
  </si>
  <si>
    <t>It seems this person will struggle with their mental health at times as he has made reference to needing the support of his friends et.c</t>
  </si>
  <si>
    <t>N40B</t>
  </si>
  <si>
    <t>The reference the the "trials and tribulations" suggests that they have experienced some difficult times and is happy to reference this online.</t>
  </si>
  <si>
    <t>N40C</t>
  </si>
  <si>
    <t>This person only does activities which involve going to places to eat so they do the same thing over and over which suggests neuroticism</t>
  </si>
  <si>
    <t>N41A</t>
  </si>
  <si>
    <t>Their use of language suggests they are pretty simple and not too easily fazed by negative events happening.</t>
  </si>
  <si>
    <t>N41B</t>
  </si>
  <si>
    <t>I think this person comes across as quite ordinary, which makes me feels that they just have ordinary feeling and experiences neuroticism from time to time</t>
  </si>
  <si>
    <t>N41C</t>
  </si>
  <si>
    <t>This person goes on wild adventures and parties into the night so they are unlikely to be a nervous or anxious person</t>
  </si>
  <si>
    <t>N42A</t>
  </si>
  <si>
    <t>They seem to be pretty stable and have their lives together. Nothing to suggest they are super well together but they appear about average hence I have rated moderate.</t>
  </si>
  <si>
    <t>N42B</t>
  </si>
  <si>
    <t>This person seems very upbeat, they don't reference any lows and seem to have "fondness" in their personality (which makes me feel they are a warm positive person)</t>
  </si>
  <si>
    <t>N42C</t>
  </si>
  <si>
    <t xml:space="preserve">This person seems very relaxed and laid back suggesting that they are not neurotic as they aren't worrying unnecessarily </t>
  </si>
  <si>
    <t>N43A</t>
  </si>
  <si>
    <t>They seem to be pretty stable overall but I feel they may also be crazy and adventorous so may have some form of neurodiversity.</t>
  </si>
  <si>
    <t>N43B</t>
  </si>
  <si>
    <t>This person talks about having something missing in their life before they met their girlfriend, making it seem they have had some dark times in the past.</t>
  </si>
  <si>
    <t>N43C</t>
  </si>
  <si>
    <t>this person felt the need to write two very long posts to make sure they got their point across properly suggesting they care what others think and may be neurotic</t>
  </si>
  <si>
    <t>N44A</t>
  </si>
  <si>
    <t>They seem like someone who is very happy overall and would  be pretty content and keen to adapt and be positive.</t>
  </si>
  <si>
    <t>N44B</t>
  </si>
  <si>
    <t>This person seems very upbeat, they reference positive emotions and seem very in touch with positivity</t>
  </si>
  <si>
    <t>N44C</t>
  </si>
  <si>
    <t>this person is very relaxed and go with the flow, let the night out with the friends go where it went without planning it</t>
  </si>
  <si>
    <t>N45A</t>
  </si>
  <si>
    <t>This person may be depressed and therefore may have a mood disorder and be negatively affected by bad experiences.</t>
  </si>
  <si>
    <t>N45B</t>
  </si>
  <si>
    <t>This person expresses some positive emotions with their partner, they say general things so are in touch with their emotions to an extent</t>
  </si>
  <si>
    <t>N45C</t>
  </si>
  <si>
    <t>There is really nothing to suggest that they are more neurotic than average. They seem very patient and understanding so cannot say much either way.</t>
  </si>
  <si>
    <t>N46A</t>
  </si>
  <si>
    <t xml:space="preserve">They made lists in both posts which suggests that they are quite specific about the way they like things to be done and worry that they will forget things also seemed worried to offend the person that made the food feeling they had to thank them </t>
  </si>
  <si>
    <t>N46B</t>
  </si>
  <si>
    <t xml:space="preserve">As mentioned, they seem to present as quite spontaneous and living in the moment, which feels conflicting with being anxious or nervous. </t>
  </si>
  <si>
    <t>N46C</t>
  </si>
  <si>
    <t>Their use of language suggests they are pretty bland and have some mental health or neurodivesre difficulties and hence may be more suspectible to being neurotic.</t>
  </si>
  <si>
    <t>N47A</t>
  </si>
  <si>
    <t>Used a lot of fancy language eg superlative suggests they were anxious of coming accords well to others and not a relaxed person</t>
  </si>
  <si>
    <t>N47B</t>
  </si>
  <si>
    <t xml:space="preserve">They seem to be aware of how the event made them feel and thoughtful about keeping friends. They use kind phrases a lot which seems a bit excessive. </t>
  </si>
  <si>
    <t>N47C</t>
  </si>
  <si>
    <t>The way they write suggests they may be a bit abnormal, which is not necessarily a bad thing but would not surprise me if they had a bit of a mood disorder.</t>
  </si>
  <si>
    <t>N48A</t>
  </si>
  <si>
    <t xml:space="preserve">This person writes as if they go with the flow as they have not spell or grammar checked either of the posts </t>
  </si>
  <si>
    <t>N48B</t>
  </si>
  <si>
    <t xml:space="preserve">They seem to have a heightened recalling of the time with friends, perhaps implying overwhelm at each individual thing. They talk about life getting tough and being there for their partner. </t>
  </si>
  <si>
    <t>N48C</t>
  </si>
  <si>
    <t>This person seems to be someone who has their life together and they will not that easily phased hence I have voted low.</t>
  </si>
  <si>
    <t>N49A</t>
  </si>
  <si>
    <t xml:space="preserve">This person has not spell or grammar checked the posts they have written which suggests they are not neurotic </t>
  </si>
  <si>
    <t>N49B</t>
  </si>
  <si>
    <t xml:space="preserve">They mentioned constant patience and support, implying that they value their partners support and perhaps seek that reassurance, </t>
  </si>
  <si>
    <t>N49C</t>
  </si>
  <si>
    <t>The language is not typical from someone of that age so I suspect they are fun but would not be surprising if they were more neurotic also.</t>
  </si>
  <si>
    <t>N50A</t>
  </si>
  <si>
    <t xml:space="preserve">This person seems to have been really negatively effected by hearing about the deaths of people that they have not spoken to for years so is likely very effected by negative emotions </t>
  </si>
  <si>
    <t>N50B</t>
  </si>
  <si>
    <t>They seem okay with surprises and celebrations, not needing routine or sameness, they seem to just be taking things as they come</t>
  </si>
  <si>
    <t>N50C</t>
  </si>
  <si>
    <t>This person seems relatively "normal" and stable hence voted moderate. Nothing to suggest they would be higher or lower than average.</t>
  </si>
  <si>
    <t>N51A</t>
  </si>
  <si>
    <t xml:space="preserve">I donâ€™t think neurotic people use hashtags but it also seems that the person has checked and read through their posts as there were no mistakes in them suggesting they are stressed or anxious about posting  </t>
  </si>
  <si>
    <t>N51B</t>
  </si>
  <si>
    <t xml:space="preserve">They talked about being lucky to have their partner as though they feel they donâ€™t deserve that love. </t>
  </si>
  <si>
    <t>N51C</t>
  </si>
  <si>
    <t>Poor grammar and lack of education, I believe can  be linked with higher levels of  neuroticism, this person has not written it well so I would not be surprised if they were more neurotic than average.</t>
  </si>
  <si>
    <t>N52A</t>
  </si>
  <si>
    <t xml:space="preserve">This person made lots of errors so it seems that they donâ€™t really care what they people reading these posts think </t>
  </si>
  <si>
    <t>N52B</t>
  </si>
  <si>
    <t xml:space="preserve">They donâ€™t seem to express much deep reflection or worry at all, they seem to be speaking at surface level </t>
  </si>
  <si>
    <t>N52C</t>
  </si>
  <si>
    <t>I feel this person is clearly a lot more educated so my brain automatically thinks they are more mentally stable and therefore less neurotic than average.</t>
  </si>
  <si>
    <t>N53A</t>
  </si>
  <si>
    <t>This person spent a long time thinking about what to post as evidenced by the length and detail in the posts suggesting they care a lot about what others reading these posts think</t>
  </si>
  <si>
    <t>N53B</t>
  </si>
  <si>
    <t>They are deeply thoughtful and reflective, and express feeling lucky for their partner, and seem wrapped up in their thoughts</t>
  </si>
  <si>
    <t>N53C</t>
  </si>
  <si>
    <t>I feel because of the dry sense of humour it would not be as surprising if they were more neurotic than average</t>
  </si>
  <si>
    <t>N54A</t>
  </si>
  <si>
    <t xml:space="preserve">This person has not said anything in either of their posts to suggest that they are neurotic or very unbothered </t>
  </si>
  <si>
    <t>N54B</t>
  </si>
  <si>
    <t>They donâ€™t seem worried or thinking too much into things, they are more describing surface level aspects.</t>
  </si>
  <si>
    <t>N54C</t>
  </si>
  <si>
    <t>It is a bit hard to tell hence I voted moderate. THey do seem serious and put together but they may also have some sorts of difficulties.</t>
  </si>
  <si>
    <t>N55A</t>
  </si>
  <si>
    <t xml:space="preserve">This person is not anxious about what others think of them because they enjoyed wearing a themed costume </t>
  </si>
  <si>
    <t>N55B</t>
  </si>
  <si>
    <t xml:space="preserve">They do not seem to show worry or nerves, and seem pretty care free and taking things as they come.   </t>
  </si>
  <si>
    <t>N55C</t>
  </si>
  <si>
    <t>I could be wrong but I feel they drink a lot of alcohol and seem very "simple", possibly less educated which suggests they may be more neurotic and mentally unstable.</t>
  </si>
  <si>
    <t>N56A</t>
  </si>
  <si>
    <t xml:space="preserve">This person made a silly joke and references being silly and having fun as well as hinting at rule breaking suggesting they are not anxious </t>
  </si>
  <si>
    <t>N56B</t>
  </si>
  <si>
    <t>They seem pretty care free and not worrying about much, taking things as they come, joking at big ears and the age.</t>
  </si>
  <si>
    <t>N56C</t>
  </si>
  <si>
    <t>Again, their sense of humour suggests they may be a little bit more neurotic and more mentally unstable.</t>
  </si>
  <si>
    <t>N57A</t>
  </si>
  <si>
    <t xml:space="preserve">This person references feeling awkward meeting their old friends which shows that they are negatively effected by external factors </t>
  </si>
  <si>
    <t>N57B</t>
  </si>
  <si>
    <t>They showed a lot of worry and awkwardness and sensitivity towards their past difficult experiences, they showed worry when just putting S, and spoke about worries about what others think such as perceiving them as 12</t>
  </si>
  <si>
    <t>N57C</t>
  </si>
  <si>
    <t>The use of the English language suggests they are pretty stable but they seem more average hence I voted moderate rather than low.</t>
  </si>
  <si>
    <t>N58A</t>
  </si>
  <si>
    <t xml:space="preserve">This person has not said anything in either of their posts to suggest that they are either neurotic or not neurotic </t>
  </si>
  <si>
    <t>N58B</t>
  </si>
  <si>
    <t xml:space="preserve">They seemed pretty care free and excited to go with the flow and do something fun, they also implied partner in crime </t>
  </si>
  <si>
    <t>N58C</t>
  </si>
  <si>
    <t>I feel like they could be high because they do not seem as educated based on the use of language so they may not be as mentally stable.</t>
  </si>
  <si>
    <t>N59A</t>
  </si>
  <si>
    <t xml:space="preserve">Not at all worried that the derogatory jokes that they have made to their significant other might offend them on their birthday </t>
  </si>
  <si>
    <t>N59B</t>
  </si>
  <si>
    <t xml:space="preserve">They seemed pretty chill and taking things as they come but still some sign of realism and consideration for life circumstances. </t>
  </si>
  <si>
    <t>N59C</t>
  </si>
  <si>
    <t>This person may have some neurodiversity or learning disabilities and they can be more likely to be neurotic.</t>
  </si>
  <si>
    <t>N60A</t>
  </si>
  <si>
    <t xml:space="preserve">This person seems very anxious that the world is changing with suggests that they may be quite neurotic </t>
  </si>
  <si>
    <t>N60B</t>
  </si>
  <si>
    <t xml:space="preserve">They showed some sign of struggling with change and the uncertainty of life, they seemed to value closeness with family. </t>
  </si>
  <si>
    <t>N60C</t>
  </si>
  <si>
    <t>keep_assessment</t>
  </si>
  <si>
    <t>The individual appears rather attached to existing people in their life, and seems highly motivated to continue spending time with them. However they do express interest in the 'plans' with their friends, and in their partners desires, which is vague but could be suggestive of new experiences.</t>
  </si>
  <si>
    <t>They seem reliant on their friends but appear open to doing anything with them. Their phrase 'life can be complicated' might suggest they have tried new things and not always enjoyed them</t>
  </si>
  <si>
    <t>They wrote a really lovely message for their partner's birthday on social media. Their post about catching up with friends was a bit passive-aggressive portrayed as 'funny' but maybe that's the joke in the friendship group - difficult to tell</t>
  </si>
  <si>
    <t>The tone in the posts is more subdued than the previous case study. Less exclamation and 'loudâ€™ tone, so the individual comes across as slightly less extroverted to me. They enjoy meeting the same childhood friends for a reunion over decades, and donâ€™t allude to seeing them or wanting their company at other times.</t>
  </si>
  <si>
    <t xml:space="preserve">Similar to the openness answer - the first post presents them as someone that enjoys a party scene, like wanting to do it again, and addressing the 'crowdâ€™ in their post. </t>
  </si>
  <si>
    <t xml:space="preserve">I have the impression that the individual may be somewhat insecure or anxious, perhaps depressed. They reference the hardships of life in both posts, saying 'I donâ€™t know where Iâ€™d be without youâ€™ in both posts. They might not have the internal resources to manage these feelings and rely on people in their life </t>
  </si>
  <si>
    <t>I think they suggest they feel more comfortable with the people they are close to in their life. They turn to 'my people' when they need support, rather than looking inwards.</t>
  </si>
  <si>
    <t>Seemed to have enjoyed spending a night out with school friends. Seemed to be very excited to celebrate partner's bday and have fun and surprises for the whole day. Also the way they wrote the post in text 2 is language someone extroverted would use on social media</t>
  </si>
  <si>
    <t>They seemed happy to catch up with friends and excited to go out for partner's birthday and have a day of celebrations</t>
  </si>
  <si>
    <t xml:space="preserve">They talked about attending an event and wanting to befriend people they met there. They also couldn't see their partner on their birthday which may be because they are busy, but seemed to give off avoidance vibes. </t>
  </si>
  <si>
    <t xml:space="preserve">They seem to have the ability to be extroverted given their activities, but the excitement almost implies that they don't do this often. </t>
  </si>
  <si>
    <t xml:space="preserve">Similar to first answer, the way they spoke about recreating memories sounded like they don't often get to do similar things anymore. </t>
  </si>
  <si>
    <t xml:space="preserve">They seem to do well being social but gave off vibes of wanting to be home or safe with their partner, and perhaps they don't always get together with people all the time. </t>
  </si>
  <si>
    <t xml:space="preserve">This person said they enjoyed meeting up with the old friends but doesn't seem to have made attempts to organise another meet up so it may have drained them a little </t>
  </si>
  <si>
    <t xml:space="preserve">They talked about laughter and kisses and things they didn't, rather than their thoughts or internal process </t>
  </si>
  <si>
    <t>They seemed to really enjoying partying with their friends and to be excited for their partner's birthday. Especially words used in text 1 such as 'finally' and the excitement that they were able to match availabilities.</t>
  </si>
  <si>
    <t xml:space="preserve">Not much info but the borthday wish suggested the wife is the 'jam' and that they will be on their best behaviour was suggestive of him not being a very nice husband </t>
  </si>
  <si>
    <t>Not enough information but from their birthday message to partner there was suggestions there might be something as they said 'thansk for putting up with me to partner'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</si>
</sst>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 #,##0.00_ ;_ * \-#,##0.00_ ;_ * &quot;-&quot;??_ ;_ @_ "/>
  </numFmts>
  <fonts count="4" x14ac:knownFonts="1">
    <font>
      <sz val="11"/>
      <color theme="1"/>
      <name val="Aptos Narrow"/>
      <family val="2"/>
      <charset val="177"/>
      <scheme val="minor"/>
    </font>
    <font>
      <b/>
      <sz val="11"/>
      <color theme="0"/>
      <name val="Aptos Narrow"/>
      <family val="2"/>
      <charset val="177"/>
      <scheme val="minor"/>
    </font>
    <font>
      <sz val="11"/>
      <color indexed="8"/>
      <name val="Aptos Narrow"/>
      <family val="2"/>
      <scheme val="minor"/>
    </font>
    <font>
      <sz val="11"/>
      <color theme="1"/>
      <name val="Aptos Narrow"/>
      <family val="2"/>
      <charset val="177"/>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15">
    <border>
      <left/>
      <right/>
      <top/>
      <bottom/>
      <diagonal/>
    </border>
    <border>
      <left style="thin">
        <color theme="4"/>
      </left>
      <right/>
      <top style="thin">
        <color theme="4"/>
      </top>
      <bottom/>
      <diagonal/>
    </border>
    <border>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style="thin">
        <color theme="4"/>
      </left>
      <right/>
      <top/>
      <bottom/>
      <diagonal/>
    </border>
    <border>
      <left/>
      <right style="thin">
        <color theme="4"/>
      </right>
      <top style="thin">
        <color theme="4"/>
      </top>
      <bottom/>
      <diagonal/>
    </border>
    <border>
      <left/>
      <right/>
      <top style="thin">
        <color theme="4"/>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style="thin">
        <color theme="4"/>
      </left>
      <right style="thin">
        <color theme="4" tint="0.39997558519241921"/>
      </right>
      <top style="thin">
        <color theme="4"/>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3">
    <xf numFmtId="0" fontId="0" fillId="0" borderId="0"/>
    <xf numFmtId="0" fontId="2" fillId="0" borderId="0"/>
    <xf numFmtId="43" fontId="3" fillId="0" borderId="0" applyFont="0" applyFill="0" applyBorder="0" applyAlignment="0" applyProtection="0"/>
  </cellStyleXfs>
  <cellXfs count="52">
    <xf numFmtId="0" fontId="0" fillId="0" borderId="0" xfId="0"/>
    <xf numFmtId="0" fontId="0" fillId="0" borderId="2" xfId="0" applyBorder="1" applyAlignment="1">
      <alignment horizontal="center" vertical="top"/>
    </xf>
    <xf numFmtId="0" fontId="0" fillId="0" borderId="0" xfId="0" applyAlignment="1">
      <alignment wrapText="1"/>
    </xf>
    <xf numFmtId="0" fontId="0" fillId="0" borderId="0" xfId="0" applyAlignment="1">
      <alignment horizontal="center" vertical="center"/>
    </xf>
    <xf numFmtId="0" fontId="1" fillId="2" borderId="5" xfId="0" applyFont="1" applyFill="1" applyBorder="1" applyAlignment="1">
      <alignment horizontal="center" vertical="top"/>
    </xf>
    <xf numFmtId="0" fontId="1" fillId="2" borderId="0" xfId="0" applyFont="1" applyFill="1" applyAlignment="1">
      <alignment horizontal="center" vertical="top"/>
    </xf>
    <xf numFmtId="0" fontId="0" fillId="0" borderId="0" xfId="0" applyAlignment="1">
      <alignment horizontal="center"/>
    </xf>
    <xf numFmtId="0" fontId="0" fillId="0" borderId="0" xfId="0" applyAlignment="1">
      <alignment horizontal="left"/>
    </xf>
    <xf numFmtId="0" fontId="0" fillId="0" borderId="1" xfId="2" applyNumberFormat="1" applyFont="1" applyBorder="1" applyAlignment="1">
      <alignment horizontal="center" vertical="top"/>
    </xf>
    <xf numFmtId="0" fontId="0" fillId="0" borderId="3" xfId="2" applyNumberFormat="1" applyFont="1" applyBorder="1" applyAlignment="1">
      <alignment horizontal="center" vertical="top"/>
    </xf>
    <xf numFmtId="0" fontId="2" fillId="0" borderId="0" xfId="1" applyAlignment="1">
      <alignment horizontal="center" vertical="center"/>
    </xf>
    <xf numFmtId="0" fontId="2" fillId="0" borderId="0" xfId="1" applyAlignment="1">
      <alignment horizontal="center"/>
    </xf>
    <xf numFmtId="0" fontId="2" fillId="0" borderId="0" xfId="1"/>
    <xf numFmtId="0" fontId="1" fillId="2" borderId="2" xfId="0" applyFont="1" applyFill="1" applyBorder="1" applyAlignment="1">
      <alignment horizontal="center" vertical="top"/>
    </xf>
    <xf numFmtId="0" fontId="1" fillId="2" borderId="6" xfId="0" applyFont="1" applyFill="1" applyBorder="1" applyAlignment="1">
      <alignment horizontal="center" vertical="top"/>
    </xf>
    <xf numFmtId="0" fontId="1" fillId="2" borderId="1" xfId="0" applyFont="1" applyFill="1" applyBorder="1" applyAlignment="1">
      <alignment horizontal="center" vertical="top"/>
    </xf>
    <xf numFmtId="0" fontId="2" fillId="0" borderId="0" xfId="1" applyAlignment="1">
      <alignment vertical="center"/>
    </xf>
    <xf numFmtId="0" fontId="0" fillId="0" borderId="2" xfId="0" applyBorder="1" applyAlignment="1">
      <alignment horizontal="left" vertical="top"/>
    </xf>
    <xf numFmtId="0" fontId="0" fillId="0" borderId="2" xfId="0" applyBorder="1" applyAlignment="1">
      <alignment horizontal="left" vertical="top" wrapText="1"/>
    </xf>
    <xf numFmtId="0" fontId="0" fillId="0" borderId="8" xfId="0" applyBorder="1"/>
    <xf numFmtId="0" fontId="0" fillId="0" borderId="9" xfId="0" applyBorder="1"/>
    <xf numFmtId="0" fontId="1" fillId="2" borderId="12" xfId="0" applyFont="1" applyFill="1" applyBorder="1" applyAlignment="1">
      <alignment horizontal="center" vertical="top"/>
    </xf>
    <xf numFmtId="0" fontId="2" fillId="3" borderId="13" xfId="1" applyFill="1" applyBorder="1" applyAlignment="1">
      <alignment horizontal="center" vertical="center"/>
    </xf>
    <xf numFmtId="0" fontId="0" fillId="3" borderId="2" xfId="0" applyFill="1" applyBorder="1" applyAlignment="1">
      <alignment horizontal="left" vertical="top"/>
    </xf>
    <xf numFmtId="0" fontId="0" fillId="3" borderId="11" xfId="0" applyFill="1" applyBorder="1"/>
    <xf numFmtId="0" fontId="0" fillId="3" borderId="11" xfId="0" applyFill="1" applyBorder="1" applyAlignment="1">
      <alignment horizontal="center"/>
    </xf>
    <xf numFmtId="0" fontId="0" fillId="3" borderId="14" xfId="0" applyFill="1" applyBorder="1"/>
    <xf numFmtId="0" fontId="2" fillId="0" borderId="13" xfId="1" applyBorder="1" applyAlignment="1">
      <alignment horizontal="center" vertical="center"/>
    </xf>
    <xf numFmtId="0" fontId="0" fillId="0" borderId="11" xfId="0" applyBorder="1"/>
    <xf numFmtId="0" fontId="0" fillId="0" borderId="11" xfId="0" applyBorder="1" applyAlignment="1">
      <alignment horizontal="center"/>
    </xf>
    <xf numFmtId="0" fontId="0" fillId="0" borderId="14" xfId="0" applyBorder="1"/>
    <xf numFmtId="0" fontId="0" fillId="3" borderId="2" xfId="0" applyFill="1" applyBorder="1" applyAlignment="1">
      <alignment horizontal="left" vertical="top" wrapText="1"/>
    </xf>
    <xf numFmtId="0" fontId="2" fillId="0" borderId="11" xfId="1" applyBorder="1" applyAlignment="1">
      <alignment horizontal="center"/>
    </xf>
    <xf numFmtId="0" fontId="2" fillId="0" borderId="11" xfId="1" applyBorder="1"/>
    <xf numFmtId="0" fontId="2" fillId="3" borderId="11" xfId="1" applyFill="1" applyBorder="1" applyAlignment="1">
      <alignment horizontal="center"/>
    </xf>
    <xf numFmtId="0" fontId="2" fillId="3" borderId="11" xfId="1" applyFill="1" applyBorder="1"/>
    <xf numFmtId="0" fontId="2" fillId="0" borderId="10" xfId="1" applyBorder="1" applyAlignment="1">
      <alignment horizontal="center" vertical="center"/>
    </xf>
    <xf numFmtId="0" fontId="0" fillId="0" borderId="7" xfId="0" applyBorder="1" applyAlignment="1">
      <alignment horizontal="left" vertical="top"/>
    </xf>
    <xf numFmtId="0" fontId="0" fillId="0" borderId="8" xfId="0" applyBorder="1" applyAlignment="1">
      <alignment horizontal="center"/>
    </xf>
    <xf numFmtId="0" fontId="2" fillId="3" borderId="11" xfId="1" applyFill="1" applyBorder="1" applyAlignment="1">
      <alignment horizontal="center" vertical="center"/>
    </xf>
    <xf numFmtId="0" fontId="2" fillId="0" borderId="11" xfId="1" applyBorder="1" applyAlignment="1">
      <alignment horizontal="center" vertical="center"/>
    </xf>
    <xf numFmtId="0" fontId="2" fillId="0" borderId="8" xfId="1" applyBorder="1" applyAlignment="1">
      <alignment horizontal="center" vertical="center"/>
    </xf>
    <xf numFmtId="0" fontId="2" fillId="0" borderId="0" xfId="1" applyAlignment="1">
      <alignment horizontal="left" vertical="center"/>
    </xf>
    <xf numFmtId="0" fontId="0" fillId="0" borderId="0" xfId="0" applyAlignment="1">
      <alignment horizontal="center" vertical="top"/>
    </xf>
    <xf numFmtId="0" fontId="2" fillId="0" borderId="1" xfId="1" applyBorder="1" applyAlignment="1">
      <alignment horizontal="center" vertical="center"/>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horizontal="left" vertical="top"/>
    </xf>
    <xf numFmtId="0" fontId="0" fillId="0" borderId="4" xfId="0" applyBorder="1" applyAlignment="1">
      <alignment horizontal="left"/>
    </xf>
    <xf numFmtId="0" fontId="0" fillId="0" borderId="13" xfId="0" applyBorder="1" applyAlignment="1">
      <alignment horizontal="center" vertical="top"/>
    </xf>
    <xf numFmtId="0" fontId="2" fillId="3" borderId="1" xfId="1" applyFill="1" applyBorder="1" applyAlignment="1">
      <alignment horizontal="center" vertical="center"/>
    </xf>
    <xf numFmtId="0" fontId="0" fillId="0" borderId="4" xfId="0" applyBorder="1" applyAlignment="1">
      <alignment horizontal="center"/>
    </xf>
  </cellXfs>
  <cellStyles count="3">
    <cellStyle name="Comma" xfId="2" builtinId="3"/>
    <cellStyle name="Normal" xfId="0" builtinId="0"/>
    <cellStyle name="Normal 2" xfId="1" xr:uid="{B5C1BB8D-BC10-4DA8-B8C1-5BD610110688}"/>
  </cellStyles>
  <dxfs count="34">
    <dxf>
      <fill>
        <patternFill>
          <bgColor rgb="FF92D050"/>
        </patternFill>
      </fill>
    </dxf>
    <dxf>
      <fill>
        <patternFill>
          <bgColor rgb="FF92D050"/>
        </patternFill>
      </fill>
    </dxf>
    <dxf>
      <font>
        <color rgb="FF9C0006"/>
      </font>
      <fill>
        <patternFill>
          <bgColor rgb="FFFFC7CE"/>
        </patternFill>
      </fill>
    </dxf>
    <dxf>
      <font>
        <color rgb="FF006100"/>
      </font>
      <fill>
        <patternFill>
          <bgColor rgb="FF00B050"/>
        </patternFill>
      </fill>
    </dxf>
    <dxf>
      <alignment horizontal="center" vertical="bottom" textRotation="0" wrapText="0" indent="0" justifyLastLine="0" shrinkToFit="0" readingOrder="0"/>
    </dxf>
    <dxf>
      <numFmt numFmtId="0" formatCode="General"/>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left" vertical="bottom" textRotation="0" wrapText="0" indent="0" justifyLastLine="0" shrinkToFit="0" readingOrder="0"/>
    </dxf>
    <dxf>
      <alignment horizontal="left" textRotation="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alignment horizontal="center" vertical="bottom" textRotation="0" wrapText="0" indent="0" justifyLastLine="0" shrinkToFit="0" readingOrder="0"/>
    </dxf>
    <dxf>
      <alignment horizontal="center" textRotation="0" wrapText="0" indent="0" justifyLastLine="0" shrinkToFit="0" readingOrder="0"/>
    </dxf>
    <dxf>
      <numFmt numFmtId="35" formatCode="_ * #,##0.00_ ;_ * \-#,##0.00_ ;_ * &quot;-&quot;??_ ;_ @_ "/>
      <alignment horizontal="center" vertical="top" textRotation="0" wrapText="0" indent="0" justifyLastLine="0" shrinkToFit="0" readingOrder="0"/>
      <border diagonalUp="0" diagonalDown="0" outline="0">
        <left/>
        <right/>
        <top style="thin">
          <color theme="4"/>
        </top>
        <bottom/>
      </border>
    </dxf>
    <dxf>
      <alignment horizontal="center" vertical="top" textRotation="0" wrapText="0" indent="0" justifyLastLine="0" shrinkToFit="0" readingOrder="0"/>
      <border diagonalUp="0" diagonalDown="0" outline="0">
        <left/>
        <right/>
        <top style="thin">
          <color theme="4"/>
        </top>
        <bottom style="thin">
          <color theme="4"/>
        </bottom>
      </border>
    </dxf>
    <dxf>
      <alignment horizontal="center" vertical="top" textRotation="0" wrapText="0" indent="0" justifyLastLine="0" shrinkToFit="0" readingOrder="0"/>
      <border diagonalUp="0" diagonalDown="0" outline="0">
        <left/>
        <right style="thin">
          <color theme="4"/>
        </right>
        <top style="thin">
          <color theme="4"/>
        </top>
        <bottom/>
      </border>
    </dxf>
    <dxf>
      <alignment horizontal="left" vertical="top" textRotation="0" wrapText="0" indent="0" justifyLastLine="0" shrinkToFit="0" readingOrder="0"/>
      <border diagonalUp="0" diagonalDown="0" outline="0">
        <left/>
        <right/>
        <top style="thin">
          <color theme="4"/>
        </top>
        <bottom/>
      </border>
    </dxf>
    <dxf>
      <alignment horizontal="center" vertical="top" textRotation="0" wrapText="0" indent="0" justifyLastLine="0" shrinkToFit="0" readingOrder="0"/>
      <border diagonalUp="0" diagonalDown="0" outline="0">
        <left/>
        <right style="thin">
          <color theme="4"/>
        </right>
        <top style="thin">
          <color theme="4"/>
        </top>
        <bottom/>
      </border>
    </dxf>
    <dxf>
      <alignment horizontal="left" vertical="top" textRotation="0" wrapText="0" indent="0" justifyLastLine="0" shrinkToFit="0" readingOrder="0"/>
      <border diagonalUp="0" diagonalDown="0" outline="0">
        <left/>
        <right/>
        <top style="thin">
          <color theme="4"/>
        </top>
        <bottom/>
      </border>
    </dxf>
    <dxf>
      <alignment horizontal="center" vertical="top" textRotation="0" wrapText="0" indent="0" justifyLastLine="0" shrinkToFit="0" readingOrder="0"/>
      <border diagonalUp="0" diagonalDown="0" outline="0">
        <left/>
        <right style="thin">
          <color theme="4"/>
        </right>
        <top style="thin">
          <color theme="4"/>
        </top>
        <bottom/>
      </border>
    </dxf>
    <dxf>
      <alignment horizontal="center" vertical="top" textRotation="0" wrapText="0" indent="0" justifyLastLine="0" shrinkToFit="0" readingOrder="0"/>
      <border diagonalUp="0" diagonalDown="0" outline="0">
        <left/>
        <right/>
        <top style="thin">
          <color theme="4"/>
        </top>
        <bottom/>
      </border>
    </dxf>
    <dxf>
      <border outline="0">
        <top style="thin">
          <color theme="4"/>
        </top>
      </border>
    </dxf>
    <dxf>
      <font>
        <b/>
        <i val="0"/>
        <strike val="0"/>
        <condense val="0"/>
        <extend val="0"/>
        <outline val="0"/>
        <shadow val="0"/>
        <u val="none"/>
        <vertAlign val="baseline"/>
        <sz val="11"/>
        <color theme="0"/>
        <name val="Aptos Narrow"/>
        <family val="2"/>
        <charset val="177"/>
        <scheme val="minor"/>
      </font>
      <fill>
        <patternFill patternType="solid">
          <fgColor theme="4"/>
          <bgColor theme="4"/>
        </patternFill>
      </fill>
      <alignment horizontal="center" vertical="top"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bottom" textRotation="0" wrapText="1"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F036FB-9F01-4E8F-8C0F-9BE97084DCAC}" name="טבלה2" displayName="טבלה2" ref="A1:H61" totalsRowShown="0" headerRowDxfId="33" dataDxfId="32">
  <autoFilter ref="A1:H61" xr:uid="{43E4E9EF-D87F-4D9B-B072-4BBC2C9A0EC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A2:H61">
    <sortCondition ref="A4:A61"/>
  </sortState>
  <tableColumns count="8">
    <tableColumn id="1" xr3:uid="{E7A6604E-1FDD-40D6-A7F5-21E601262D73}" name="p" dataDxfId="31"/>
    <tableColumn id="7" xr3:uid="{2C93CBC8-EC83-46DA-8F25-F613DC8F9C18}" name="post1" dataDxfId="30"/>
    <tableColumn id="8" xr3:uid="{04F1FDD0-3E4C-459E-91AB-90AFC442FE5E}" name="post2" dataDxfId="29"/>
    <tableColumn id="2" xr3:uid="{70AB1E3D-2721-49AA-A3CF-22868F803B8F}" name="O" dataDxfId="28"/>
    <tableColumn id="3" xr3:uid="{2E9519B1-AD42-4BA7-85E6-39E9C3E8D2A5}" name="C" dataDxfId="27"/>
    <tableColumn id="4" xr3:uid="{EE53F0BF-3676-4B73-B5A6-898C82D898CF}" name="E" dataDxfId="26"/>
    <tableColumn id="5" xr3:uid="{BD44ECF7-E7B5-471A-B709-10CED21E5C5F}" name="A" dataDxfId="25"/>
    <tableColumn id="6" xr3:uid="{E36231C2-5994-4868-9782-0352C5A39770}" name="N"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C13B916-BB04-4913-B825-99A5551B40FB}" name="טבלה3" displayName="טבלה3" ref="A1:I181" totalsRowShown="0" headerRowDxfId="23" tableBorderDxfId="22">
  <autoFilter ref="A1:I181" xr:uid="{4C13B916-BB04-4913-B825-99A5551B40FB}"/>
  <sortState xmlns:xlrd2="http://schemas.microsoft.com/office/spreadsheetml/2017/richdata2" ref="A2:I181">
    <sortCondition ref="A1:A181"/>
  </sortState>
  <tableColumns count="9">
    <tableColumn id="1" xr3:uid="{9E928026-AC28-4920-8FF9-ACCD2460E232}" name="p" dataDxfId="21" totalsRowDxfId="20"/>
    <tableColumn id="8" xr3:uid="{811954E5-7293-46B1-A97C-89910D4B3794}" name="post1" dataDxfId="19" totalsRowDxfId="18"/>
    <tableColumn id="7" xr3:uid="{FBEBE921-7737-43BF-9218-1CF8B119C84B}" name="post2" dataDxfId="17" totalsRowDxfId="16"/>
    <tableColumn id="2" xr3:uid="{9566FC01-2F89-4C5C-AF2C-9C669C110655}" name="score" dataDxfId="15" totalsRowDxfId="14" dataCellStyle="Comma"/>
    <tableColumn id="3" xr3:uid="{D138EDAD-7DF6-473A-A0DD-64B119FAC27D}" name="true rating" dataDxfId="13" totalsRowDxfId="12"/>
    <tableColumn id="4" xr3:uid="{A2A74339-1E20-46CC-A273-8AB18800105D}" name="psych rating" dataDxfId="11" totalsRowDxfId="10"/>
    <tableColumn id="5" xr3:uid="{6772A63C-D99F-4960-847C-6CD501083D77}" name="reason" dataDxfId="9" totalsRowDxfId="8"/>
    <tableColumn id="6" xr3:uid="{237DAF55-D9D6-44F1-86E7-E4985533B229}" name="code" dataDxfId="7" totalsRowDxfId="6"/>
    <tableColumn id="9" xr3:uid="{FFE4A6F6-EA25-44FA-A931-8652DEF46FF9}" name="keep_assessment" dataDxfId="5" totalsRowDxfId="4">
      <calculatedColumnFormula array="1">_xlfn.SWITCH(טבלה3[[#This Row],[psych rating]], "High", 1, "Low", 1, "")</calculatedColumnFormula>
    </tableColumn>
  </tableColumns>
  <tableStyleInfo name="TableStyleLight9"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8217A-BF15-4EFF-8BCD-2D8CDDA36414}">
  <sheetPr codeName="Worksheet______2"/>
  <dimension ref="A1:H61"/>
  <sheetViews>
    <sheetView topLeftCell="A21" zoomScaleNormal="100" workbookViewId="0">
      <selection activeCell="B35" sqref="B35"/>
    </sheetView>
  </sheetViews>
  <sheetFormatPr defaultRowHeight="13.5" customHeight="1" x14ac:dyDescent="0.3"/>
  <cols>
    <col min="1" max="1" width="4.9140625" customWidth="1"/>
    <col min="2" max="2" width="20.25" customWidth="1"/>
    <col min="3" max="3" width="22" customWidth="1"/>
  </cols>
  <sheetData>
    <row r="1" spans="1:8" ht="13.5" customHeight="1" x14ac:dyDescent="0.3">
      <c r="A1" s="3" t="s">
        <v>356</v>
      </c>
      <c r="B1" s="6" t="s">
        <v>357</v>
      </c>
      <c r="C1" s="6" t="s">
        <v>358</v>
      </c>
      <c r="D1" s="3" t="s">
        <v>359</v>
      </c>
      <c r="E1" s="3" t="s">
        <v>360</v>
      </c>
      <c r="F1" s="3" t="s">
        <v>361</v>
      </c>
      <c r="G1" s="3" t="s">
        <v>362</v>
      </c>
      <c r="H1" s="3" t="s">
        <v>363</v>
      </c>
    </row>
    <row r="2" spans="1:8" ht="13.5" customHeight="1" x14ac:dyDescent="0.3">
      <c r="A2" s="3">
        <v>1</v>
      </c>
      <c r="B2" t="s">
        <v>384</v>
      </c>
      <c r="C2" s="2" t="s">
        <v>385</v>
      </c>
      <c r="D2" s="3" t="s">
        <v>1</v>
      </c>
      <c r="E2" s="3" t="s">
        <v>0</v>
      </c>
      <c r="F2" s="3" t="s">
        <v>5</v>
      </c>
      <c r="G2" s="3" t="s">
        <v>0</v>
      </c>
      <c r="H2" s="3" t="s">
        <v>0</v>
      </c>
    </row>
    <row r="3" spans="1:8" ht="13.5" customHeight="1" x14ac:dyDescent="0.3">
      <c r="A3" s="3">
        <v>2</v>
      </c>
      <c r="B3" t="s">
        <v>402</v>
      </c>
      <c r="C3" s="2" t="s">
        <v>403</v>
      </c>
      <c r="D3" s="3" t="s">
        <v>0</v>
      </c>
      <c r="E3" s="3" t="s">
        <v>5</v>
      </c>
      <c r="F3" s="3" t="s">
        <v>0</v>
      </c>
      <c r="G3" s="3" t="s">
        <v>0</v>
      </c>
      <c r="H3" s="3" t="s">
        <v>0</v>
      </c>
    </row>
    <row r="4" spans="1:8" ht="13.5" customHeight="1" x14ac:dyDescent="0.3">
      <c r="A4" s="3">
        <v>3</v>
      </c>
      <c r="B4" t="s">
        <v>408</v>
      </c>
      <c r="C4" s="2" t="s">
        <v>409</v>
      </c>
      <c r="D4" s="3" t="s">
        <v>1</v>
      </c>
      <c r="E4" s="3" t="s">
        <v>1</v>
      </c>
      <c r="F4" s="3" t="s">
        <v>5</v>
      </c>
      <c r="G4" s="3" t="s">
        <v>1</v>
      </c>
      <c r="H4" s="3" t="s">
        <v>0</v>
      </c>
    </row>
    <row r="5" spans="1:8" ht="13.5" customHeight="1" x14ac:dyDescent="0.3">
      <c r="A5" s="3">
        <v>4</v>
      </c>
      <c r="B5" t="s">
        <v>378</v>
      </c>
      <c r="C5" s="2" t="s">
        <v>379</v>
      </c>
      <c r="D5" s="3" t="s">
        <v>1</v>
      </c>
      <c r="E5" s="3" t="s">
        <v>5</v>
      </c>
      <c r="F5" s="3" t="s">
        <v>1</v>
      </c>
      <c r="G5" s="3" t="s">
        <v>5</v>
      </c>
      <c r="H5" s="3" t="s">
        <v>0</v>
      </c>
    </row>
    <row r="6" spans="1:8" ht="13.5" customHeight="1" x14ac:dyDescent="0.3">
      <c r="A6" s="3">
        <v>5</v>
      </c>
      <c r="B6" t="s">
        <v>380</v>
      </c>
      <c r="C6" s="2" t="s">
        <v>381</v>
      </c>
      <c r="D6" s="3" t="s">
        <v>0</v>
      </c>
      <c r="E6" s="3" t="s">
        <v>5</v>
      </c>
      <c r="F6" s="3" t="s">
        <v>1</v>
      </c>
      <c r="G6" s="3" t="s">
        <v>1</v>
      </c>
      <c r="H6" s="3" t="s">
        <v>0</v>
      </c>
    </row>
    <row r="7" spans="1:8" ht="13.5" customHeight="1" x14ac:dyDescent="0.3">
      <c r="A7" s="3">
        <v>6</v>
      </c>
      <c r="B7" t="s">
        <v>394</v>
      </c>
      <c r="C7" s="2" t="s">
        <v>395</v>
      </c>
      <c r="D7" s="3" t="s">
        <v>1</v>
      </c>
      <c r="E7" s="3" t="s">
        <v>5</v>
      </c>
      <c r="F7" s="3" t="s">
        <v>5</v>
      </c>
      <c r="G7" s="3" t="s">
        <v>5</v>
      </c>
      <c r="H7" s="3" t="s">
        <v>5</v>
      </c>
    </row>
    <row r="8" spans="1:8" ht="13.5" customHeight="1" x14ac:dyDescent="0.3">
      <c r="A8" s="3">
        <v>7</v>
      </c>
      <c r="B8" t="s">
        <v>368</v>
      </c>
      <c r="C8" s="2" t="s">
        <v>369</v>
      </c>
      <c r="D8" s="3" t="s">
        <v>5</v>
      </c>
      <c r="E8" s="3" t="s">
        <v>1</v>
      </c>
      <c r="F8" s="3" t="s">
        <v>1</v>
      </c>
      <c r="G8" s="3" t="s">
        <v>5</v>
      </c>
      <c r="H8" s="3" t="s">
        <v>1</v>
      </c>
    </row>
    <row r="9" spans="1:8" ht="13.5" customHeight="1" x14ac:dyDescent="0.3">
      <c r="A9" s="3">
        <v>8</v>
      </c>
      <c r="B9" t="s">
        <v>372</v>
      </c>
      <c r="C9" s="2" t="s">
        <v>373</v>
      </c>
      <c r="D9" s="3" t="s">
        <v>5</v>
      </c>
      <c r="E9" s="3" t="s">
        <v>5</v>
      </c>
      <c r="F9" s="3" t="s">
        <v>5</v>
      </c>
      <c r="G9" s="3" t="s">
        <v>1</v>
      </c>
      <c r="H9" s="3" t="s">
        <v>0</v>
      </c>
    </row>
    <row r="10" spans="1:8" ht="13.5" customHeight="1" x14ac:dyDescent="0.3">
      <c r="A10" s="3">
        <v>9</v>
      </c>
      <c r="B10" t="s">
        <v>410</v>
      </c>
      <c r="C10" s="2" t="s">
        <v>411</v>
      </c>
      <c r="D10" s="3" t="s">
        <v>0</v>
      </c>
      <c r="E10" s="3" t="s">
        <v>0</v>
      </c>
      <c r="F10" s="3" t="s">
        <v>0</v>
      </c>
      <c r="G10" s="3" t="s">
        <v>1</v>
      </c>
      <c r="H10" s="3" t="s">
        <v>5</v>
      </c>
    </row>
    <row r="11" spans="1:8" ht="13.5" customHeight="1" x14ac:dyDescent="0.3">
      <c r="A11" s="3">
        <v>10</v>
      </c>
      <c r="B11" t="s">
        <v>392</v>
      </c>
      <c r="C11" s="2" t="s">
        <v>393</v>
      </c>
      <c r="D11" s="3" t="s">
        <v>0</v>
      </c>
      <c r="E11" s="3" t="s">
        <v>1</v>
      </c>
      <c r="F11" s="3" t="s">
        <v>0</v>
      </c>
      <c r="G11" s="3" t="s">
        <v>1</v>
      </c>
      <c r="H11" s="3" t="s">
        <v>1</v>
      </c>
    </row>
    <row r="12" spans="1:8" ht="13.5" customHeight="1" x14ac:dyDescent="0.3">
      <c r="A12" s="3">
        <v>11</v>
      </c>
      <c r="B12" t="s">
        <v>366</v>
      </c>
      <c r="C12" s="2" t="s">
        <v>367</v>
      </c>
      <c r="D12" s="3" t="s">
        <v>0</v>
      </c>
      <c r="E12" s="3" t="s">
        <v>1</v>
      </c>
      <c r="F12" s="3" t="s">
        <v>0</v>
      </c>
      <c r="G12" s="3" t="s">
        <v>1</v>
      </c>
      <c r="H12" s="3" t="s">
        <v>5</v>
      </c>
    </row>
    <row r="13" spans="1:8" ht="13.5" customHeight="1" x14ac:dyDescent="0.3">
      <c r="A13" s="3">
        <v>12</v>
      </c>
      <c r="B13" t="s">
        <v>382</v>
      </c>
      <c r="C13" s="2" t="s">
        <v>383</v>
      </c>
      <c r="D13" s="3" t="s">
        <v>1</v>
      </c>
      <c r="E13" s="3" t="s">
        <v>1</v>
      </c>
      <c r="F13" s="3" t="s">
        <v>0</v>
      </c>
      <c r="G13" s="3" t="s">
        <v>1</v>
      </c>
      <c r="H13" s="3" t="s">
        <v>1</v>
      </c>
    </row>
    <row r="14" spans="1:8" ht="13.5" customHeight="1" x14ac:dyDescent="0.3">
      <c r="A14" s="3">
        <v>13</v>
      </c>
      <c r="B14" t="s">
        <v>374</v>
      </c>
      <c r="C14" s="2" t="s">
        <v>375</v>
      </c>
      <c r="D14" s="3" t="s">
        <v>1</v>
      </c>
      <c r="E14" s="3" t="s">
        <v>0</v>
      </c>
      <c r="F14" s="3" t="s">
        <v>0</v>
      </c>
      <c r="G14" s="3" t="s">
        <v>0</v>
      </c>
      <c r="H14" s="3" t="s">
        <v>5</v>
      </c>
    </row>
    <row r="15" spans="1:8" ht="13.5" customHeight="1" x14ac:dyDescent="0.3">
      <c r="A15" s="3">
        <v>14</v>
      </c>
      <c r="B15" t="s">
        <v>376</v>
      </c>
      <c r="C15" s="2" t="s">
        <v>377</v>
      </c>
      <c r="D15" s="3" t="s">
        <v>5</v>
      </c>
      <c r="E15" s="3" t="s">
        <v>0</v>
      </c>
      <c r="F15" s="3" t="s">
        <v>0</v>
      </c>
      <c r="G15" s="3" t="s">
        <v>1</v>
      </c>
      <c r="H15" s="3" t="s">
        <v>5</v>
      </c>
    </row>
    <row r="16" spans="1:8" ht="13.5" customHeight="1" x14ac:dyDescent="0.3">
      <c r="A16" s="3">
        <v>15</v>
      </c>
      <c r="B16" t="s">
        <v>388</v>
      </c>
      <c r="C16" s="2" t="s">
        <v>389</v>
      </c>
      <c r="D16" s="3" t="s">
        <v>1</v>
      </c>
      <c r="E16" s="3" t="s">
        <v>1</v>
      </c>
      <c r="F16" s="3" t="s">
        <v>1</v>
      </c>
      <c r="G16" s="3" t="s">
        <v>1</v>
      </c>
      <c r="H16" s="3" t="s">
        <v>1</v>
      </c>
    </row>
    <row r="17" spans="1:8" ht="13.5" customHeight="1" x14ac:dyDescent="0.3">
      <c r="A17" s="3">
        <v>16</v>
      </c>
      <c r="B17" t="s">
        <v>414</v>
      </c>
      <c r="C17" s="2" t="s">
        <v>415</v>
      </c>
      <c r="D17" s="3" t="s">
        <v>1</v>
      </c>
      <c r="E17" s="3" t="s">
        <v>0</v>
      </c>
      <c r="F17" s="3" t="s">
        <v>0</v>
      </c>
      <c r="G17" s="3" t="s">
        <v>5</v>
      </c>
      <c r="H17" s="3" t="s">
        <v>0</v>
      </c>
    </row>
    <row r="18" spans="1:8" ht="13.5" customHeight="1" x14ac:dyDescent="0.3">
      <c r="A18" s="3">
        <v>17</v>
      </c>
      <c r="B18" t="s">
        <v>386</v>
      </c>
      <c r="C18" s="2" t="s">
        <v>387</v>
      </c>
      <c r="D18" s="3" t="s">
        <v>5</v>
      </c>
      <c r="E18" s="3" t="s">
        <v>1</v>
      </c>
      <c r="F18" s="3" t="s">
        <v>1</v>
      </c>
      <c r="G18" s="3" t="s">
        <v>1</v>
      </c>
      <c r="H18" s="3" t="s">
        <v>5</v>
      </c>
    </row>
    <row r="19" spans="1:8" ht="13.5" customHeight="1" x14ac:dyDescent="0.3">
      <c r="A19" s="3">
        <v>18</v>
      </c>
      <c r="B19" t="s">
        <v>370</v>
      </c>
      <c r="C19" s="2" t="s">
        <v>371</v>
      </c>
      <c r="D19" s="3" t="s">
        <v>0</v>
      </c>
      <c r="E19" s="3" t="s">
        <v>0</v>
      </c>
      <c r="F19" s="3" t="s">
        <v>1</v>
      </c>
      <c r="G19" s="3" t="s">
        <v>1</v>
      </c>
      <c r="H19" s="3" t="s">
        <v>5</v>
      </c>
    </row>
    <row r="20" spans="1:8" ht="13.5" customHeight="1" x14ac:dyDescent="0.3">
      <c r="A20" s="3">
        <v>19</v>
      </c>
      <c r="B20" s="2" t="s">
        <v>426</v>
      </c>
      <c r="C20" s="2" t="s">
        <v>427</v>
      </c>
      <c r="D20" s="3" t="s">
        <v>0</v>
      </c>
      <c r="E20" s="3" t="s">
        <v>5</v>
      </c>
      <c r="F20" s="3" t="s">
        <v>1</v>
      </c>
      <c r="G20" s="3" t="s">
        <v>1</v>
      </c>
      <c r="H20" s="3" t="s">
        <v>0</v>
      </c>
    </row>
    <row r="21" spans="1:8" ht="13.5" customHeight="1" x14ac:dyDescent="0.3">
      <c r="A21" s="3">
        <v>20</v>
      </c>
      <c r="B21" t="s">
        <v>398</v>
      </c>
      <c r="C21" s="2" t="s">
        <v>399</v>
      </c>
      <c r="D21" s="3" t="s">
        <v>1</v>
      </c>
      <c r="E21" s="3" t="s">
        <v>1</v>
      </c>
      <c r="F21" s="3" t="s">
        <v>5</v>
      </c>
      <c r="G21" s="3" t="s">
        <v>0</v>
      </c>
      <c r="H21" s="3" t="s">
        <v>0</v>
      </c>
    </row>
    <row r="22" spans="1:8" ht="13.5" customHeight="1" x14ac:dyDescent="0.3">
      <c r="A22" s="3">
        <v>21</v>
      </c>
      <c r="B22" t="s">
        <v>416</v>
      </c>
      <c r="C22" s="2" t="s">
        <v>417</v>
      </c>
      <c r="D22" s="3" t="s">
        <v>1</v>
      </c>
      <c r="E22" s="3" t="s">
        <v>0</v>
      </c>
      <c r="F22" s="3" t="s">
        <v>5</v>
      </c>
      <c r="G22" s="3" t="s">
        <v>5</v>
      </c>
      <c r="H22" s="3" t="s">
        <v>1</v>
      </c>
    </row>
    <row r="23" spans="1:8" ht="13.5" customHeight="1" x14ac:dyDescent="0.3">
      <c r="A23" s="3">
        <v>22</v>
      </c>
      <c r="B23" t="s">
        <v>424</v>
      </c>
      <c r="C23" s="2" t="s">
        <v>425</v>
      </c>
      <c r="D23" s="3" t="s">
        <v>5</v>
      </c>
      <c r="E23" s="3" t="s">
        <v>0</v>
      </c>
      <c r="F23" s="3" t="s">
        <v>0</v>
      </c>
      <c r="G23" s="3" t="s">
        <v>0</v>
      </c>
      <c r="H23" s="3" t="s">
        <v>5</v>
      </c>
    </row>
    <row r="24" spans="1:8" ht="13.5" customHeight="1" x14ac:dyDescent="0.3">
      <c r="A24" s="3">
        <v>23</v>
      </c>
      <c r="B24" t="s">
        <v>412</v>
      </c>
      <c r="C24" s="2" t="s">
        <v>413</v>
      </c>
      <c r="D24" s="3" t="s">
        <v>1</v>
      </c>
      <c r="E24" s="3" t="s">
        <v>5</v>
      </c>
      <c r="F24" s="3" t="s">
        <v>1</v>
      </c>
      <c r="G24" s="3" t="s">
        <v>0</v>
      </c>
      <c r="H24" s="3" t="s">
        <v>1</v>
      </c>
    </row>
    <row r="25" spans="1:8" ht="13.5" customHeight="1" x14ac:dyDescent="0.3">
      <c r="A25" s="3">
        <v>24</v>
      </c>
      <c r="B25" t="s">
        <v>404</v>
      </c>
      <c r="C25" s="2" t="s">
        <v>405</v>
      </c>
      <c r="D25" s="3" t="s">
        <v>5</v>
      </c>
      <c r="E25" s="3" t="s">
        <v>5</v>
      </c>
      <c r="F25" s="3" t="s">
        <v>5</v>
      </c>
      <c r="G25" s="3" t="s">
        <v>1</v>
      </c>
      <c r="H25" s="3" t="s">
        <v>0</v>
      </c>
    </row>
    <row r="26" spans="1:8" ht="13.5" customHeight="1" x14ac:dyDescent="0.3">
      <c r="A26" s="3">
        <v>25</v>
      </c>
      <c r="B26" t="s">
        <v>390</v>
      </c>
      <c r="C26" s="2" t="s">
        <v>391</v>
      </c>
      <c r="D26" s="3" t="s">
        <v>0</v>
      </c>
      <c r="E26" s="3" t="s">
        <v>5</v>
      </c>
      <c r="F26" s="3" t="s">
        <v>0</v>
      </c>
      <c r="G26" s="3" t="s">
        <v>0</v>
      </c>
      <c r="H26" s="3" t="s">
        <v>1</v>
      </c>
    </row>
    <row r="27" spans="1:8" ht="13.5" customHeight="1" x14ac:dyDescent="0.3">
      <c r="A27" s="3">
        <v>26</v>
      </c>
      <c r="B27" t="s">
        <v>418</v>
      </c>
      <c r="C27" s="2" t="s">
        <v>419</v>
      </c>
      <c r="D27" s="3" t="s">
        <v>5</v>
      </c>
      <c r="E27" s="3" t="s">
        <v>1</v>
      </c>
      <c r="F27" s="3" t="s">
        <v>5</v>
      </c>
      <c r="G27" s="3" t="s">
        <v>5</v>
      </c>
      <c r="H27" s="3" t="s">
        <v>1</v>
      </c>
    </row>
    <row r="28" spans="1:8" ht="13.5" customHeight="1" x14ac:dyDescent="0.3">
      <c r="A28" s="3">
        <v>27</v>
      </c>
      <c r="B28" t="s">
        <v>364</v>
      </c>
      <c r="C28" s="2" t="s">
        <v>365</v>
      </c>
      <c r="D28" s="3" t="s">
        <v>0</v>
      </c>
      <c r="E28" s="3" t="s">
        <v>1</v>
      </c>
      <c r="F28" s="3" t="s">
        <v>0</v>
      </c>
      <c r="G28" s="3" t="s">
        <v>0</v>
      </c>
      <c r="H28" s="3" t="s">
        <v>1</v>
      </c>
    </row>
    <row r="29" spans="1:8" ht="13.5" customHeight="1" x14ac:dyDescent="0.3">
      <c r="A29" s="3">
        <v>28</v>
      </c>
      <c r="B29" t="s">
        <v>396</v>
      </c>
      <c r="C29" s="2" t="s">
        <v>397</v>
      </c>
      <c r="D29" s="3" t="s">
        <v>0</v>
      </c>
      <c r="E29" s="3" t="s">
        <v>0</v>
      </c>
      <c r="F29" s="3" t="s">
        <v>0</v>
      </c>
      <c r="G29" s="3" t="s">
        <v>0</v>
      </c>
      <c r="H29" s="3" t="s">
        <v>5</v>
      </c>
    </row>
    <row r="30" spans="1:8" ht="13.5" customHeight="1" x14ac:dyDescent="0.3">
      <c r="A30" s="3">
        <v>29</v>
      </c>
      <c r="B30" t="s">
        <v>406</v>
      </c>
      <c r="C30" s="2" t="s">
        <v>407</v>
      </c>
      <c r="D30" s="3" t="s">
        <v>1</v>
      </c>
      <c r="E30" s="3" t="s">
        <v>1</v>
      </c>
      <c r="F30" s="3" t="s">
        <v>5</v>
      </c>
      <c r="G30" s="3" t="s">
        <v>1</v>
      </c>
      <c r="H30" s="3" t="s">
        <v>5</v>
      </c>
    </row>
    <row r="31" spans="1:8" ht="13.5" customHeight="1" x14ac:dyDescent="0.3">
      <c r="A31" s="3">
        <v>30</v>
      </c>
      <c r="B31" t="s">
        <v>400</v>
      </c>
      <c r="C31" s="2" t="s">
        <v>401</v>
      </c>
      <c r="D31" s="3" t="s">
        <v>0</v>
      </c>
      <c r="E31" s="3" t="s">
        <v>5</v>
      </c>
      <c r="F31" s="3" t="s">
        <v>1</v>
      </c>
      <c r="G31" s="3" t="s">
        <v>1</v>
      </c>
      <c r="H31" s="3" t="s">
        <v>0</v>
      </c>
    </row>
    <row r="32" spans="1:8" ht="13.5" customHeight="1" x14ac:dyDescent="0.3">
      <c r="A32" s="3">
        <v>31</v>
      </c>
      <c r="B32" t="s">
        <v>420</v>
      </c>
      <c r="C32" s="2" t="s">
        <v>421</v>
      </c>
      <c r="D32" s="3" t="s">
        <v>1</v>
      </c>
      <c r="E32" s="3" t="s">
        <v>1</v>
      </c>
      <c r="F32" s="3" t="s">
        <v>1</v>
      </c>
      <c r="G32" s="3" t="s">
        <v>1</v>
      </c>
      <c r="H32" s="3" t="s">
        <v>5</v>
      </c>
    </row>
    <row r="33" spans="1:8" ht="13.5" customHeight="1" x14ac:dyDescent="0.3">
      <c r="A33" s="3">
        <v>32</v>
      </c>
      <c r="B33" t="s">
        <v>428</v>
      </c>
      <c r="C33" s="2" t="s">
        <v>429</v>
      </c>
      <c r="D33" s="3" t="s">
        <v>1</v>
      </c>
      <c r="E33" s="3" t="s">
        <v>0</v>
      </c>
      <c r="F33" s="3" t="s">
        <v>5</v>
      </c>
      <c r="G33" s="3" t="s">
        <v>0</v>
      </c>
      <c r="H33" s="3" t="s">
        <v>1</v>
      </c>
    </row>
    <row r="34" spans="1:8" ht="13.5" customHeight="1" x14ac:dyDescent="0.3">
      <c r="A34" s="3">
        <v>33</v>
      </c>
      <c r="B34" t="s">
        <v>422</v>
      </c>
      <c r="C34" s="2" t="s">
        <v>423</v>
      </c>
      <c r="D34" s="3" t="s">
        <v>5</v>
      </c>
      <c r="E34" s="3" t="s">
        <v>1</v>
      </c>
      <c r="F34" s="3" t="s">
        <v>5</v>
      </c>
      <c r="G34" s="3" t="s">
        <v>5</v>
      </c>
      <c r="H34" s="3" t="s">
        <v>1</v>
      </c>
    </row>
    <row r="35" spans="1:8" ht="13.5" customHeight="1" x14ac:dyDescent="0.3">
      <c r="A35" s="3">
        <v>34</v>
      </c>
      <c r="B35" t="s">
        <v>430</v>
      </c>
      <c r="C35" s="2" t="s">
        <v>431</v>
      </c>
      <c r="D35" s="3" t="s">
        <v>5</v>
      </c>
      <c r="E35" s="3" t="s">
        <v>1</v>
      </c>
      <c r="F35" s="3" t="s">
        <v>1</v>
      </c>
      <c r="G35" s="3" t="s">
        <v>1</v>
      </c>
      <c r="H35" s="3" t="s">
        <v>1</v>
      </c>
    </row>
    <row r="36" spans="1:8" ht="13.5" customHeight="1" x14ac:dyDescent="0.3">
      <c r="A36" s="3">
        <v>35</v>
      </c>
      <c r="B36" t="s">
        <v>432</v>
      </c>
      <c r="C36" s="2" t="s">
        <v>433</v>
      </c>
      <c r="D36" s="3" t="s">
        <v>0</v>
      </c>
      <c r="E36" s="3" t="s">
        <v>5</v>
      </c>
      <c r="F36" s="3" t="s">
        <v>0</v>
      </c>
      <c r="G36" s="3" t="s">
        <v>1</v>
      </c>
      <c r="H36" s="3" t="s">
        <v>5</v>
      </c>
    </row>
    <row r="37" spans="1:8" ht="13.5" customHeight="1" x14ac:dyDescent="0.3">
      <c r="A37" s="3">
        <v>36</v>
      </c>
      <c r="B37" t="s">
        <v>434</v>
      </c>
      <c r="C37" s="2" t="s">
        <v>435</v>
      </c>
      <c r="D37" s="3" t="s">
        <v>1</v>
      </c>
      <c r="E37" s="3" t="s">
        <v>1</v>
      </c>
      <c r="F37" s="3" t="s">
        <v>0</v>
      </c>
      <c r="G37" s="3" t="s">
        <v>0</v>
      </c>
      <c r="H37" s="3" t="s">
        <v>1</v>
      </c>
    </row>
    <row r="38" spans="1:8" ht="13.5" customHeight="1" x14ac:dyDescent="0.3">
      <c r="A38" s="3">
        <v>37</v>
      </c>
      <c r="B38" t="s">
        <v>436</v>
      </c>
      <c r="C38" s="2" t="s">
        <v>437</v>
      </c>
      <c r="D38" s="3" t="s">
        <v>0</v>
      </c>
      <c r="E38" s="3" t="s">
        <v>5</v>
      </c>
      <c r="F38" s="3" t="s">
        <v>1</v>
      </c>
      <c r="G38" s="3" t="s">
        <v>1</v>
      </c>
      <c r="H38" s="3" t="s">
        <v>1</v>
      </c>
    </row>
    <row r="39" spans="1:8" ht="13.5" customHeight="1" x14ac:dyDescent="0.3">
      <c r="A39" s="3">
        <v>38</v>
      </c>
      <c r="B39" t="s">
        <v>438</v>
      </c>
      <c r="C39" s="2" t="s">
        <v>439</v>
      </c>
      <c r="D39" s="3" t="s">
        <v>0</v>
      </c>
      <c r="E39" s="3" t="s">
        <v>5</v>
      </c>
      <c r="F39" s="3" t="s">
        <v>5</v>
      </c>
      <c r="G39" s="3" t="s">
        <v>0</v>
      </c>
      <c r="H39" s="3" t="s">
        <v>0</v>
      </c>
    </row>
    <row r="40" spans="1:8" ht="13.5" customHeight="1" x14ac:dyDescent="0.3">
      <c r="A40" s="3">
        <v>39</v>
      </c>
      <c r="B40" t="s">
        <v>440</v>
      </c>
      <c r="C40" s="2" t="s">
        <v>441</v>
      </c>
      <c r="D40" s="3" t="s">
        <v>1</v>
      </c>
      <c r="E40" s="3" t="s">
        <v>1</v>
      </c>
      <c r="F40" s="3" t="s">
        <v>1</v>
      </c>
      <c r="G40" s="3" t="s">
        <v>1</v>
      </c>
      <c r="H40" s="3" t="s">
        <v>1</v>
      </c>
    </row>
    <row r="41" spans="1:8" ht="13.5" customHeight="1" x14ac:dyDescent="0.3">
      <c r="A41" s="3">
        <v>40</v>
      </c>
      <c r="B41" t="s">
        <v>452</v>
      </c>
      <c r="C41" s="2" t="s">
        <v>453</v>
      </c>
      <c r="D41" s="3" t="s">
        <v>5</v>
      </c>
      <c r="E41" s="3" t="s">
        <v>0</v>
      </c>
      <c r="F41" s="3" t="s">
        <v>1</v>
      </c>
      <c r="G41" s="3" t="s">
        <v>1</v>
      </c>
      <c r="H41" s="3" t="s">
        <v>5</v>
      </c>
    </row>
    <row r="42" spans="1:8" ht="13.5" customHeight="1" x14ac:dyDescent="0.3">
      <c r="A42" s="3">
        <v>41</v>
      </c>
      <c r="B42" t="s">
        <v>442</v>
      </c>
      <c r="C42" s="2" t="s">
        <v>443</v>
      </c>
      <c r="D42" s="3" t="s">
        <v>5</v>
      </c>
      <c r="E42" s="3" t="s">
        <v>1</v>
      </c>
      <c r="F42" s="3" t="s">
        <v>1</v>
      </c>
      <c r="G42" s="3" t="s">
        <v>0</v>
      </c>
      <c r="H42" s="3" t="s">
        <v>1</v>
      </c>
    </row>
    <row r="43" spans="1:8" ht="13.5" customHeight="1" x14ac:dyDescent="0.3">
      <c r="A43" s="3">
        <v>42</v>
      </c>
      <c r="B43" t="s">
        <v>446</v>
      </c>
      <c r="C43" s="2" t="s">
        <v>447</v>
      </c>
      <c r="D43" s="3" t="s">
        <v>5</v>
      </c>
      <c r="E43" s="3" t="s">
        <v>0</v>
      </c>
      <c r="F43" s="3" t="s">
        <v>0</v>
      </c>
      <c r="G43" s="3" t="s">
        <v>5</v>
      </c>
      <c r="H43" s="3" t="s">
        <v>5</v>
      </c>
    </row>
    <row r="44" spans="1:8" ht="13.5" customHeight="1" x14ac:dyDescent="0.3">
      <c r="A44" s="3">
        <v>43</v>
      </c>
      <c r="B44" t="s">
        <v>448</v>
      </c>
      <c r="C44" s="2" t="s">
        <v>449</v>
      </c>
      <c r="D44" s="3" t="s">
        <v>5</v>
      </c>
      <c r="E44" s="3" t="s">
        <v>5</v>
      </c>
      <c r="F44" s="3" t="s">
        <v>5</v>
      </c>
      <c r="G44" s="3" t="s">
        <v>1</v>
      </c>
      <c r="H44" s="3" t="s">
        <v>0</v>
      </c>
    </row>
    <row r="45" spans="1:8" ht="13.5" customHeight="1" x14ac:dyDescent="0.3">
      <c r="A45" s="3">
        <v>44</v>
      </c>
      <c r="B45" t="s">
        <v>444</v>
      </c>
      <c r="C45" s="2" t="s">
        <v>445</v>
      </c>
      <c r="D45" s="3" t="s">
        <v>1</v>
      </c>
      <c r="E45" s="3" t="s">
        <v>5</v>
      </c>
      <c r="F45" s="3" t="s">
        <v>0</v>
      </c>
      <c r="G45" s="3" t="s">
        <v>1</v>
      </c>
      <c r="H45" s="3" t="s">
        <v>1</v>
      </c>
    </row>
    <row r="46" spans="1:8" ht="13.5" customHeight="1" x14ac:dyDescent="0.3">
      <c r="A46" s="3">
        <v>45</v>
      </c>
      <c r="B46" t="s">
        <v>456</v>
      </c>
      <c r="C46" s="2" t="s">
        <v>457</v>
      </c>
      <c r="D46" s="3" t="s">
        <v>0</v>
      </c>
      <c r="E46" s="3" t="s">
        <v>0</v>
      </c>
      <c r="F46" s="3" t="s">
        <v>0</v>
      </c>
      <c r="G46" s="3" t="s">
        <v>1</v>
      </c>
      <c r="H46" s="3" t="s">
        <v>5</v>
      </c>
    </row>
    <row r="47" spans="1:8" ht="13.5" customHeight="1" x14ac:dyDescent="0.3">
      <c r="A47" s="3">
        <v>46</v>
      </c>
      <c r="B47" t="s">
        <v>450</v>
      </c>
      <c r="C47" s="2" t="s">
        <v>451</v>
      </c>
      <c r="D47" s="3" t="s">
        <v>0</v>
      </c>
      <c r="E47" s="3" t="s">
        <v>0</v>
      </c>
      <c r="F47" s="3" t="s">
        <v>5</v>
      </c>
      <c r="G47" s="3" t="s">
        <v>0</v>
      </c>
      <c r="H47" s="3" t="s">
        <v>1</v>
      </c>
    </row>
    <row r="48" spans="1:8" ht="13.5" customHeight="1" x14ac:dyDescent="0.3">
      <c r="A48" s="3">
        <v>47</v>
      </c>
      <c r="B48" t="s">
        <v>454</v>
      </c>
      <c r="C48" s="2" t="s">
        <v>455</v>
      </c>
      <c r="D48" s="3" t="s">
        <v>0</v>
      </c>
      <c r="E48" s="3" t="s">
        <v>5</v>
      </c>
      <c r="F48" s="3" t="s">
        <v>1</v>
      </c>
      <c r="G48" s="3" t="s">
        <v>5</v>
      </c>
      <c r="H48" s="3" t="s">
        <v>5</v>
      </c>
    </row>
    <row r="49" spans="1:8" ht="13.5" customHeight="1" x14ac:dyDescent="0.3">
      <c r="A49" s="3">
        <v>48</v>
      </c>
      <c r="B49" t="s">
        <v>458</v>
      </c>
      <c r="C49" s="2" t="s">
        <v>459</v>
      </c>
      <c r="D49" s="3" t="s">
        <v>1</v>
      </c>
      <c r="E49" s="3" t="s">
        <v>5</v>
      </c>
      <c r="F49" s="3" t="s">
        <v>5</v>
      </c>
      <c r="G49" s="3" t="s">
        <v>0</v>
      </c>
      <c r="H49" s="3" t="s">
        <v>0</v>
      </c>
    </row>
    <row r="50" spans="1:8" ht="13.5" customHeight="1" x14ac:dyDescent="0.3">
      <c r="A50" s="3">
        <v>49</v>
      </c>
      <c r="B50" t="s">
        <v>460</v>
      </c>
      <c r="C50" s="2" t="s">
        <v>461</v>
      </c>
      <c r="D50" s="3" t="s">
        <v>5</v>
      </c>
      <c r="E50" s="3" t="s">
        <v>1</v>
      </c>
      <c r="F50" s="3" t="s">
        <v>1</v>
      </c>
      <c r="G50" s="3" t="s">
        <v>1</v>
      </c>
      <c r="H50" s="3" t="s">
        <v>5</v>
      </c>
    </row>
    <row r="51" spans="1:8" ht="13.5" customHeight="1" x14ac:dyDescent="0.3">
      <c r="A51" s="3">
        <v>50</v>
      </c>
      <c r="B51" t="s">
        <v>462</v>
      </c>
      <c r="C51" s="2" t="s">
        <v>463</v>
      </c>
      <c r="D51" s="3" t="s">
        <v>5</v>
      </c>
      <c r="E51" s="3" t="s">
        <v>5</v>
      </c>
      <c r="F51" s="3" t="s">
        <v>5</v>
      </c>
      <c r="G51" s="3" t="s">
        <v>5</v>
      </c>
      <c r="H51" s="3" t="s">
        <v>0</v>
      </c>
    </row>
    <row r="52" spans="1:8" ht="13.5" customHeight="1" x14ac:dyDescent="0.3">
      <c r="A52" s="3">
        <v>51</v>
      </c>
      <c r="B52" t="s">
        <v>464</v>
      </c>
      <c r="C52" s="2" t="s">
        <v>465</v>
      </c>
      <c r="D52" s="3" t="s">
        <v>1</v>
      </c>
      <c r="E52" s="3" t="s">
        <v>0</v>
      </c>
      <c r="F52" s="3" t="s">
        <v>0</v>
      </c>
      <c r="G52" s="3" t="s">
        <v>1</v>
      </c>
      <c r="H52" s="3" t="s">
        <v>5</v>
      </c>
    </row>
    <row r="53" spans="1:8" ht="13.5" customHeight="1" x14ac:dyDescent="0.3">
      <c r="A53" s="3">
        <v>52</v>
      </c>
      <c r="B53" t="s">
        <v>466</v>
      </c>
      <c r="C53" s="2" t="s">
        <v>467</v>
      </c>
      <c r="D53" s="3" t="s">
        <v>0</v>
      </c>
      <c r="E53" s="3" t="s">
        <v>0</v>
      </c>
      <c r="F53" s="3" t="s">
        <v>5</v>
      </c>
      <c r="G53" s="3" t="s">
        <v>0</v>
      </c>
      <c r="H53" s="3" t="s">
        <v>5</v>
      </c>
    </row>
    <row r="54" spans="1:8" ht="13.5" customHeight="1" x14ac:dyDescent="0.3">
      <c r="A54" s="3">
        <v>53</v>
      </c>
      <c r="B54" t="s">
        <v>472</v>
      </c>
      <c r="C54" s="2" t="s">
        <v>473</v>
      </c>
      <c r="D54" s="3" t="s">
        <v>5</v>
      </c>
      <c r="E54" s="3" t="s">
        <v>1</v>
      </c>
      <c r="F54" s="3" t="s">
        <v>1</v>
      </c>
      <c r="G54" s="3" t="s">
        <v>5</v>
      </c>
      <c r="H54" s="3" t="s">
        <v>0</v>
      </c>
    </row>
    <row r="55" spans="1:8" ht="13.5" customHeight="1" x14ac:dyDescent="0.3">
      <c r="A55" s="3">
        <v>54</v>
      </c>
      <c r="B55" t="s">
        <v>470</v>
      </c>
      <c r="C55" s="2" t="s">
        <v>471</v>
      </c>
      <c r="D55" s="3" t="s">
        <v>5</v>
      </c>
      <c r="E55" s="3" t="s">
        <v>1</v>
      </c>
      <c r="F55" s="3" t="s">
        <v>0</v>
      </c>
      <c r="G55" s="3" t="s">
        <v>1</v>
      </c>
      <c r="H55" s="3" t="s">
        <v>0</v>
      </c>
    </row>
    <row r="56" spans="1:8" ht="13.5" customHeight="1" x14ac:dyDescent="0.3">
      <c r="A56" s="3">
        <v>55</v>
      </c>
      <c r="B56" t="s">
        <v>476</v>
      </c>
      <c r="C56" s="2" t="s">
        <v>477</v>
      </c>
      <c r="D56" s="3" t="s">
        <v>5</v>
      </c>
      <c r="E56" s="3" t="s">
        <v>1</v>
      </c>
      <c r="F56" s="3" t="s">
        <v>5</v>
      </c>
      <c r="G56" s="3" t="s">
        <v>5</v>
      </c>
      <c r="H56" s="3" t="s">
        <v>1</v>
      </c>
    </row>
    <row r="57" spans="1:8" ht="13.5" customHeight="1" x14ac:dyDescent="0.3">
      <c r="A57" s="3">
        <v>56</v>
      </c>
      <c r="B57" t="s">
        <v>474</v>
      </c>
      <c r="C57" s="2" t="s">
        <v>475</v>
      </c>
      <c r="D57" s="3" t="s">
        <v>0</v>
      </c>
      <c r="E57" s="3" t="s">
        <v>0</v>
      </c>
      <c r="F57" s="3" t="s">
        <v>1</v>
      </c>
      <c r="G57" s="3" t="s">
        <v>0</v>
      </c>
      <c r="H57" s="3" t="s">
        <v>1</v>
      </c>
    </row>
    <row r="58" spans="1:8" ht="13.5" customHeight="1" x14ac:dyDescent="0.3">
      <c r="A58" s="3">
        <v>57</v>
      </c>
      <c r="B58" t="s">
        <v>468</v>
      </c>
      <c r="C58" s="2" t="s">
        <v>469</v>
      </c>
      <c r="D58" s="3" t="s">
        <v>1</v>
      </c>
      <c r="E58" s="3" t="s">
        <v>0</v>
      </c>
      <c r="F58" s="3" t="s">
        <v>1</v>
      </c>
      <c r="G58" s="3" t="s">
        <v>1</v>
      </c>
      <c r="H58" s="3" t="s">
        <v>0</v>
      </c>
    </row>
    <row r="59" spans="1:8" ht="13.5" customHeight="1" x14ac:dyDescent="0.3">
      <c r="A59" s="3">
        <v>58</v>
      </c>
      <c r="B59" t="s">
        <v>478</v>
      </c>
      <c r="C59" s="2" t="s">
        <v>479</v>
      </c>
      <c r="D59" s="3" t="s">
        <v>5</v>
      </c>
      <c r="E59" s="3" t="s">
        <v>5</v>
      </c>
      <c r="F59" s="3" t="s">
        <v>5</v>
      </c>
      <c r="G59" s="3" t="s">
        <v>1</v>
      </c>
      <c r="H59" s="3" t="s">
        <v>1</v>
      </c>
    </row>
    <row r="60" spans="1:8" ht="13.5" customHeight="1" x14ac:dyDescent="0.3">
      <c r="A60" s="3">
        <v>59</v>
      </c>
      <c r="B60" t="s">
        <v>480</v>
      </c>
      <c r="C60" s="2" t="s">
        <v>481</v>
      </c>
      <c r="D60" s="3" t="s">
        <v>5</v>
      </c>
      <c r="E60" s="3" t="s">
        <v>0</v>
      </c>
      <c r="F60" s="3" t="s">
        <v>0</v>
      </c>
      <c r="G60" s="3" t="s">
        <v>1</v>
      </c>
      <c r="H60" s="3" t="s">
        <v>1</v>
      </c>
    </row>
    <row r="61" spans="1:8" ht="13.5" customHeight="1" x14ac:dyDescent="0.3">
      <c r="A61" s="3">
        <v>60</v>
      </c>
      <c r="B61" t="s">
        <v>482</v>
      </c>
      <c r="C61" s="2" t="s">
        <v>483</v>
      </c>
      <c r="D61" s="3" t="s">
        <v>0</v>
      </c>
      <c r="E61" s="3" t="s">
        <v>5</v>
      </c>
      <c r="F61" s="3" t="s">
        <v>5</v>
      </c>
      <c r="G61" s="3" t="s">
        <v>5</v>
      </c>
      <c r="H61" s="3" t="s">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3B90E-DA30-42C7-852B-33BB39614522}">
  <sheetPr codeName="Worksheet______1"/>
  <dimension ref="A1:I181"/>
  <sheetViews>
    <sheetView topLeftCell="A85" zoomScale="80" zoomScaleNormal="80" workbookViewId="0">
      <selection activeCell="B101" sqref="B101"/>
    </sheetView>
  </sheetViews>
  <sheetFormatPr defaultColWidth="17" defaultRowHeight="14.5" customHeight="1" x14ac:dyDescent="0.3"/>
  <cols>
    <col min="1" max="1" width="5.08203125" style="6" customWidth="1"/>
    <col min="2" max="3" width="17" style="6"/>
    <col min="4" max="4" width="6" style="6" bestFit="1" customWidth="1"/>
    <col min="5" max="5" width="10.33203125" style="6" bestFit="1" customWidth="1"/>
    <col min="6" max="6" width="12.1640625" style="6" bestFit="1" customWidth="1"/>
    <col min="7" max="7" width="72.08203125" customWidth="1"/>
    <col min="8" max="8" width="5.83203125" style="6" bestFit="1" customWidth="1"/>
  </cols>
  <sheetData>
    <row r="1" spans="1:9" ht="14.5" customHeight="1" x14ac:dyDescent="0.3">
      <c r="A1" s="4" t="s">
        <v>356</v>
      </c>
      <c r="B1" s="4" t="s">
        <v>357</v>
      </c>
      <c r="C1" s="4" t="s">
        <v>358</v>
      </c>
      <c r="D1" s="4" t="s">
        <v>62</v>
      </c>
      <c r="E1" s="5" t="s">
        <v>63</v>
      </c>
      <c r="F1" s="5" t="s">
        <v>64</v>
      </c>
      <c r="G1" s="5" t="s">
        <v>29</v>
      </c>
      <c r="H1" s="5" t="s">
        <v>30</v>
      </c>
      <c r="I1" s="5" t="s">
        <v>1906</v>
      </c>
    </row>
    <row r="2" spans="1:9" ht="14.5" customHeight="1" x14ac:dyDescent="0.3">
      <c r="A2" s="1">
        <v>1</v>
      </c>
      <c r="B2" s="18" t="s">
        <v>384</v>
      </c>
      <c r="C2" s="17" t="s">
        <v>385</v>
      </c>
      <c r="D2" s="8">
        <v>1</v>
      </c>
      <c r="E2" s="6" t="s">
        <v>1</v>
      </c>
      <c r="F2" s="45" t="s">
        <v>1</v>
      </c>
      <c r="G2" s="46" t="s">
        <v>67</v>
      </c>
      <c r="H2" s="6" t="s">
        <v>68</v>
      </c>
      <c r="I2" s="6">
        <v>1</v>
      </c>
    </row>
    <row r="3" spans="1:9" ht="14.5" customHeight="1" x14ac:dyDescent="0.3">
      <c r="A3" s="1">
        <v>1</v>
      </c>
      <c r="B3" s="18" t="s">
        <v>384</v>
      </c>
      <c r="C3" s="17" t="s">
        <v>385</v>
      </c>
      <c r="D3" s="8">
        <v>1</v>
      </c>
      <c r="E3" s="45" t="s">
        <v>1</v>
      </c>
      <c r="F3" s="45" t="s">
        <v>1</v>
      </c>
      <c r="G3" s="46" t="s">
        <v>1907</v>
      </c>
      <c r="H3" s="6" t="s">
        <v>69</v>
      </c>
      <c r="I3" s="6">
        <v>1</v>
      </c>
    </row>
    <row r="4" spans="1:9" ht="14.5" customHeight="1" x14ac:dyDescent="0.3">
      <c r="A4" s="1">
        <v>1</v>
      </c>
      <c r="B4" s="18" t="s">
        <v>384</v>
      </c>
      <c r="C4" s="17" t="s">
        <v>385</v>
      </c>
      <c r="D4" s="8">
        <v>0</v>
      </c>
      <c r="E4" s="45" t="s">
        <v>1</v>
      </c>
      <c r="F4" s="45" t="s">
        <v>70</v>
      </c>
      <c r="G4" s="46" t="s">
        <v>71</v>
      </c>
      <c r="H4" s="6" t="s">
        <v>72</v>
      </c>
      <c r="I4" s="6" cm="1">
        <f t="array" ref="I4">_xlfn.SWITCH(טבלה3[[#This Row],[psych rating]], "High", 1, "Low", 1, "")</f>
        <v>1</v>
      </c>
    </row>
    <row r="5" spans="1:9" ht="14.5" customHeight="1" x14ac:dyDescent="0.3">
      <c r="A5" s="1">
        <v>2</v>
      </c>
      <c r="B5" s="17" t="s">
        <v>402</v>
      </c>
      <c r="C5" s="17" t="s">
        <v>403</v>
      </c>
      <c r="D5" s="8">
        <v>0</v>
      </c>
      <c r="E5" s="45" t="s">
        <v>0</v>
      </c>
      <c r="F5" s="45" t="s">
        <v>1</v>
      </c>
      <c r="G5" s="46" t="s">
        <v>117</v>
      </c>
      <c r="H5" s="6" t="s">
        <v>118</v>
      </c>
      <c r="I5" s="6">
        <v>0</v>
      </c>
    </row>
    <row r="6" spans="1:9" ht="14.5" customHeight="1" x14ac:dyDescent="0.3">
      <c r="A6" s="1">
        <v>2</v>
      </c>
      <c r="B6" s="17" t="s">
        <v>402</v>
      </c>
      <c r="C6" s="17" t="s">
        <v>403</v>
      </c>
      <c r="D6" s="8">
        <v>0</v>
      </c>
      <c r="E6" s="45" t="s">
        <v>0</v>
      </c>
      <c r="F6" s="45" t="s">
        <v>5</v>
      </c>
      <c r="G6" s="46" t="s">
        <v>119</v>
      </c>
      <c r="H6" s="6" t="s">
        <v>120</v>
      </c>
      <c r="I6" s="6" cm="1">
        <f t="array" ref="I6">_xlfn.SWITCH(טבלה3[[#This Row],[psych rating]], "High", 1, "Low", 1, "")</f>
        <v>1</v>
      </c>
    </row>
    <row r="7" spans="1:9" ht="14.5" customHeight="1" x14ac:dyDescent="0.3">
      <c r="A7" s="1">
        <v>2</v>
      </c>
      <c r="B7" s="17" t="s">
        <v>402</v>
      </c>
      <c r="C7" s="17" t="s">
        <v>403</v>
      </c>
      <c r="D7" s="8">
        <v>1</v>
      </c>
      <c r="E7" s="45" t="s">
        <v>0</v>
      </c>
      <c r="F7" s="45" t="s">
        <v>0</v>
      </c>
      <c r="G7" s="7" t="s">
        <v>121</v>
      </c>
      <c r="H7" s="6" t="s">
        <v>122</v>
      </c>
      <c r="I7" s="6" cm="1">
        <f t="array" ref="I7">_xlfn.SWITCH(טבלה3[[#This Row],[psych rating]], "High", 1, "Low", 1, "")</f>
        <v>1</v>
      </c>
    </row>
    <row r="8" spans="1:9" ht="14.5" customHeight="1" x14ac:dyDescent="0.3">
      <c r="A8" s="1">
        <v>3</v>
      </c>
      <c r="B8" s="17" t="s">
        <v>408</v>
      </c>
      <c r="C8" s="17" t="s">
        <v>409</v>
      </c>
      <c r="D8" s="8">
        <v>0</v>
      </c>
      <c r="E8" s="45" t="s">
        <v>1</v>
      </c>
      <c r="F8" s="45" t="s">
        <v>0</v>
      </c>
      <c r="G8" s="46" t="s">
        <v>135</v>
      </c>
      <c r="H8" s="6" t="s">
        <v>136</v>
      </c>
      <c r="I8" s="6" cm="1">
        <f t="array" ref="I8">_xlfn.SWITCH(טבלה3[[#This Row],[psych rating]], "High", 1, "Low", 1, "")</f>
        <v>1</v>
      </c>
    </row>
    <row r="9" spans="1:9" ht="14.5" customHeight="1" x14ac:dyDescent="0.3">
      <c r="A9" s="1">
        <v>3</v>
      </c>
      <c r="B9" s="17" t="s">
        <v>408</v>
      </c>
      <c r="C9" s="17" t="s">
        <v>409</v>
      </c>
      <c r="D9" s="8">
        <v>1</v>
      </c>
      <c r="E9" s="45" t="s">
        <v>1</v>
      </c>
      <c r="F9" s="45" t="s">
        <v>1</v>
      </c>
      <c r="G9" s="46" t="s">
        <v>137</v>
      </c>
      <c r="H9" s="6" t="s">
        <v>138</v>
      </c>
      <c r="I9" s="6">
        <v>1</v>
      </c>
    </row>
    <row r="10" spans="1:9" ht="14.5" customHeight="1" x14ac:dyDescent="0.3">
      <c r="A10" s="1">
        <v>3</v>
      </c>
      <c r="B10" s="17" t="s">
        <v>408</v>
      </c>
      <c r="C10" s="17" t="s">
        <v>409</v>
      </c>
      <c r="D10" s="8">
        <v>1</v>
      </c>
      <c r="E10" s="45" t="s">
        <v>1</v>
      </c>
      <c r="F10" s="45" t="s">
        <v>1</v>
      </c>
      <c r="G10" s="46" t="s">
        <v>139</v>
      </c>
      <c r="H10" s="6" t="s">
        <v>140</v>
      </c>
      <c r="I10" s="6">
        <v>1</v>
      </c>
    </row>
    <row r="11" spans="1:9" ht="14.5" customHeight="1" x14ac:dyDescent="0.3">
      <c r="A11" s="1">
        <v>4</v>
      </c>
      <c r="B11" s="17" t="s">
        <v>378</v>
      </c>
      <c r="C11" s="17" t="s">
        <v>379</v>
      </c>
      <c r="D11" s="8">
        <v>0</v>
      </c>
      <c r="E11" s="1" t="s">
        <v>1</v>
      </c>
      <c r="F11" s="1" t="s">
        <v>0</v>
      </c>
      <c r="G11" s="17" t="s">
        <v>20</v>
      </c>
      <c r="H11" s="6" t="s">
        <v>52</v>
      </c>
      <c r="I11" s="6" cm="1">
        <f t="array" ref="I11">_xlfn.SWITCH(טבלה3[[#This Row],[psych rating]], "High", 1, "Low", 1, "")</f>
        <v>1</v>
      </c>
    </row>
    <row r="12" spans="1:9" ht="14.5" customHeight="1" x14ac:dyDescent="0.3">
      <c r="A12" s="1">
        <v>4</v>
      </c>
      <c r="B12" s="17" t="s">
        <v>378</v>
      </c>
      <c r="C12" s="17" t="s">
        <v>379</v>
      </c>
      <c r="D12" s="8">
        <v>0</v>
      </c>
      <c r="E12" s="1" t="s">
        <v>1</v>
      </c>
      <c r="F12" s="1" t="s">
        <v>0</v>
      </c>
      <c r="G12" s="17" t="s">
        <v>21</v>
      </c>
      <c r="H12" s="6" t="s">
        <v>53</v>
      </c>
      <c r="I12" s="6" cm="1">
        <f t="array" ref="I12">_xlfn.SWITCH(טבלה3[[#This Row],[psych rating]], "High", 1, "Low", 1, "")</f>
        <v>1</v>
      </c>
    </row>
    <row r="13" spans="1:9" ht="14.5" customHeight="1" x14ac:dyDescent="0.3">
      <c r="A13" s="1">
        <v>4</v>
      </c>
      <c r="B13" s="17" t="s">
        <v>378</v>
      </c>
      <c r="C13" s="17" t="s">
        <v>379</v>
      </c>
      <c r="D13" s="8">
        <v>1</v>
      </c>
      <c r="E13" s="1" t="s">
        <v>1</v>
      </c>
      <c r="F13" s="1" t="s">
        <v>1</v>
      </c>
      <c r="G13" s="17" t="s">
        <v>22</v>
      </c>
      <c r="H13" s="6" t="s">
        <v>54</v>
      </c>
      <c r="I13" s="6">
        <v>1</v>
      </c>
    </row>
    <row r="14" spans="1:9" ht="14.5" customHeight="1" x14ac:dyDescent="0.3">
      <c r="A14" s="1">
        <v>5</v>
      </c>
      <c r="B14" s="18" t="s">
        <v>380</v>
      </c>
      <c r="C14" s="18" t="s">
        <v>381</v>
      </c>
      <c r="D14" s="8">
        <v>0</v>
      </c>
      <c r="E14" s="1" t="s">
        <v>0</v>
      </c>
      <c r="F14" s="1" t="s">
        <v>1</v>
      </c>
      <c r="G14" s="17" t="s">
        <v>23</v>
      </c>
      <c r="H14" s="6" t="s">
        <v>55</v>
      </c>
      <c r="I14" s="6">
        <v>1</v>
      </c>
    </row>
    <row r="15" spans="1:9" ht="14.5" customHeight="1" x14ac:dyDescent="0.3">
      <c r="A15" s="1">
        <v>5</v>
      </c>
      <c r="B15" s="18" t="s">
        <v>380</v>
      </c>
      <c r="C15" s="18" t="s">
        <v>381</v>
      </c>
      <c r="D15" s="8">
        <v>1</v>
      </c>
      <c r="E15" s="1" t="s">
        <v>0</v>
      </c>
      <c r="F15" s="1" t="s">
        <v>0</v>
      </c>
      <c r="G15" s="17" t="s">
        <v>24</v>
      </c>
      <c r="H15" s="6" t="s">
        <v>56</v>
      </c>
      <c r="I15" s="6" cm="1">
        <f t="array" ref="I15">_xlfn.SWITCH(טבלה3[[#This Row],[psych rating]], "High", 1, "Low", 1, "")</f>
        <v>1</v>
      </c>
    </row>
    <row r="16" spans="1:9" ht="14.5" customHeight="1" x14ac:dyDescent="0.3">
      <c r="A16" s="1">
        <v>5</v>
      </c>
      <c r="B16" s="18" t="s">
        <v>380</v>
      </c>
      <c r="C16" s="18" t="s">
        <v>381</v>
      </c>
      <c r="D16" s="8">
        <v>1</v>
      </c>
      <c r="E16" s="1" t="s">
        <v>0</v>
      </c>
      <c r="F16" s="1" t="s">
        <v>0</v>
      </c>
      <c r="G16" s="17" t="s">
        <v>25</v>
      </c>
      <c r="H16" s="6" t="s">
        <v>57</v>
      </c>
      <c r="I16" s="6" cm="1">
        <f t="array" ref="I16">_xlfn.SWITCH(טבלה3[[#This Row],[psych rating]], "High", 1, "Low", 1, "")</f>
        <v>1</v>
      </c>
    </row>
    <row r="17" spans="1:9" ht="14.5" customHeight="1" x14ac:dyDescent="0.3">
      <c r="A17" s="1">
        <v>6</v>
      </c>
      <c r="B17" s="18" t="s">
        <v>394</v>
      </c>
      <c r="C17" s="18" t="s">
        <v>395</v>
      </c>
      <c r="D17" s="8">
        <v>0</v>
      </c>
      <c r="E17" s="45" t="s">
        <v>1</v>
      </c>
      <c r="F17" s="45" t="s">
        <v>0</v>
      </c>
      <c r="G17" s="46" t="s">
        <v>95</v>
      </c>
      <c r="H17" s="6" t="s">
        <v>96</v>
      </c>
      <c r="I17" s="6" cm="1">
        <f t="array" ref="I17">_xlfn.SWITCH(טבלה3[[#This Row],[psych rating]], "High", 1, "Low", 1, "")</f>
        <v>1</v>
      </c>
    </row>
    <row r="18" spans="1:9" ht="14.5" customHeight="1" x14ac:dyDescent="0.3">
      <c r="A18" s="1">
        <v>6</v>
      </c>
      <c r="B18" s="18" t="s">
        <v>394</v>
      </c>
      <c r="C18" s="18" t="s">
        <v>395</v>
      </c>
      <c r="D18" s="8">
        <v>1</v>
      </c>
      <c r="E18" s="45" t="s">
        <v>1</v>
      </c>
      <c r="F18" s="45" t="s">
        <v>1</v>
      </c>
      <c r="G18" s="46" t="s">
        <v>97</v>
      </c>
      <c r="H18" s="6" t="s">
        <v>98</v>
      </c>
      <c r="I18" s="6">
        <v>1</v>
      </c>
    </row>
    <row r="19" spans="1:9" ht="14.5" customHeight="1" x14ac:dyDescent="0.3">
      <c r="A19" s="1">
        <v>6</v>
      </c>
      <c r="B19" s="18" t="s">
        <v>394</v>
      </c>
      <c r="C19" s="18" t="s">
        <v>395</v>
      </c>
      <c r="D19" s="8">
        <v>0</v>
      </c>
      <c r="E19" s="45" t="s">
        <v>1</v>
      </c>
      <c r="F19" s="45" t="s">
        <v>0</v>
      </c>
      <c r="G19" s="46" t="s">
        <v>99</v>
      </c>
      <c r="H19" s="6" t="s">
        <v>100</v>
      </c>
      <c r="I19" s="6" cm="1">
        <f t="array" ref="I19">_xlfn.SWITCH(טבלה3[[#This Row],[psych rating]], "High", 1, "Low", 1, "")</f>
        <v>1</v>
      </c>
    </row>
    <row r="20" spans="1:9" ht="14.5" customHeight="1" x14ac:dyDescent="0.3">
      <c r="A20" s="1">
        <v>7</v>
      </c>
      <c r="B20" s="17" t="s">
        <v>368</v>
      </c>
      <c r="C20" s="17" t="s">
        <v>369</v>
      </c>
      <c r="D20" s="8">
        <v>0</v>
      </c>
      <c r="E20" s="1" t="s">
        <v>5</v>
      </c>
      <c r="F20" s="1" t="s">
        <v>1</v>
      </c>
      <c r="G20" s="17" t="s">
        <v>8</v>
      </c>
      <c r="H20" s="6" t="s">
        <v>37</v>
      </c>
      <c r="I20" s="6">
        <v>1</v>
      </c>
    </row>
    <row r="21" spans="1:9" ht="14.5" customHeight="1" x14ac:dyDescent="0.3">
      <c r="A21" s="1">
        <v>7</v>
      </c>
      <c r="B21" s="17" t="s">
        <v>368</v>
      </c>
      <c r="C21" s="17" t="s">
        <v>369</v>
      </c>
      <c r="D21" s="8">
        <v>1</v>
      </c>
      <c r="E21" s="1" t="s">
        <v>5</v>
      </c>
      <c r="F21" s="1" t="s">
        <v>5</v>
      </c>
      <c r="G21" s="17" t="s">
        <v>65</v>
      </c>
      <c r="H21" s="6" t="s">
        <v>38</v>
      </c>
      <c r="I21" s="6" cm="1">
        <f t="array" ref="I21">_xlfn.SWITCH(טבלה3[[#This Row],[psych rating]], "High", 1, "Low", 1, "")</f>
        <v>1</v>
      </c>
    </row>
    <row r="22" spans="1:9" ht="14.5" customHeight="1" x14ac:dyDescent="0.3">
      <c r="A22" s="1">
        <v>7</v>
      </c>
      <c r="B22" s="17" t="s">
        <v>368</v>
      </c>
      <c r="C22" s="17" t="s">
        <v>369</v>
      </c>
      <c r="D22" s="8">
        <v>0</v>
      </c>
      <c r="E22" s="1" t="s">
        <v>5</v>
      </c>
      <c r="F22" s="1" t="s">
        <v>1</v>
      </c>
      <c r="G22" s="17" t="s">
        <v>9</v>
      </c>
      <c r="H22" s="6" t="s">
        <v>39</v>
      </c>
      <c r="I22" s="6">
        <v>0</v>
      </c>
    </row>
    <row r="23" spans="1:9" ht="14.5" customHeight="1" x14ac:dyDescent="0.3">
      <c r="A23" s="1">
        <v>8</v>
      </c>
      <c r="B23" s="17" t="s">
        <v>372</v>
      </c>
      <c r="C23" s="17" t="s">
        <v>373</v>
      </c>
      <c r="D23" s="8">
        <v>0</v>
      </c>
      <c r="E23" s="1" t="s">
        <v>5</v>
      </c>
      <c r="F23" s="1" t="s">
        <v>0</v>
      </c>
      <c r="G23" s="17" t="s">
        <v>13</v>
      </c>
      <c r="H23" s="6" t="s">
        <v>43</v>
      </c>
      <c r="I23" s="6" cm="1">
        <f t="array" ref="I23">_xlfn.SWITCH(טבלה3[[#This Row],[psych rating]], "High", 1, "Low", 1, "")</f>
        <v>1</v>
      </c>
    </row>
    <row r="24" spans="1:9" ht="14.5" customHeight="1" x14ac:dyDescent="0.3">
      <c r="A24" s="1">
        <v>8</v>
      </c>
      <c r="B24" s="17" t="s">
        <v>372</v>
      </c>
      <c r="C24" s="17" t="s">
        <v>373</v>
      </c>
      <c r="D24" s="8">
        <v>0</v>
      </c>
      <c r="E24" s="1" t="s">
        <v>5</v>
      </c>
      <c r="F24" s="1" t="s">
        <v>0</v>
      </c>
      <c r="G24" s="17" t="s">
        <v>14</v>
      </c>
      <c r="H24" s="6" t="s">
        <v>44</v>
      </c>
      <c r="I24" s="6" cm="1">
        <f t="array" ref="I24">_xlfn.SWITCH(טבלה3[[#This Row],[psych rating]], "High", 1, "Low", 1, "")</f>
        <v>1</v>
      </c>
    </row>
    <row r="25" spans="1:9" ht="14.5" customHeight="1" x14ac:dyDescent="0.3">
      <c r="A25" s="1">
        <v>8</v>
      </c>
      <c r="B25" s="17" t="s">
        <v>372</v>
      </c>
      <c r="C25" s="17" t="s">
        <v>373</v>
      </c>
      <c r="D25" s="8">
        <v>0</v>
      </c>
      <c r="E25" s="1" t="s">
        <v>5</v>
      </c>
      <c r="F25" s="1" t="s">
        <v>1</v>
      </c>
      <c r="G25" s="17" t="s">
        <v>15</v>
      </c>
      <c r="H25" s="6" t="s">
        <v>45</v>
      </c>
      <c r="I25" s="6">
        <v>1</v>
      </c>
    </row>
    <row r="26" spans="1:9" ht="14.5" customHeight="1" x14ac:dyDescent="0.3">
      <c r="A26" s="1">
        <v>9</v>
      </c>
      <c r="B26" s="17" t="s">
        <v>410</v>
      </c>
      <c r="C26" s="17" t="s">
        <v>411</v>
      </c>
      <c r="D26" s="8">
        <v>1</v>
      </c>
      <c r="E26" s="45" t="s">
        <v>0</v>
      </c>
      <c r="F26" s="45" t="s">
        <v>0</v>
      </c>
      <c r="G26" s="46" t="s">
        <v>141</v>
      </c>
      <c r="H26" s="6" t="s">
        <v>142</v>
      </c>
      <c r="I26" s="6" cm="1">
        <f t="array" ref="I26">_xlfn.SWITCH(טבלה3[[#This Row],[psych rating]], "High", 1, "Low", 1, "")</f>
        <v>1</v>
      </c>
    </row>
    <row r="27" spans="1:9" ht="14.5" customHeight="1" x14ac:dyDescent="0.3">
      <c r="A27" s="1">
        <v>9</v>
      </c>
      <c r="B27" s="17" t="s">
        <v>410</v>
      </c>
      <c r="C27" s="17" t="s">
        <v>411</v>
      </c>
      <c r="D27" s="8">
        <v>0</v>
      </c>
      <c r="E27" s="45" t="s">
        <v>0</v>
      </c>
      <c r="F27" s="45" t="s">
        <v>1</v>
      </c>
      <c r="G27" s="46" t="s">
        <v>143</v>
      </c>
      <c r="H27" s="6" t="s">
        <v>144</v>
      </c>
      <c r="I27" s="6">
        <v>1</v>
      </c>
    </row>
    <row r="28" spans="1:9" ht="14.5" customHeight="1" x14ac:dyDescent="0.3">
      <c r="A28" s="1">
        <v>9</v>
      </c>
      <c r="B28" s="17" t="s">
        <v>410</v>
      </c>
      <c r="C28" s="17" t="s">
        <v>411</v>
      </c>
      <c r="D28" s="8">
        <v>0</v>
      </c>
      <c r="E28" s="45" t="s">
        <v>0</v>
      </c>
      <c r="F28" s="45" t="s">
        <v>1</v>
      </c>
      <c r="G28" s="46" t="s">
        <v>145</v>
      </c>
      <c r="H28" s="6" t="s">
        <v>146</v>
      </c>
      <c r="I28" s="6">
        <v>1</v>
      </c>
    </row>
    <row r="29" spans="1:9" ht="14.5" customHeight="1" x14ac:dyDescent="0.3">
      <c r="A29" s="1">
        <v>10</v>
      </c>
      <c r="B29" s="17" t="s">
        <v>392</v>
      </c>
      <c r="C29" s="17" t="s">
        <v>393</v>
      </c>
      <c r="D29" s="8">
        <v>1</v>
      </c>
      <c r="E29" s="45" t="s">
        <v>0</v>
      </c>
      <c r="F29" s="45" t="s">
        <v>0</v>
      </c>
      <c r="G29" s="46" t="s">
        <v>90</v>
      </c>
      <c r="H29" s="6" t="s">
        <v>91</v>
      </c>
      <c r="I29" s="6" cm="1">
        <f t="array" ref="I29">_xlfn.SWITCH(טבלה3[[#This Row],[psych rating]], "High", 1, "Low", 1, "")</f>
        <v>1</v>
      </c>
    </row>
    <row r="30" spans="1:9" ht="14.5" customHeight="1" x14ac:dyDescent="0.3">
      <c r="A30" s="1">
        <v>10</v>
      </c>
      <c r="B30" s="17" t="s">
        <v>392</v>
      </c>
      <c r="C30" s="17" t="s">
        <v>393</v>
      </c>
      <c r="D30" s="8">
        <v>1</v>
      </c>
      <c r="E30" s="45" t="s">
        <v>0</v>
      </c>
      <c r="F30" s="45" t="s">
        <v>0</v>
      </c>
      <c r="G30" s="46" t="s">
        <v>92</v>
      </c>
      <c r="H30" s="6" t="s">
        <v>93</v>
      </c>
      <c r="I30" s="6" cm="1">
        <f t="array" ref="I30">_xlfn.SWITCH(טבלה3[[#This Row],[psych rating]], "High", 1, "Low", 1, "")</f>
        <v>1</v>
      </c>
    </row>
    <row r="31" spans="1:9" ht="14.5" customHeight="1" x14ac:dyDescent="0.3">
      <c r="A31" s="1">
        <v>10</v>
      </c>
      <c r="B31" s="17" t="s">
        <v>392</v>
      </c>
      <c r="C31" s="17" t="s">
        <v>393</v>
      </c>
      <c r="D31" s="9">
        <v>0</v>
      </c>
      <c r="E31" s="51" t="s">
        <v>0</v>
      </c>
      <c r="F31" s="51" t="s">
        <v>1</v>
      </c>
      <c r="G31" s="48" t="s">
        <v>88</v>
      </c>
      <c r="H31" s="6" t="s">
        <v>94</v>
      </c>
      <c r="I31" s="6">
        <v>0</v>
      </c>
    </row>
    <row r="32" spans="1:9" ht="14.5" customHeight="1" x14ac:dyDescent="0.3">
      <c r="A32" s="1">
        <v>11</v>
      </c>
      <c r="B32" s="17" t="s">
        <v>366</v>
      </c>
      <c r="C32" s="17" t="s">
        <v>367</v>
      </c>
      <c r="D32" s="9">
        <v>0</v>
      </c>
      <c r="E32" s="43" t="s">
        <v>0</v>
      </c>
      <c r="F32" s="43" t="s">
        <v>5</v>
      </c>
      <c r="G32" s="47" t="s">
        <v>6</v>
      </c>
      <c r="H32" s="6" t="s">
        <v>34</v>
      </c>
      <c r="I32" s="6" cm="1">
        <f t="array" ref="I32">_xlfn.SWITCH(טבלה3[[#This Row],[psych rating]], "High", 1, "Low", 1, "")</f>
        <v>1</v>
      </c>
    </row>
    <row r="33" spans="1:9" ht="14.5" customHeight="1" x14ac:dyDescent="0.3">
      <c r="A33" s="1">
        <v>11</v>
      </c>
      <c r="B33" s="17" t="s">
        <v>366</v>
      </c>
      <c r="C33" s="17" t="s">
        <v>367</v>
      </c>
      <c r="D33" s="9">
        <v>0</v>
      </c>
      <c r="E33" s="43" t="s">
        <v>0</v>
      </c>
      <c r="F33" s="43" t="s">
        <v>1</v>
      </c>
      <c r="G33" s="47" t="s">
        <v>7</v>
      </c>
      <c r="H33" s="6" t="s">
        <v>35</v>
      </c>
      <c r="I33" s="6">
        <v>1</v>
      </c>
    </row>
    <row r="34" spans="1:9" ht="14.5" customHeight="1" x14ac:dyDescent="0.3">
      <c r="A34" s="1">
        <v>11</v>
      </c>
      <c r="B34" s="17" t="s">
        <v>366</v>
      </c>
      <c r="C34" s="17" t="s">
        <v>367</v>
      </c>
      <c r="D34" s="9">
        <v>0</v>
      </c>
      <c r="E34" s="43" t="s">
        <v>0</v>
      </c>
      <c r="F34" s="43" t="s">
        <v>1</v>
      </c>
      <c r="G34" s="7" t="s">
        <v>61</v>
      </c>
      <c r="H34" s="6" t="s">
        <v>36</v>
      </c>
      <c r="I34" s="6">
        <v>1</v>
      </c>
    </row>
    <row r="35" spans="1:9" ht="14.5" customHeight="1" x14ac:dyDescent="0.3">
      <c r="A35" s="1">
        <v>12</v>
      </c>
      <c r="B35" s="17" t="s">
        <v>382</v>
      </c>
      <c r="C35" s="18" t="s">
        <v>383</v>
      </c>
      <c r="D35" s="9">
        <v>1</v>
      </c>
      <c r="E35" s="43" t="s">
        <v>1</v>
      </c>
      <c r="F35" s="43" t="s">
        <v>1</v>
      </c>
      <c r="G35" s="47" t="s">
        <v>26</v>
      </c>
      <c r="H35" s="6" t="s">
        <v>58</v>
      </c>
      <c r="I35" s="6">
        <v>1</v>
      </c>
    </row>
    <row r="36" spans="1:9" ht="14.5" customHeight="1" x14ac:dyDescent="0.3">
      <c r="A36" s="1">
        <v>12</v>
      </c>
      <c r="B36" s="17" t="s">
        <v>382</v>
      </c>
      <c r="C36" s="18" t="s">
        <v>383</v>
      </c>
      <c r="D36" s="9">
        <v>0</v>
      </c>
      <c r="E36" s="43" t="s">
        <v>1</v>
      </c>
      <c r="F36" s="43" t="s">
        <v>0</v>
      </c>
      <c r="G36" s="47" t="s">
        <v>27</v>
      </c>
      <c r="H36" s="6" t="s">
        <v>59</v>
      </c>
      <c r="I36" s="6" cm="1">
        <f t="array" ref="I36">_xlfn.SWITCH(טבלה3[[#This Row],[psych rating]], "High", 1, "Low", 1, "")</f>
        <v>1</v>
      </c>
    </row>
    <row r="37" spans="1:9" ht="14.5" customHeight="1" x14ac:dyDescent="0.3">
      <c r="A37" s="1">
        <v>12</v>
      </c>
      <c r="B37" s="17" t="s">
        <v>382</v>
      </c>
      <c r="C37" s="18" t="s">
        <v>383</v>
      </c>
      <c r="D37" s="9">
        <v>1</v>
      </c>
      <c r="E37" s="43" t="s">
        <v>1</v>
      </c>
      <c r="F37" s="43" t="s">
        <v>1</v>
      </c>
      <c r="G37" s="47" t="s">
        <v>28</v>
      </c>
      <c r="H37" s="6" t="s">
        <v>60</v>
      </c>
      <c r="I37" s="6">
        <v>1</v>
      </c>
    </row>
    <row r="38" spans="1:9" ht="14.5" customHeight="1" x14ac:dyDescent="0.3">
      <c r="A38" s="1">
        <v>13</v>
      </c>
      <c r="B38" s="17" t="s">
        <v>374</v>
      </c>
      <c r="C38" s="17" t="s">
        <v>375</v>
      </c>
      <c r="D38" s="9">
        <v>0</v>
      </c>
      <c r="E38" s="43" t="s">
        <v>1</v>
      </c>
      <c r="F38" s="43" t="s">
        <v>0</v>
      </c>
      <c r="G38" s="47" t="s">
        <v>66</v>
      </c>
      <c r="H38" s="6" t="s">
        <v>46</v>
      </c>
      <c r="I38" s="6" cm="1">
        <f t="array" ref="I38">_xlfn.SWITCH(טבלה3[[#This Row],[psych rating]], "High", 1, "Low", 1, "")</f>
        <v>1</v>
      </c>
    </row>
    <row r="39" spans="1:9" ht="14.5" customHeight="1" x14ac:dyDescent="0.3">
      <c r="A39" s="1">
        <v>13</v>
      </c>
      <c r="B39" s="17" t="s">
        <v>374</v>
      </c>
      <c r="C39" s="17" t="s">
        <v>375</v>
      </c>
      <c r="D39" s="9">
        <v>1</v>
      </c>
      <c r="E39" s="43" t="s">
        <v>1</v>
      </c>
      <c r="F39" s="43" t="s">
        <v>1</v>
      </c>
      <c r="G39" s="47" t="s">
        <v>16</v>
      </c>
      <c r="H39" s="6" t="s">
        <v>47</v>
      </c>
      <c r="I39" s="6">
        <v>0</v>
      </c>
    </row>
    <row r="40" spans="1:9" ht="14.5" customHeight="1" x14ac:dyDescent="0.3">
      <c r="A40" s="1">
        <v>13</v>
      </c>
      <c r="B40" s="17" t="s">
        <v>374</v>
      </c>
      <c r="C40" s="17" t="s">
        <v>375</v>
      </c>
      <c r="D40" s="9">
        <v>1</v>
      </c>
      <c r="E40" s="43" t="s">
        <v>1</v>
      </c>
      <c r="F40" s="43" t="s">
        <v>1</v>
      </c>
      <c r="G40" s="47" t="s">
        <v>17</v>
      </c>
      <c r="H40" s="6" t="s">
        <v>48</v>
      </c>
      <c r="I40" s="6">
        <v>1</v>
      </c>
    </row>
    <row r="41" spans="1:9" ht="14.5" customHeight="1" x14ac:dyDescent="0.3">
      <c r="A41" s="1">
        <v>14</v>
      </c>
      <c r="B41" s="17" t="s">
        <v>376</v>
      </c>
      <c r="C41" s="17" t="s">
        <v>377</v>
      </c>
      <c r="D41" s="9">
        <v>1</v>
      </c>
      <c r="E41" s="43" t="s">
        <v>5</v>
      </c>
      <c r="F41" s="43" t="s">
        <v>5</v>
      </c>
      <c r="G41" s="47" t="s">
        <v>18</v>
      </c>
      <c r="H41" s="6" t="s">
        <v>49</v>
      </c>
      <c r="I41" s="6" cm="1">
        <f t="array" ref="I41">_xlfn.SWITCH(טבלה3[[#This Row],[psych rating]], "High", 1, "Low", 1, "")</f>
        <v>1</v>
      </c>
    </row>
    <row r="42" spans="1:9" ht="14.5" customHeight="1" x14ac:dyDescent="0.3">
      <c r="A42" s="1">
        <v>14</v>
      </c>
      <c r="B42" s="17" t="s">
        <v>376</v>
      </c>
      <c r="C42" s="17" t="s">
        <v>377</v>
      </c>
      <c r="D42" s="9">
        <v>0</v>
      </c>
      <c r="E42" s="43" t="s">
        <v>5</v>
      </c>
      <c r="F42" s="43" t="s">
        <v>1</v>
      </c>
      <c r="G42" s="47" t="s">
        <v>16</v>
      </c>
      <c r="H42" s="6" t="s">
        <v>50</v>
      </c>
      <c r="I42" s="6">
        <v>0</v>
      </c>
    </row>
    <row r="43" spans="1:9" ht="14.5" customHeight="1" x14ac:dyDescent="0.3">
      <c r="A43" s="1">
        <v>14</v>
      </c>
      <c r="B43" s="17" t="s">
        <v>376</v>
      </c>
      <c r="C43" s="17" t="s">
        <v>377</v>
      </c>
      <c r="D43" s="9">
        <v>0</v>
      </c>
      <c r="E43" s="43" t="s">
        <v>5</v>
      </c>
      <c r="F43" s="43" t="s">
        <v>1</v>
      </c>
      <c r="G43" s="47" t="s">
        <v>19</v>
      </c>
      <c r="H43" s="6" t="s">
        <v>51</v>
      </c>
      <c r="I43" s="6">
        <v>1</v>
      </c>
    </row>
    <row r="44" spans="1:9" ht="14.5" customHeight="1" x14ac:dyDescent="0.3">
      <c r="A44" s="1">
        <v>15</v>
      </c>
      <c r="B44" s="17" t="s">
        <v>388</v>
      </c>
      <c r="C44" s="17" t="s">
        <v>389</v>
      </c>
      <c r="D44" s="9">
        <v>0</v>
      </c>
      <c r="E44" s="6" t="s">
        <v>1</v>
      </c>
      <c r="F44" s="6" t="s">
        <v>0</v>
      </c>
      <c r="G44" s="7" t="s">
        <v>79</v>
      </c>
      <c r="H44" s="6" t="s">
        <v>80</v>
      </c>
      <c r="I44" s="6" cm="1">
        <f t="array" ref="I44">_xlfn.SWITCH(טבלה3[[#This Row],[psych rating]], "High", 1, "Low", 1, "")</f>
        <v>1</v>
      </c>
    </row>
    <row r="45" spans="1:9" ht="14.5" customHeight="1" x14ac:dyDescent="0.3">
      <c r="A45" s="1">
        <v>15</v>
      </c>
      <c r="B45" s="17" t="s">
        <v>388</v>
      </c>
      <c r="C45" s="17" t="s">
        <v>389</v>
      </c>
      <c r="D45" s="9">
        <v>0</v>
      </c>
      <c r="E45" s="6" t="s">
        <v>1</v>
      </c>
      <c r="F45" s="6" t="s">
        <v>0</v>
      </c>
      <c r="G45" s="7" t="s">
        <v>81</v>
      </c>
      <c r="H45" s="6" t="s">
        <v>82</v>
      </c>
      <c r="I45" s="6" cm="1">
        <f t="array" ref="I45">_xlfn.SWITCH(טבלה3[[#This Row],[psych rating]], "High", 1, "Low", 1, "")</f>
        <v>1</v>
      </c>
    </row>
    <row r="46" spans="1:9" ht="14.5" customHeight="1" x14ac:dyDescent="0.3">
      <c r="A46" s="1">
        <v>15</v>
      </c>
      <c r="B46" s="17" t="s">
        <v>388</v>
      </c>
      <c r="C46" s="17" t="s">
        <v>389</v>
      </c>
      <c r="D46" s="9">
        <v>1</v>
      </c>
      <c r="E46" s="6" t="s">
        <v>1</v>
      </c>
      <c r="F46" s="6" t="s">
        <v>1</v>
      </c>
      <c r="G46" s="7" t="s">
        <v>83</v>
      </c>
      <c r="H46" s="6" t="s">
        <v>84</v>
      </c>
      <c r="I46" s="6">
        <v>1</v>
      </c>
    </row>
    <row r="47" spans="1:9" ht="14.5" customHeight="1" x14ac:dyDescent="0.3">
      <c r="A47" s="1">
        <v>16</v>
      </c>
      <c r="B47" s="18" t="s">
        <v>414</v>
      </c>
      <c r="C47" s="17" t="s">
        <v>415</v>
      </c>
      <c r="D47" s="9">
        <v>0</v>
      </c>
      <c r="E47" s="6" t="s">
        <v>1</v>
      </c>
      <c r="F47" s="6" t="s">
        <v>0</v>
      </c>
      <c r="G47" s="7" t="s">
        <v>153</v>
      </c>
      <c r="H47" s="6" t="s">
        <v>154</v>
      </c>
      <c r="I47" s="6" cm="1">
        <f t="array" ref="I47">_xlfn.SWITCH(טבלה3[[#This Row],[psych rating]], "High", 1, "Low", 1, "")</f>
        <v>1</v>
      </c>
    </row>
    <row r="48" spans="1:9" ht="14.5" customHeight="1" x14ac:dyDescent="0.3">
      <c r="A48" s="1">
        <v>16</v>
      </c>
      <c r="B48" s="18" t="s">
        <v>414</v>
      </c>
      <c r="C48" s="17" t="s">
        <v>415</v>
      </c>
      <c r="D48" s="9">
        <v>0</v>
      </c>
      <c r="E48" s="6" t="s">
        <v>1</v>
      </c>
      <c r="F48" s="6" t="s">
        <v>5</v>
      </c>
      <c r="G48" s="7" t="s">
        <v>155</v>
      </c>
      <c r="H48" s="6" t="s">
        <v>156</v>
      </c>
      <c r="I48" s="6" cm="1">
        <f t="array" ref="I48">_xlfn.SWITCH(טבלה3[[#This Row],[psych rating]], "High", 1, "Low", 1, "")</f>
        <v>1</v>
      </c>
    </row>
    <row r="49" spans="1:9" ht="14.5" customHeight="1" x14ac:dyDescent="0.3">
      <c r="A49" s="1">
        <v>16</v>
      </c>
      <c r="B49" s="18" t="s">
        <v>414</v>
      </c>
      <c r="C49" s="17" t="s">
        <v>415</v>
      </c>
      <c r="D49" s="9">
        <v>0</v>
      </c>
      <c r="E49" s="6" t="s">
        <v>1</v>
      </c>
      <c r="F49" s="6" t="s">
        <v>0</v>
      </c>
      <c r="G49" s="7" t="s">
        <v>157</v>
      </c>
      <c r="H49" s="6" t="s">
        <v>158</v>
      </c>
      <c r="I49" s="6" cm="1">
        <f t="array" ref="I49">_xlfn.SWITCH(טבלה3[[#This Row],[psych rating]], "High", 1, "Low", 1, "")</f>
        <v>1</v>
      </c>
    </row>
    <row r="50" spans="1:9" ht="14.5" customHeight="1" x14ac:dyDescent="0.3">
      <c r="A50" s="1">
        <v>17</v>
      </c>
      <c r="B50" s="18" t="s">
        <v>386</v>
      </c>
      <c r="C50" s="18" t="s">
        <v>387</v>
      </c>
      <c r="D50" s="9">
        <v>0</v>
      </c>
      <c r="E50" s="6" t="s">
        <v>5</v>
      </c>
      <c r="F50" s="6" t="s">
        <v>0</v>
      </c>
      <c r="G50" s="7" t="s">
        <v>73</v>
      </c>
      <c r="H50" s="6" t="s">
        <v>74</v>
      </c>
      <c r="I50" s="6" cm="1">
        <f t="array" ref="I50">_xlfn.SWITCH(טבלה3[[#This Row],[psych rating]], "High", 1, "Low", 1, "")</f>
        <v>1</v>
      </c>
    </row>
    <row r="51" spans="1:9" ht="14.5" customHeight="1" x14ac:dyDescent="0.3">
      <c r="A51" s="1">
        <v>17</v>
      </c>
      <c r="B51" s="18" t="s">
        <v>386</v>
      </c>
      <c r="C51" s="18" t="s">
        <v>387</v>
      </c>
      <c r="D51" s="9">
        <v>0</v>
      </c>
      <c r="E51" s="6" t="s">
        <v>5</v>
      </c>
      <c r="F51" s="6" t="s">
        <v>1</v>
      </c>
      <c r="G51" s="7" t="s">
        <v>75</v>
      </c>
      <c r="H51" s="6" t="s">
        <v>76</v>
      </c>
      <c r="I51" s="6">
        <v>1</v>
      </c>
    </row>
    <row r="52" spans="1:9" ht="14.5" customHeight="1" x14ac:dyDescent="0.3">
      <c r="A52" s="1">
        <v>17</v>
      </c>
      <c r="B52" s="18" t="s">
        <v>386</v>
      </c>
      <c r="C52" s="18" t="s">
        <v>387</v>
      </c>
      <c r="D52" s="9">
        <v>0</v>
      </c>
      <c r="E52" s="6" t="s">
        <v>5</v>
      </c>
      <c r="F52" s="6" t="s">
        <v>1</v>
      </c>
      <c r="G52" s="7" t="s">
        <v>77</v>
      </c>
      <c r="H52" s="6" t="s">
        <v>78</v>
      </c>
      <c r="I52" s="6">
        <v>1</v>
      </c>
    </row>
    <row r="53" spans="1:9" ht="14.5" customHeight="1" x14ac:dyDescent="0.3">
      <c r="A53" s="1">
        <v>18</v>
      </c>
      <c r="B53" s="17" t="s">
        <v>370</v>
      </c>
      <c r="C53" s="17" t="s">
        <v>371</v>
      </c>
      <c r="D53" s="9">
        <v>0</v>
      </c>
      <c r="E53" s="43" t="s">
        <v>0</v>
      </c>
      <c r="F53" s="43" t="s">
        <v>1</v>
      </c>
      <c r="G53" s="47" t="s">
        <v>10</v>
      </c>
      <c r="H53" s="6" t="s">
        <v>40</v>
      </c>
      <c r="I53" s="6">
        <v>1</v>
      </c>
    </row>
    <row r="54" spans="1:9" ht="14.5" customHeight="1" x14ac:dyDescent="0.3">
      <c r="A54" s="1">
        <v>18</v>
      </c>
      <c r="B54" s="17" t="s">
        <v>370</v>
      </c>
      <c r="C54" s="17" t="s">
        <v>371</v>
      </c>
      <c r="D54" s="9">
        <v>0</v>
      </c>
      <c r="E54" s="43" t="s">
        <v>0</v>
      </c>
      <c r="F54" s="43" t="s">
        <v>5</v>
      </c>
      <c r="G54" s="47" t="s">
        <v>11</v>
      </c>
      <c r="H54" s="6" t="s">
        <v>41</v>
      </c>
      <c r="I54" s="6" cm="1">
        <f t="array" ref="I54">_xlfn.SWITCH(טבלה3[[#This Row],[psych rating]], "High", 1, "Low", 1, "")</f>
        <v>1</v>
      </c>
    </row>
    <row r="55" spans="1:9" ht="14.5" customHeight="1" x14ac:dyDescent="0.3">
      <c r="A55" s="1">
        <v>18</v>
      </c>
      <c r="B55" s="17" t="s">
        <v>370</v>
      </c>
      <c r="C55" s="17" t="s">
        <v>371</v>
      </c>
      <c r="D55" s="9">
        <v>0</v>
      </c>
      <c r="E55" s="43" t="s">
        <v>0</v>
      </c>
      <c r="F55" s="43" t="s">
        <v>1</v>
      </c>
      <c r="G55" s="47" t="s">
        <v>12</v>
      </c>
      <c r="H55" s="6" t="s">
        <v>42</v>
      </c>
      <c r="I55" s="6">
        <v>1</v>
      </c>
    </row>
    <row r="56" spans="1:9" ht="14.5" customHeight="1" x14ac:dyDescent="0.3">
      <c r="A56" s="1">
        <v>19</v>
      </c>
      <c r="B56" s="18" t="s">
        <v>426</v>
      </c>
      <c r="C56" s="18" t="s">
        <v>427</v>
      </c>
      <c r="D56" s="9">
        <v>0</v>
      </c>
      <c r="E56" s="6" t="s">
        <v>0</v>
      </c>
      <c r="F56" s="6" t="s">
        <v>1</v>
      </c>
      <c r="G56" s="7" t="s">
        <v>189</v>
      </c>
      <c r="H56" s="6" t="s">
        <v>190</v>
      </c>
      <c r="I56" s="6">
        <v>0</v>
      </c>
    </row>
    <row r="57" spans="1:9" ht="14.5" customHeight="1" x14ac:dyDescent="0.3">
      <c r="A57" s="1">
        <v>19</v>
      </c>
      <c r="B57" s="18" t="s">
        <v>426</v>
      </c>
      <c r="C57" s="18" t="s">
        <v>427</v>
      </c>
      <c r="D57" s="9">
        <v>1</v>
      </c>
      <c r="E57" s="6" t="s">
        <v>0</v>
      </c>
      <c r="F57" s="6" t="s">
        <v>0</v>
      </c>
      <c r="G57" s="7" t="s">
        <v>191</v>
      </c>
      <c r="H57" s="6" t="s">
        <v>192</v>
      </c>
      <c r="I57" s="6" cm="1">
        <f t="array" ref="I57">_xlfn.SWITCH(טבלה3[[#This Row],[psych rating]], "High", 1, "Low", 1, "")</f>
        <v>1</v>
      </c>
    </row>
    <row r="58" spans="1:9" ht="14.5" customHeight="1" x14ac:dyDescent="0.3">
      <c r="A58" s="1">
        <v>19</v>
      </c>
      <c r="B58" s="18" t="s">
        <v>426</v>
      </c>
      <c r="C58" s="18" t="s">
        <v>427</v>
      </c>
      <c r="D58" s="9">
        <v>0</v>
      </c>
      <c r="E58" s="6" t="s">
        <v>0</v>
      </c>
      <c r="F58" s="6" t="s">
        <v>1</v>
      </c>
      <c r="G58" s="7" t="s">
        <v>193</v>
      </c>
      <c r="H58" s="6" t="s">
        <v>194</v>
      </c>
      <c r="I58" s="6">
        <v>1</v>
      </c>
    </row>
    <row r="59" spans="1:9" ht="14.5" customHeight="1" x14ac:dyDescent="0.3">
      <c r="A59" s="1">
        <v>20</v>
      </c>
      <c r="B59" s="17" t="s">
        <v>398</v>
      </c>
      <c r="C59" s="17" t="s">
        <v>399</v>
      </c>
      <c r="D59" s="9">
        <v>1</v>
      </c>
      <c r="E59" s="6" t="s">
        <v>1</v>
      </c>
      <c r="F59" s="6" t="s">
        <v>1</v>
      </c>
      <c r="G59" s="7" t="s">
        <v>107</v>
      </c>
      <c r="H59" s="6" t="s">
        <v>108</v>
      </c>
      <c r="I59" s="6">
        <v>1</v>
      </c>
    </row>
    <row r="60" spans="1:9" ht="14.5" customHeight="1" x14ac:dyDescent="0.3">
      <c r="A60" s="1">
        <v>20</v>
      </c>
      <c r="B60" s="17" t="s">
        <v>398</v>
      </c>
      <c r="C60" s="17" t="s">
        <v>399</v>
      </c>
      <c r="D60" s="9">
        <v>1</v>
      </c>
      <c r="E60" s="6" t="s">
        <v>1</v>
      </c>
      <c r="F60" s="6" t="s">
        <v>1</v>
      </c>
      <c r="G60" s="7" t="s">
        <v>484</v>
      </c>
      <c r="H60" s="6" t="s">
        <v>109</v>
      </c>
      <c r="I60" s="6">
        <v>1</v>
      </c>
    </row>
    <row r="61" spans="1:9" ht="14.5" customHeight="1" x14ac:dyDescent="0.3">
      <c r="A61" s="1">
        <v>20</v>
      </c>
      <c r="B61" s="17" t="s">
        <v>398</v>
      </c>
      <c r="C61" s="17" t="s">
        <v>399</v>
      </c>
      <c r="D61" s="9">
        <v>0</v>
      </c>
      <c r="E61" s="6" t="s">
        <v>1</v>
      </c>
      <c r="F61" s="6" t="s">
        <v>0</v>
      </c>
      <c r="G61" s="7" t="s">
        <v>110</v>
      </c>
      <c r="H61" s="6" t="s">
        <v>111</v>
      </c>
      <c r="I61" s="6" cm="1">
        <f t="array" ref="I61">_xlfn.SWITCH(טבלה3[[#This Row],[psych rating]], "High", 1, "Low", 1, "")</f>
        <v>1</v>
      </c>
    </row>
    <row r="62" spans="1:9" ht="14.5" customHeight="1" x14ac:dyDescent="0.3">
      <c r="A62" s="1">
        <v>21</v>
      </c>
      <c r="B62" s="17" t="s">
        <v>404</v>
      </c>
      <c r="C62" s="17" t="s">
        <v>405</v>
      </c>
      <c r="D62" s="9">
        <v>0</v>
      </c>
      <c r="E62" s="6" t="s">
        <v>5</v>
      </c>
      <c r="F62" s="6" t="s">
        <v>1</v>
      </c>
      <c r="G62" s="7" t="s">
        <v>123</v>
      </c>
      <c r="H62" s="6" t="s">
        <v>124</v>
      </c>
      <c r="I62" s="6">
        <v>0</v>
      </c>
    </row>
    <row r="63" spans="1:9" ht="14.5" customHeight="1" x14ac:dyDescent="0.3">
      <c r="A63" s="1">
        <v>21</v>
      </c>
      <c r="B63" s="17" t="s">
        <v>404</v>
      </c>
      <c r="C63" s="17" t="s">
        <v>405</v>
      </c>
      <c r="D63" s="9">
        <v>0</v>
      </c>
      <c r="E63" s="6" t="s">
        <v>5</v>
      </c>
      <c r="F63" s="6" t="s">
        <v>1</v>
      </c>
      <c r="G63" s="7" t="s">
        <v>125</v>
      </c>
      <c r="H63" s="6" t="s">
        <v>126</v>
      </c>
      <c r="I63" s="6">
        <v>1</v>
      </c>
    </row>
    <row r="64" spans="1:9" ht="14.5" customHeight="1" x14ac:dyDescent="0.3">
      <c r="A64" s="1">
        <v>21</v>
      </c>
      <c r="B64" s="17" t="s">
        <v>404</v>
      </c>
      <c r="C64" s="17" t="s">
        <v>405</v>
      </c>
      <c r="D64" s="9">
        <v>0</v>
      </c>
      <c r="E64" s="6" t="s">
        <v>5</v>
      </c>
      <c r="F64" s="6" t="s">
        <v>1</v>
      </c>
      <c r="G64" s="7" t="s">
        <v>127</v>
      </c>
      <c r="H64" s="6" t="s">
        <v>128</v>
      </c>
      <c r="I64" s="6">
        <v>1</v>
      </c>
    </row>
    <row r="65" spans="1:9" ht="14.5" customHeight="1" x14ac:dyDescent="0.3">
      <c r="A65" s="1">
        <v>22</v>
      </c>
      <c r="B65" s="17" t="s">
        <v>424</v>
      </c>
      <c r="C65" s="18" t="s">
        <v>425</v>
      </c>
      <c r="D65" s="9">
        <v>0</v>
      </c>
      <c r="E65" s="6" t="s">
        <v>5</v>
      </c>
      <c r="F65" s="6" t="s">
        <v>0</v>
      </c>
      <c r="G65" s="7" t="s">
        <v>183</v>
      </c>
      <c r="H65" s="6" t="s">
        <v>184</v>
      </c>
      <c r="I65" s="6" cm="1">
        <f t="array" ref="I65">_xlfn.SWITCH(טבלה3[[#This Row],[psych rating]], "High", 1, "Low", 1, "")</f>
        <v>1</v>
      </c>
    </row>
    <row r="66" spans="1:9" ht="14.5" customHeight="1" x14ac:dyDescent="0.3">
      <c r="A66" s="1">
        <v>22</v>
      </c>
      <c r="B66" s="17" t="s">
        <v>424</v>
      </c>
      <c r="C66" s="18" t="s">
        <v>425</v>
      </c>
      <c r="D66" s="9">
        <v>0</v>
      </c>
      <c r="E66" s="6" t="s">
        <v>5</v>
      </c>
      <c r="F66" s="6" t="s">
        <v>1</v>
      </c>
      <c r="G66" s="7" t="s">
        <v>185</v>
      </c>
      <c r="H66" s="6" t="s">
        <v>186</v>
      </c>
      <c r="I66" s="6">
        <v>1</v>
      </c>
    </row>
    <row r="67" spans="1:9" ht="14.5" customHeight="1" x14ac:dyDescent="0.3">
      <c r="A67" s="1">
        <v>22</v>
      </c>
      <c r="B67" s="17" t="s">
        <v>424</v>
      </c>
      <c r="C67" s="18" t="s">
        <v>425</v>
      </c>
      <c r="D67" s="9">
        <v>0</v>
      </c>
      <c r="E67" s="6" t="s">
        <v>5</v>
      </c>
      <c r="F67" s="6" t="s">
        <v>0</v>
      </c>
      <c r="G67" s="7" t="s">
        <v>187</v>
      </c>
      <c r="H67" s="6" t="s">
        <v>188</v>
      </c>
      <c r="I67" s="6" cm="1">
        <f t="array" ref="I67">_xlfn.SWITCH(טבלה3[[#This Row],[psych rating]], "High", 1, "Low", 1, "")</f>
        <v>1</v>
      </c>
    </row>
    <row r="68" spans="1:9" ht="14.5" customHeight="1" x14ac:dyDescent="0.3">
      <c r="A68" s="1">
        <v>23</v>
      </c>
      <c r="B68" s="17" t="s">
        <v>412</v>
      </c>
      <c r="C68" s="17" t="s">
        <v>413</v>
      </c>
      <c r="D68" s="9">
        <v>0</v>
      </c>
      <c r="E68" s="6" t="s">
        <v>1</v>
      </c>
      <c r="F68" s="6" t="s">
        <v>5</v>
      </c>
      <c r="G68" s="7" t="s">
        <v>147</v>
      </c>
      <c r="H68" s="6" t="s">
        <v>148</v>
      </c>
      <c r="I68" s="6" cm="1">
        <f t="array" ref="I68">_xlfn.SWITCH(טבלה3[[#This Row],[psych rating]], "High", 1, "Low", 1, "")</f>
        <v>1</v>
      </c>
    </row>
    <row r="69" spans="1:9" ht="14.5" customHeight="1" x14ac:dyDescent="0.3">
      <c r="A69" s="1">
        <v>23</v>
      </c>
      <c r="B69" s="17" t="s">
        <v>412</v>
      </c>
      <c r="C69" s="17" t="s">
        <v>413</v>
      </c>
      <c r="D69" s="9">
        <v>1</v>
      </c>
      <c r="E69" s="6" t="s">
        <v>1</v>
      </c>
      <c r="F69" s="6" t="s">
        <v>1</v>
      </c>
      <c r="G69" s="7" t="s">
        <v>149</v>
      </c>
      <c r="H69" s="6" t="s">
        <v>150</v>
      </c>
      <c r="I69" s="6">
        <v>1</v>
      </c>
    </row>
    <row r="70" spans="1:9" ht="14.5" customHeight="1" x14ac:dyDescent="0.3">
      <c r="A70" s="1">
        <v>23</v>
      </c>
      <c r="B70" s="17" t="s">
        <v>412</v>
      </c>
      <c r="C70" s="17" t="s">
        <v>413</v>
      </c>
      <c r="D70" s="9">
        <v>1</v>
      </c>
      <c r="E70" s="6" t="s">
        <v>1</v>
      </c>
      <c r="F70" s="6" t="s">
        <v>1</v>
      </c>
      <c r="G70" s="7" t="s">
        <v>151</v>
      </c>
      <c r="H70" s="6" t="s">
        <v>152</v>
      </c>
      <c r="I70" s="6">
        <v>1</v>
      </c>
    </row>
    <row r="71" spans="1:9" ht="14.5" customHeight="1" x14ac:dyDescent="0.3">
      <c r="A71" s="1">
        <v>24</v>
      </c>
      <c r="B71" s="17" t="s">
        <v>416</v>
      </c>
      <c r="C71" s="17" t="s">
        <v>417</v>
      </c>
      <c r="D71" s="9">
        <v>1</v>
      </c>
      <c r="E71" s="6" t="s">
        <v>1</v>
      </c>
      <c r="F71" s="6" t="s">
        <v>1</v>
      </c>
      <c r="G71" s="7" t="s">
        <v>159</v>
      </c>
      <c r="H71" s="6" t="s">
        <v>160</v>
      </c>
      <c r="I71" s="6">
        <v>0</v>
      </c>
    </row>
    <row r="72" spans="1:9" ht="14.5" customHeight="1" x14ac:dyDescent="0.3">
      <c r="A72" s="1">
        <v>24</v>
      </c>
      <c r="B72" s="17" t="s">
        <v>416</v>
      </c>
      <c r="C72" s="17" t="s">
        <v>417</v>
      </c>
      <c r="D72" s="9">
        <v>0</v>
      </c>
      <c r="E72" s="6" t="s">
        <v>1</v>
      </c>
      <c r="F72" s="6" t="s">
        <v>5</v>
      </c>
      <c r="G72" s="7" t="s">
        <v>161</v>
      </c>
      <c r="H72" s="6" t="s">
        <v>162</v>
      </c>
      <c r="I72" s="6" cm="1">
        <f t="array" ref="I72">_xlfn.SWITCH(טבלה3[[#This Row],[psych rating]], "High", 1, "Low", 1, "")</f>
        <v>1</v>
      </c>
    </row>
    <row r="73" spans="1:9" ht="14.5" customHeight="1" x14ac:dyDescent="0.3">
      <c r="A73" s="1">
        <v>24</v>
      </c>
      <c r="B73" s="17" t="s">
        <v>416</v>
      </c>
      <c r="C73" s="17" t="s">
        <v>417</v>
      </c>
      <c r="D73" s="9">
        <v>1</v>
      </c>
      <c r="E73" s="6" t="s">
        <v>1</v>
      </c>
      <c r="F73" s="6" t="s">
        <v>1</v>
      </c>
      <c r="G73" s="7" t="s">
        <v>163</v>
      </c>
      <c r="H73" s="6" t="s">
        <v>164</v>
      </c>
      <c r="I73" s="6">
        <v>1</v>
      </c>
    </row>
    <row r="74" spans="1:9" ht="14.5" customHeight="1" x14ac:dyDescent="0.3">
      <c r="A74" s="1">
        <v>25</v>
      </c>
      <c r="B74" s="17" t="s">
        <v>390</v>
      </c>
      <c r="C74" s="17" t="s">
        <v>391</v>
      </c>
      <c r="D74" s="9">
        <v>0</v>
      </c>
      <c r="E74" s="6" t="s">
        <v>0</v>
      </c>
      <c r="F74" s="6" t="s">
        <v>1</v>
      </c>
      <c r="G74" s="7" t="s">
        <v>85</v>
      </c>
      <c r="H74" s="6" t="s">
        <v>86</v>
      </c>
      <c r="I74" s="6">
        <v>1</v>
      </c>
    </row>
    <row r="75" spans="1:9" ht="14.5" customHeight="1" x14ac:dyDescent="0.3">
      <c r="A75" s="1">
        <v>25</v>
      </c>
      <c r="B75" s="17" t="s">
        <v>390</v>
      </c>
      <c r="C75" s="17" t="s">
        <v>391</v>
      </c>
      <c r="D75" s="9">
        <v>0</v>
      </c>
      <c r="E75" s="6" t="s">
        <v>0</v>
      </c>
      <c r="F75" s="6" t="s">
        <v>1</v>
      </c>
      <c r="G75" s="7" t="s">
        <v>1908</v>
      </c>
      <c r="H75" s="6" t="s">
        <v>87</v>
      </c>
      <c r="I75" s="6">
        <v>1</v>
      </c>
    </row>
    <row r="76" spans="1:9" ht="14.5" customHeight="1" x14ac:dyDescent="0.3">
      <c r="A76" s="1">
        <v>25</v>
      </c>
      <c r="B76" s="17" t="s">
        <v>390</v>
      </c>
      <c r="C76" s="17" t="s">
        <v>391</v>
      </c>
      <c r="D76" s="9">
        <v>0</v>
      </c>
      <c r="E76" s="6" t="s">
        <v>0</v>
      </c>
      <c r="F76" s="6" t="s">
        <v>1</v>
      </c>
      <c r="G76" s="7" t="s">
        <v>88</v>
      </c>
      <c r="H76" s="6" t="s">
        <v>89</v>
      </c>
      <c r="I76" s="6">
        <v>0</v>
      </c>
    </row>
    <row r="77" spans="1:9" ht="14.5" customHeight="1" x14ac:dyDescent="0.3">
      <c r="A77" s="1">
        <v>26</v>
      </c>
      <c r="B77" s="17" t="s">
        <v>418</v>
      </c>
      <c r="C77" s="17" t="s">
        <v>419</v>
      </c>
      <c r="D77" s="9">
        <v>0</v>
      </c>
      <c r="E77" s="6" t="s">
        <v>5</v>
      </c>
      <c r="F77" s="6" t="s">
        <v>0</v>
      </c>
      <c r="G77" s="7" t="s">
        <v>165</v>
      </c>
      <c r="H77" s="6" t="s">
        <v>166</v>
      </c>
      <c r="I77" s="6" cm="1">
        <f t="array" ref="I77">_xlfn.SWITCH(טבלה3[[#This Row],[psych rating]], "High", 1, "Low", 1, "")</f>
        <v>1</v>
      </c>
    </row>
    <row r="78" spans="1:9" ht="14.5" customHeight="1" x14ac:dyDescent="0.3">
      <c r="A78" s="1">
        <v>26</v>
      </c>
      <c r="B78" s="17" t="s">
        <v>418</v>
      </c>
      <c r="C78" s="17" t="s">
        <v>419</v>
      </c>
      <c r="D78" s="9">
        <v>0</v>
      </c>
      <c r="E78" s="6" t="s">
        <v>5</v>
      </c>
      <c r="F78" s="6" t="s">
        <v>1</v>
      </c>
      <c r="G78" s="7" t="s">
        <v>167</v>
      </c>
      <c r="H78" s="6" t="s">
        <v>168</v>
      </c>
      <c r="I78" s="6">
        <v>1</v>
      </c>
    </row>
    <row r="79" spans="1:9" ht="14.5" customHeight="1" x14ac:dyDescent="0.3">
      <c r="A79" s="1">
        <v>26</v>
      </c>
      <c r="B79" s="17" t="s">
        <v>418</v>
      </c>
      <c r="C79" s="17" t="s">
        <v>419</v>
      </c>
      <c r="D79" s="9">
        <v>0</v>
      </c>
      <c r="E79" s="6" t="s">
        <v>5</v>
      </c>
      <c r="F79" s="6" t="s">
        <v>1</v>
      </c>
      <c r="G79" s="7" t="s">
        <v>169</v>
      </c>
      <c r="H79" s="6" t="s">
        <v>170</v>
      </c>
      <c r="I79" s="6">
        <v>1</v>
      </c>
    </row>
    <row r="80" spans="1:9" ht="14.5" customHeight="1" x14ac:dyDescent="0.3">
      <c r="A80" s="1">
        <v>27</v>
      </c>
      <c r="B80" s="17" t="s">
        <v>364</v>
      </c>
      <c r="C80" s="17" t="s">
        <v>365</v>
      </c>
      <c r="D80" s="9">
        <v>0</v>
      </c>
      <c r="E80" s="43" t="s">
        <v>0</v>
      </c>
      <c r="F80" s="43" t="s">
        <v>1</v>
      </c>
      <c r="G80" s="47" t="s">
        <v>2</v>
      </c>
      <c r="H80" s="6" t="s">
        <v>31</v>
      </c>
      <c r="I80" s="6">
        <v>1</v>
      </c>
    </row>
    <row r="81" spans="1:9" ht="14.5" customHeight="1" x14ac:dyDescent="0.3">
      <c r="A81" s="1">
        <v>27</v>
      </c>
      <c r="B81" s="17" t="s">
        <v>364</v>
      </c>
      <c r="C81" s="17" t="s">
        <v>365</v>
      </c>
      <c r="D81" s="9">
        <v>1</v>
      </c>
      <c r="E81" s="43" t="s">
        <v>0</v>
      </c>
      <c r="F81" s="43" t="s">
        <v>0</v>
      </c>
      <c r="G81" s="47" t="s">
        <v>3</v>
      </c>
      <c r="H81" s="6" t="s">
        <v>32</v>
      </c>
      <c r="I81" s="6" cm="1">
        <f t="array" ref="I81">_xlfn.SWITCH(טבלה3[[#This Row],[psych rating]], "High", 1, "Low", 1, "")</f>
        <v>1</v>
      </c>
    </row>
    <row r="82" spans="1:9" ht="14.5" customHeight="1" x14ac:dyDescent="0.3">
      <c r="A82" s="1">
        <v>27</v>
      </c>
      <c r="B82" s="17" t="s">
        <v>364</v>
      </c>
      <c r="C82" s="17" t="s">
        <v>365</v>
      </c>
      <c r="D82" s="9">
        <v>0</v>
      </c>
      <c r="E82" s="43" t="s">
        <v>0</v>
      </c>
      <c r="F82" s="43" t="s">
        <v>1</v>
      </c>
      <c r="G82" s="47" t="s">
        <v>4</v>
      </c>
      <c r="H82" s="6" t="s">
        <v>33</v>
      </c>
      <c r="I82" s="6">
        <v>0</v>
      </c>
    </row>
    <row r="83" spans="1:9" ht="14.5" customHeight="1" x14ac:dyDescent="0.3">
      <c r="A83" s="1">
        <v>28</v>
      </c>
      <c r="B83" s="17" t="s">
        <v>396</v>
      </c>
      <c r="C83" s="17" t="s">
        <v>397</v>
      </c>
      <c r="D83" s="9">
        <v>1</v>
      </c>
      <c r="E83" s="6" t="s">
        <v>0</v>
      </c>
      <c r="F83" s="6" t="s">
        <v>0</v>
      </c>
      <c r="G83" s="7" t="s">
        <v>101</v>
      </c>
      <c r="H83" s="6" t="s">
        <v>102</v>
      </c>
      <c r="I83" s="6" cm="1">
        <f t="array" ref="I83">_xlfn.SWITCH(טבלה3[[#This Row],[psych rating]], "High", 1, "Low", 1, "")</f>
        <v>1</v>
      </c>
    </row>
    <row r="84" spans="1:9" ht="14.5" customHeight="1" x14ac:dyDescent="0.3">
      <c r="A84" s="1">
        <v>28</v>
      </c>
      <c r="B84" s="17" t="s">
        <v>396</v>
      </c>
      <c r="C84" s="17" t="s">
        <v>397</v>
      </c>
      <c r="D84" s="9">
        <v>0</v>
      </c>
      <c r="E84" s="6" t="s">
        <v>0</v>
      </c>
      <c r="F84" s="6" t="s">
        <v>1</v>
      </c>
      <c r="G84" s="7" t="s">
        <v>103</v>
      </c>
      <c r="H84" s="6" t="s">
        <v>104</v>
      </c>
      <c r="I84" s="6">
        <v>1</v>
      </c>
    </row>
    <row r="85" spans="1:9" ht="14.5" customHeight="1" x14ac:dyDescent="0.3">
      <c r="A85" s="1">
        <v>28</v>
      </c>
      <c r="B85" s="17" t="s">
        <v>396</v>
      </c>
      <c r="C85" s="17" t="s">
        <v>397</v>
      </c>
      <c r="D85" s="9">
        <v>0</v>
      </c>
      <c r="E85" s="6" t="s">
        <v>0</v>
      </c>
      <c r="F85" s="6" t="s">
        <v>1</v>
      </c>
      <c r="G85" s="7" t="s">
        <v>105</v>
      </c>
      <c r="H85" s="6" t="s">
        <v>106</v>
      </c>
      <c r="I85" s="6">
        <v>1</v>
      </c>
    </row>
    <row r="86" spans="1:9" ht="14.5" customHeight="1" x14ac:dyDescent="0.3">
      <c r="A86" s="1">
        <v>29</v>
      </c>
      <c r="B86" s="17" t="s">
        <v>406</v>
      </c>
      <c r="C86" s="17" t="s">
        <v>407</v>
      </c>
      <c r="D86" s="9">
        <v>1</v>
      </c>
      <c r="E86" s="6" t="s">
        <v>1</v>
      </c>
      <c r="F86" s="6" t="s">
        <v>1</v>
      </c>
      <c r="G86" s="7" t="s">
        <v>129</v>
      </c>
      <c r="H86" s="6" t="s">
        <v>130</v>
      </c>
      <c r="I86" s="6">
        <v>1</v>
      </c>
    </row>
    <row r="87" spans="1:9" ht="14.5" customHeight="1" x14ac:dyDescent="0.3">
      <c r="A87" s="1">
        <v>29</v>
      </c>
      <c r="B87" s="17" t="s">
        <v>406</v>
      </c>
      <c r="C87" s="17" t="s">
        <v>407</v>
      </c>
      <c r="D87" s="9">
        <v>1</v>
      </c>
      <c r="E87" s="6" t="s">
        <v>1</v>
      </c>
      <c r="F87" s="6" t="s">
        <v>1</v>
      </c>
      <c r="G87" s="7" t="s">
        <v>131</v>
      </c>
      <c r="H87" s="6" t="s">
        <v>132</v>
      </c>
      <c r="I87" s="6">
        <v>1</v>
      </c>
    </row>
    <row r="88" spans="1:9" ht="14.5" customHeight="1" x14ac:dyDescent="0.3">
      <c r="A88" s="1">
        <v>29</v>
      </c>
      <c r="B88" s="17" t="s">
        <v>406</v>
      </c>
      <c r="C88" s="17" t="s">
        <v>407</v>
      </c>
      <c r="D88" s="9">
        <v>1</v>
      </c>
      <c r="E88" s="6" t="s">
        <v>1</v>
      </c>
      <c r="F88" s="6" t="s">
        <v>1</v>
      </c>
      <c r="G88" s="7" t="s">
        <v>133</v>
      </c>
      <c r="H88" s="6" t="s">
        <v>134</v>
      </c>
      <c r="I88" s="6">
        <v>1</v>
      </c>
    </row>
    <row r="89" spans="1:9" ht="14.5" customHeight="1" x14ac:dyDescent="0.3">
      <c r="A89" s="1">
        <v>30</v>
      </c>
      <c r="B89" s="17" t="s">
        <v>400</v>
      </c>
      <c r="C89" s="17" t="s">
        <v>401</v>
      </c>
      <c r="D89" s="9">
        <v>0</v>
      </c>
      <c r="E89" s="6" t="s">
        <v>0</v>
      </c>
      <c r="F89" s="6" t="s">
        <v>1</v>
      </c>
      <c r="G89" s="7" t="s">
        <v>112</v>
      </c>
      <c r="H89" s="6" t="s">
        <v>113</v>
      </c>
      <c r="I89" s="6">
        <v>0</v>
      </c>
    </row>
    <row r="90" spans="1:9" ht="14.5" customHeight="1" x14ac:dyDescent="0.3">
      <c r="A90" s="1">
        <v>30</v>
      </c>
      <c r="B90" s="17" t="s">
        <v>400</v>
      </c>
      <c r="C90" s="17" t="s">
        <v>401</v>
      </c>
      <c r="D90" s="9">
        <v>0</v>
      </c>
      <c r="E90" s="6" t="s">
        <v>0</v>
      </c>
      <c r="F90" s="6" t="s">
        <v>5</v>
      </c>
      <c r="G90" s="7" t="s">
        <v>485</v>
      </c>
      <c r="H90" s="6" t="s">
        <v>114</v>
      </c>
      <c r="I90" s="6" cm="1">
        <f t="array" ref="I90">_xlfn.SWITCH(טבלה3[[#This Row],[psych rating]], "High", 1, "Low", 1, "")</f>
        <v>1</v>
      </c>
    </row>
    <row r="91" spans="1:9" ht="14.5" customHeight="1" x14ac:dyDescent="0.3">
      <c r="A91" s="1">
        <v>30</v>
      </c>
      <c r="B91" s="17" t="s">
        <v>400</v>
      </c>
      <c r="C91" s="17" t="s">
        <v>401</v>
      </c>
      <c r="D91" s="9">
        <v>0</v>
      </c>
      <c r="E91" s="6" t="s">
        <v>0</v>
      </c>
      <c r="F91" s="6" t="s">
        <v>1</v>
      </c>
      <c r="G91" s="7" t="s">
        <v>115</v>
      </c>
      <c r="H91" s="6" t="s">
        <v>116</v>
      </c>
      <c r="I91" s="6">
        <v>1</v>
      </c>
    </row>
    <row r="92" spans="1:9" ht="14.5" customHeight="1" x14ac:dyDescent="0.3">
      <c r="A92" s="1">
        <v>31</v>
      </c>
      <c r="B92" s="18" t="s">
        <v>420</v>
      </c>
      <c r="C92" s="18" t="s">
        <v>421</v>
      </c>
      <c r="D92" s="9">
        <v>0</v>
      </c>
      <c r="E92" s="6" t="s">
        <v>1</v>
      </c>
      <c r="F92" s="6" t="s">
        <v>0</v>
      </c>
      <c r="G92" s="7" t="s">
        <v>171</v>
      </c>
      <c r="H92" s="6" t="s">
        <v>172</v>
      </c>
      <c r="I92" s="6" cm="1">
        <f t="array" ref="I92">_xlfn.SWITCH(טבלה3[[#This Row],[psych rating]], "High", 1, "Low", 1, "")</f>
        <v>1</v>
      </c>
    </row>
    <row r="93" spans="1:9" ht="14.5" customHeight="1" x14ac:dyDescent="0.3">
      <c r="A93" s="1">
        <v>31</v>
      </c>
      <c r="B93" s="18" t="s">
        <v>420</v>
      </c>
      <c r="C93" s="18" t="s">
        <v>421</v>
      </c>
      <c r="D93" s="9">
        <v>1</v>
      </c>
      <c r="E93" s="6" t="s">
        <v>1</v>
      </c>
      <c r="F93" s="6" t="s">
        <v>1</v>
      </c>
      <c r="G93" s="7" t="s">
        <v>173</v>
      </c>
      <c r="H93" s="6" t="s">
        <v>174</v>
      </c>
      <c r="I93" s="6">
        <v>1</v>
      </c>
    </row>
    <row r="94" spans="1:9" ht="14.5" customHeight="1" x14ac:dyDescent="0.3">
      <c r="A94" s="1">
        <v>31</v>
      </c>
      <c r="B94" s="18" t="s">
        <v>420</v>
      </c>
      <c r="C94" s="18" t="s">
        <v>421</v>
      </c>
      <c r="D94" s="9">
        <v>0</v>
      </c>
      <c r="E94" s="6" t="s">
        <v>1</v>
      </c>
      <c r="F94" s="6" t="s">
        <v>5</v>
      </c>
      <c r="G94" s="7" t="s">
        <v>175</v>
      </c>
      <c r="H94" s="6" t="s">
        <v>176</v>
      </c>
      <c r="I94" s="6" cm="1">
        <f t="array" ref="I94">_xlfn.SWITCH(טבלה3[[#This Row],[psych rating]], "High", 1, "Low", 1, "")</f>
        <v>1</v>
      </c>
    </row>
    <row r="95" spans="1:9" ht="14.5" customHeight="1" x14ac:dyDescent="0.3">
      <c r="A95" s="1">
        <v>32</v>
      </c>
      <c r="B95" s="17" t="s">
        <v>428</v>
      </c>
      <c r="C95" s="17" t="s">
        <v>429</v>
      </c>
      <c r="D95" s="9">
        <v>0</v>
      </c>
      <c r="E95" s="6" t="s">
        <v>1</v>
      </c>
      <c r="F95" s="6" t="s">
        <v>0</v>
      </c>
      <c r="G95" s="7" t="s">
        <v>195</v>
      </c>
      <c r="H95" s="6" t="s">
        <v>196</v>
      </c>
      <c r="I95" s="6" cm="1">
        <f t="array" ref="I95">_xlfn.SWITCH(טבלה3[[#This Row],[psych rating]], "High", 1, "Low", 1, "")</f>
        <v>1</v>
      </c>
    </row>
    <row r="96" spans="1:9" ht="14.5" customHeight="1" x14ac:dyDescent="0.3">
      <c r="A96" s="1">
        <v>32</v>
      </c>
      <c r="B96" s="17" t="s">
        <v>428</v>
      </c>
      <c r="C96" s="17" t="s">
        <v>429</v>
      </c>
      <c r="D96" s="9">
        <v>0</v>
      </c>
      <c r="E96" s="6" t="s">
        <v>1</v>
      </c>
      <c r="F96" s="6" t="s">
        <v>5</v>
      </c>
      <c r="G96" s="7" t="s">
        <v>197</v>
      </c>
      <c r="H96" s="6" t="s">
        <v>198</v>
      </c>
      <c r="I96" s="6" cm="1">
        <f t="array" ref="I96">_xlfn.SWITCH(טבלה3[[#This Row],[psych rating]], "High", 1, "Low", 1, "")</f>
        <v>1</v>
      </c>
    </row>
    <row r="97" spans="1:9" ht="14.5" customHeight="1" x14ac:dyDescent="0.3">
      <c r="A97" s="1">
        <v>32</v>
      </c>
      <c r="B97" s="17" t="s">
        <v>428</v>
      </c>
      <c r="C97" s="17" t="s">
        <v>429</v>
      </c>
      <c r="D97" s="9">
        <v>1</v>
      </c>
      <c r="E97" s="6" t="s">
        <v>1</v>
      </c>
      <c r="F97" s="6" t="s">
        <v>1</v>
      </c>
      <c r="G97" s="7" t="s">
        <v>199</v>
      </c>
      <c r="H97" s="6" t="s">
        <v>200</v>
      </c>
      <c r="I97" s="6">
        <v>1</v>
      </c>
    </row>
    <row r="98" spans="1:9" ht="14.5" customHeight="1" x14ac:dyDescent="0.3">
      <c r="A98" s="1">
        <v>33</v>
      </c>
      <c r="B98" s="18" t="s">
        <v>422</v>
      </c>
      <c r="C98" s="18" t="s">
        <v>423</v>
      </c>
      <c r="D98" s="9">
        <v>0</v>
      </c>
      <c r="E98" s="6" t="s">
        <v>5</v>
      </c>
      <c r="F98" s="6" t="s">
        <v>0</v>
      </c>
      <c r="G98" s="7" t="s">
        <v>177</v>
      </c>
      <c r="H98" s="6" t="s">
        <v>178</v>
      </c>
      <c r="I98" s="6" cm="1">
        <f t="array" ref="I98">_xlfn.SWITCH(טבלה3[[#This Row],[psych rating]], "High", 1, "Low", 1, "")</f>
        <v>1</v>
      </c>
    </row>
    <row r="99" spans="1:9" ht="14.5" customHeight="1" x14ac:dyDescent="0.3">
      <c r="A99" s="1">
        <v>33</v>
      </c>
      <c r="B99" s="18" t="s">
        <v>422</v>
      </c>
      <c r="C99" s="18" t="s">
        <v>423</v>
      </c>
      <c r="D99" s="9">
        <v>0</v>
      </c>
      <c r="E99" s="6" t="s">
        <v>5</v>
      </c>
      <c r="F99" s="6" t="s">
        <v>1</v>
      </c>
      <c r="G99" s="7" t="s">
        <v>179</v>
      </c>
      <c r="H99" s="6" t="s">
        <v>180</v>
      </c>
      <c r="I99" s="6">
        <v>1</v>
      </c>
    </row>
    <row r="100" spans="1:9" ht="14.5" customHeight="1" x14ac:dyDescent="0.3">
      <c r="A100" s="1">
        <v>33</v>
      </c>
      <c r="B100" s="18" t="s">
        <v>422</v>
      </c>
      <c r="C100" s="18" t="s">
        <v>423</v>
      </c>
      <c r="D100" s="9">
        <v>0</v>
      </c>
      <c r="E100" s="6" t="s">
        <v>5</v>
      </c>
      <c r="F100" s="6" t="s">
        <v>0</v>
      </c>
      <c r="G100" s="7" t="s">
        <v>181</v>
      </c>
      <c r="H100" s="6" t="s">
        <v>182</v>
      </c>
      <c r="I100" s="6" cm="1">
        <f t="array" ref="I100">_xlfn.SWITCH(טבלה3[[#This Row],[psych rating]], "High", 1, "Low", 1, "")</f>
        <v>1</v>
      </c>
    </row>
    <row r="101" spans="1:9" ht="14.5" customHeight="1" x14ac:dyDescent="0.3">
      <c r="A101" s="1">
        <v>34</v>
      </c>
      <c r="B101" s="18" t="s">
        <v>430</v>
      </c>
      <c r="C101" s="18" t="s">
        <v>431</v>
      </c>
      <c r="D101" s="9">
        <v>1</v>
      </c>
      <c r="E101" s="6" t="s">
        <v>5</v>
      </c>
      <c r="F101" s="6" t="s">
        <v>5</v>
      </c>
      <c r="G101" s="7" t="s">
        <v>201</v>
      </c>
      <c r="H101" s="6" t="s">
        <v>202</v>
      </c>
      <c r="I101" s="6" cm="1">
        <f t="array" ref="I101">_xlfn.SWITCH(טבלה3[[#This Row],[psych rating]], "High", 1, "Low", 1, "")</f>
        <v>1</v>
      </c>
    </row>
    <row r="102" spans="1:9" ht="14.5" customHeight="1" x14ac:dyDescent="0.3">
      <c r="A102" s="1">
        <v>34</v>
      </c>
      <c r="B102" s="18" t="s">
        <v>430</v>
      </c>
      <c r="C102" s="18" t="s">
        <v>431</v>
      </c>
      <c r="D102" s="9">
        <v>0</v>
      </c>
      <c r="E102" s="6" t="s">
        <v>5</v>
      </c>
      <c r="F102" s="6" t="s">
        <v>1</v>
      </c>
      <c r="G102" s="7" t="s">
        <v>203</v>
      </c>
      <c r="H102" s="6" t="s">
        <v>204</v>
      </c>
      <c r="I102" s="6">
        <v>1</v>
      </c>
    </row>
    <row r="103" spans="1:9" ht="14.5" customHeight="1" x14ac:dyDescent="0.3">
      <c r="A103" s="1">
        <v>34</v>
      </c>
      <c r="B103" s="18" t="s">
        <v>430</v>
      </c>
      <c r="C103" s="18" t="s">
        <v>431</v>
      </c>
      <c r="D103" s="9">
        <v>0</v>
      </c>
      <c r="E103" s="6" t="s">
        <v>5</v>
      </c>
      <c r="F103" s="6" t="s">
        <v>0</v>
      </c>
      <c r="G103" s="7" t="s">
        <v>205</v>
      </c>
      <c r="H103" s="6" t="s">
        <v>206</v>
      </c>
      <c r="I103" s="6" cm="1">
        <f t="array" ref="I103">_xlfn.SWITCH(טבלה3[[#This Row],[psych rating]], "High", 1, "Low", 1, "")</f>
        <v>1</v>
      </c>
    </row>
    <row r="104" spans="1:9" ht="14.5" customHeight="1" x14ac:dyDescent="0.3">
      <c r="A104" s="1">
        <v>35</v>
      </c>
      <c r="B104" s="17" t="s">
        <v>432</v>
      </c>
      <c r="C104" s="17" t="s">
        <v>433</v>
      </c>
      <c r="D104" s="9">
        <v>0</v>
      </c>
      <c r="E104" s="6" t="s">
        <v>0</v>
      </c>
      <c r="F104" s="6" t="s">
        <v>1</v>
      </c>
      <c r="G104" s="7" t="s">
        <v>207</v>
      </c>
      <c r="H104" s="6" t="s">
        <v>208</v>
      </c>
      <c r="I104" s="6">
        <v>1</v>
      </c>
    </row>
    <row r="105" spans="1:9" ht="14.5" customHeight="1" x14ac:dyDescent="0.3">
      <c r="A105" s="1">
        <v>35</v>
      </c>
      <c r="B105" s="17" t="s">
        <v>432</v>
      </c>
      <c r="C105" s="17" t="s">
        <v>433</v>
      </c>
      <c r="D105" s="9">
        <v>1</v>
      </c>
      <c r="E105" s="6" t="s">
        <v>0</v>
      </c>
      <c r="F105" s="6" t="s">
        <v>0</v>
      </c>
      <c r="G105" s="7" t="s">
        <v>209</v>
      </c>
      <c r="H105" s="6" t="s">
        <v>210</v>
      </c>
      <c r="I105" s="6" cm="1">
        <f t="array" ref="I105">_xlfn.SWITCH(טבלה3[[#This Row],[psych rating]], "High", 1, "Low", 1, "")</f>
        <v>1</v>
      </c>
    </row>
    <row r="106" spans="1:9" ht="14.5" customHeight="1" x14ac:dyDescent="0.3">
      <c r="A106" s="1">
        <v>35</v>
      </c>
      <c r="B106" s="17" t="s">
        <v>432</v>
      </c>
      <c r="C106" s="17" t="s">
        <v>433</v>
      </c>
      <c r="D106" s="9">
        <v>1</v>
      </c>
      <c r="E106" s="6" t="s">
        <v>0</v>
      </c>
      <c r="F106" s="6" t="s">
        <v>0</v>
      </c>
      <c r="G106" s="7" t="s">
        <v>211</v>
      </c>
      <c r="H106" s="6" t="s">
        <v>212</v>
      </c>
      <c r="I106" s="6" cm="1">
        <f t="array" ref="I106">_xlfn.SWITCH(טבלה3[[#This Row],[psych rating]], "High", 1, "Low", 1, "")</f>
        <v>1</v>
      </c>
    </row>
    <row r="107" spans="1:9" ht="14.5" customHeight="1" x14ac:dyDescent="0.3">
      <c r="A107" s="1">
        <v>36</v>
      </c>
      <c r="B107" s="17" t="s">
        <v>434</v>
      </c>
      <c r="C107" s="17" t="s">
        <v>435</v>
      </c>
      <c r="D107" s="9">
        <v>0</v>
      </c>
      <c r="E107" s="6" t="s">
        <v>1</v>
      </c>
      <c r="F107" s="6" t="s">
        <v>0</v>
      </c>
      <c r="G107" s="7" t="s">
        <v>213</v>
      </c>
      <c r="H107" s="6" t="s">
        <v>214</v>
      </c>
      <c r="I107" s="6" cm="1">
        <f t="array" ref="I107">_xlfn.SWITCH(טבלה3[[#This Row],[psych rating]], "High", 1, "Low", 1, "")</f>
        <v>1</v>
      </c>
    </row>
    <row r="108" spans="1:9" ht="14.5" customHeight="1" x14ac:dyDescent="0.3">
      <c r="A108" s="1">
        <v>36</v>
      </c>
      <c r="B108" s="17" t="s">
        <v>434</v>
      </c>
      <c r="C108" s="17" t="s">
        <v>435</v>
      </c>
      <c r="D108" s="9">
        <v>0</v>
      </c>
      <c r="E108" s="6" t="s">
        <v>1</v>
      </c>
      <c r="F108" s="6" t="s">
        <v>0</v>
      </c>
      <c r="G108" s="7" t="s">
        <v>215</v>
      </c>
      <c r="H108" s="6" t="s">
        <v>216</v>
      </c>
      <c r="I108" s="6" cm="1">
        <f t="array" ref="I108">_xlfn.SWITCH(טבלה3[[#This Row],[psych rating]], "High", 1, "Low", 1, "")</f>
        <v>1</v>
      </c>
    </row>
    <row r="109" spans="1:9" ht="14.5" customHeight="1" x14ac:dyDescent="0.3">
      <c r="A109" s="1">
        <v>36</v>
      </c>
      <c r="B109" s="17" t="s">
        <v>434</v>
      </c>
      <c r="C109" s="17" t="s">
        <v>435</v>
      </c>
      <c r="D109" s="9">
        <v>0</v>
      </c>
      <c r="E109" s="6" t="s">
        <v>1</v>
      </c>
      <c r="F109" s="6" t="s">
        <v>0</v>
      </c>
      <c r="G109" s="7" t="s">
        <v>217</v>
      </c>
      <c r="H109" s="6" t="s">
        <v>218</v>
      </c>
      <c r="I109" s="6" cm="1">
        <f t="array" ref="I109">_xlfn.SWITCH(טבלה3[[#This Row],[psych rating]], "High", 1, "Low", 1, "")</f>
        <v>1</v>
      </c>
    </row>
    <row r="110" spans="1:9" ht="14.5" customHeight="1" x14ac:dyDescent="0.3">
      <c r="A110" s="1">
        <v>37</v>
      </c>
      <c r="B110" s="17" t="s">
        <v>436</v>
      </c>
      <c r="C110" s="17" t="s">
        <v>437</v>
      </c>
      <c r="D110" s="9">
        <v>1</v>
      </c>
      <c r="E110" s="6" t="s">
        <v>0</v>
      </c>
      <c r="F110" s="6" t="s">
        <v>0</v>
      </c>
      <c r="G110" s="7" t="s">
        <v>219</v>
      </c>
      <c r="H110" s="6" t="s">
        <v>220</v>
      </c>
      <c r="I110" s="6" cm="1">
        <f t="array" ref="I110">_xlfn.SWITCH(טבלה3[[#This Row],[psych rating]], "High", 1, "Low", 1, "")</f>
        <v>1</v>
      </c>
    </row>
    <row r="111" spans="1:9" ht="14.5" customHeight="1" x14ac:dyDescent="0.3">
      <c r="A111" s="1">
        <v>37</v>
      </c>
      <c r="B111" s="17" t="s">
        <v>436</v>
      </c>
      <c r="C111" s="17" t="s">
        <v>437</v>
      </c>
      <c r="D111" s="9">
        <v>0</v>
      </c>
      <c r="E111" s="6" t="s">
        <v>0</v>
      </c>
      <c r="F111" s="6" t="s">
        <v>1</v>
      </c>
      <c r="G111" s="7" t="s">
        <v>221</v>
      </c>
      <c r="H111" s="6" t="s">
        <v>222</v>
      </c>
      <c r="I111" s="6">
        <v>0</v>
      </c>
    </row>
    <row r="112" spans="1:9" ht="14.5" customHeight="1" x14ac:dyDescent="0.3">
      <c r="A112" s="1">
        <v>37</v>
      </c>
      <c r="B112" s="17" t="s">
        <v>436</v>
      </c>
      <c r="C112" s="17" t="s">
        <v>437</v>
      </c>
      <c r="D112" s="9">
        <v>0</v>
      </c>
      <c r="E112" s="6" t="s">
        <v>0</v>
      </c>
      <c r="F112" s="6" t="s">
        <v>1</v>
      </c>
      <c r="G112" s="7" t="s">
        <v>223</v>
      </c>
      <c r="H112" s="6" t="s">
        <v>224</v>
      </c>
      <c r="I112" s="6">
        <v>1</v>
      </c>
    </row>
    <row r="113" spans="1:9" ht="14.5" customHeight="1" x14ac:dyDescent="0.3">
      <c r="A113" s="1">
        <v>38</v>
      </c>
      <c r="B113" s="17" t="s">
        <v>438</v>
      </c>
      <c r="C113" s="17" t="s">
        <v>439</v>
      </c>
      <c r="D113" s="9">
        <v>1</v>
      </c>
      <c r="E113" s="6" t="s">
        <v>0</v>
      </c>
      <c r="F113" s="6" t="s">
        <v>0</v>
      </c>
      <c r="G113" s="7" t="s">
        <v>225</v>
      </c>
      <c r="H113" s="6" t="s">
        <v>226</v>
      </c>
      <c r="I113" s="6" cm="1">
        <f t="array" ref="I113">_xlfn.SWITCH(טבלה3[[#This Row],[psych rating]], "High", 1, "Low", 1, "")</f>
        <v>1</v>
      </c>
    </row>
    <row r="114" spans="1:9" ht="14.5" customHeight="1" x14ac:dyDescent="0.3">
      <c r="A114" s="1">
        <v>38</v>
      </c>
      <c r="B114" s="17" t="s">
        <v>438</v>
      </c>
      <c r="C114" s="17" t="s">
        <v>439</v>
      </c>
      <c r="D114" s="9">
        <v>0</v>
      </c>
      <c r="E114" s="6" t="s">
        <v>0</v>
      </c>
      <c r="F114" s="6" t="s">
        <v>5</v>
      </c>
      <c r="G114" s="7" t="s">
        <v>227</v>
      </c>
      <c r="H114" s="6" t="s">
        <v>228</v>
      </c>
      <c r="I114" s="6" cm="1">
        <f t="array" ref="I114">_xlfn.SWITCH(טבלה3[[#This Row],[psych rating]], "High", 1, "Low", 1, "")</f>
        <v>1</v>
      </c>
    </row>
    <row r="115" spans="1:9" ht="14.5" customHeight="1" x14ac:dyDescent="0.3">
      <c r="A115" s="1">
        <v>38</v>
      </c>
      <c r="B115" s="17" t="s">
        <v>438</v>
      </c>
      <c r="C115" s="17" t="s">
        <v>439</v>
      </c>
      <c r="D115" s="9">
        <v>0</v>
      </c>
      <c r="E115" s="6" t="s">
        <v>0</v>
      </c>
      <c r="F115" s="6" t="s">
        <v>5</v>
      </c>
      <c r="G115" s="7" t="s">
        <v>229</v>
      </c>
      <c r="H115" s="6" t="s">
        <v>230</v>
      </c>
      <c r="I115" s="6" cm="1">
        <f t="array" ref="I115">_xlfn.SWITCH(טבלה3[[#This Row],[psych rating]], "High", 1, "Low", 1, "")</f>
        <v>1</v>
      </c>
    </row>
    <row r="116" spans="1:9" ht="14.5" customHeight="1" x14ac:dyDescent="0.3">
      <c r="A116" s="1">
        <v>39</v>
      </c>
      <c r="B116" s="17" t="s">
        <v>440</v>
      </c>
      <c r="C116" s="17" t="s">
        <v>441</v>
      </c>
      <c r="D116" s="9">
        <v>0</v>
      </c>
      <c r="E116" s="6" t="s">
        <v>1</v>
      </c>
      <c r="F116" s="6" t="s">
        <v>0</v>
      </c>
      <c r="G116" s="7" t="s">
        <v>231</v>
      </c>
      <c r="H116" s="6" t="s">
        <v>232</v>
      </c>
      <c r="I116" s="6" cm="1">
        <f t="array" ref="I116">_xlfn.SWITCH(טבלה3[[#This Row],[psych rating]], "High", 1, "Low", 1, "")</f>
        <v>1</v>
      </c>
    </row>
    <row r="117" spans="1:9" ht="14.5" customHeight="1" x14ac:dyDescent="0.3">
      <c r="A117" s="1">
        <v>39</v>
      </c>
      <c r="B117" s="17" t="s">
        <v>440</v>
      </c>
      <c r="C117" s="17" t="s">
        <v>441</v>
      </c>
      <c r="D117" s="9">
        <v>0</v>
      </c>
      <c r="E117" s="6" t="s">
        <v>1</v>
      </c>
      <c r="F117" s="6" t="s">
        <v>0</v>
      </c>
      <c r="G117" s="7" t="s">
        <v>233</v>
      </c>
      <c r="H117" s="6" t="s">
        <v>234</v>
      </c>
      <c r="I117" s="6" cm="1">
        <f t="array" ref="I117">_xlfn.SWITCH(טבלה3[[#This Row],[psych rating]], "High", 1, "Low", 1, "")</f>
        <v>1</v>
      </c>
    </row>
    <row r="118" spans="1:9" ht="14.5" customHeight="1" x14ac:dyDescent="0.3">
      <c r="A118" s="1">
        <v>39</v>
      </c>
      <c r="B118" s="17" t="s">
        <v>440</v>
      </c>
      <c r="C118" s="17" t="s">
        <v>441</v>
      </c>
      <c r="D118" s="9">
        <v>0</v>
      </c>
      <c r="E118" s="6" t="s">
        <v>1</v>
      </c>
      <c r="F118" s="6" t="s">
        <v>0</v>
      </c>
      <c r="G118" s="7" t="s">
        <v>235</v>
      </c>
      <c r="H118" s="6" t="s">
        <v>236</v>
      </c>
      <c r="I118" s="6" cm="1">
        <f t="array" ref="I118">_xlfn.SWITCH(טבלה3[[#This Row],[psych rating]], "High", 1, "Low", 1, "")</f>
        <v>1</v>
      </c>
    </row>
    <row r="119" spans="1:9" ht="14.5" customHeight="1" x14ac:dyDescent="0.3">
      <c r="A119" s="1">
        <v>40</v>
      </c>
      <c r="B119" s="17" t="s">
        <v>452</v>
      </c>
      <c r="C119" s="17" t="s">
        <v>453</v>
      </c>
      <c r="D119" s="9">
        <v>0</v>
      </c>
      <c r="E119" s="6" t="s">
        <v>5</v>
      </c>
      <c r="F119" s="6" t="s">
        <v>1</v>
      </c>
      <c r="G119" s="7" t="s">
        <v>267</v>
      </c>
      <c r="H119" s="6" t="s">
        <v>268</v>
      </c>
      <c r="I119" s="6">
        <v>1</v>
      </c>
    </row>
    <row r="120" spans="1:9" ht="14.5" customHeight="1" x14ac:dyDescent="0.3">
      <c r="A120" s="1">
        <v>40</v>
      </c>
      <c r="B120" s="17" t="s">
        <v>452</v>
      </c>
      <c r="C120" s="17" t="s">
        <v>453</v>
      </c>
      <c r="D120" s="9">
        <v>1</v>
      </c>
      <c r="E120" s="6" t="s">
        <v>5</v>
      </c>
      <c r="F120" s="6" t="s">
        <v>5</v>
      </c>
      <c r="G120" s="7" t="s">
        <v>269</v>
      </c>
      <c r="H120" s="6" t="s">
        <v>270</v>
      </c>
      <c r="I120" s="6" cm="1">
        <f t="array" ref="I120">_xlfn.SWITCH(טבלה3[[#This Row],[psych rating]], "High", 1, "Low", 1, "")</f>
        <v>1</v>
      </c>
    </row>
    <row r="121" spans="1:9" ht="14.5" customHeight="1" x14ac:dyDescent="0.3">
      <c r="A121" s="1">
        <v>40</v>
      </c>
      <c r="B121" s="17" t="s">
        <v>452</v>
      </c>
      <c r="C121" s="17" t="s">
        <v>453</v>
      </c>
      <c r="D121" s="9">
        <v>1</v>
      </c>
      <c r="E121" s="6" t="s">
        <v>5</v>
      </c>
      <c r="F121" s="6" t="s">
        <v>5</v>
      </c>
      <c r="G121" s="7" t="s">
        <v>271</v>
      </c>
      <c r="H121" s="6" t="s">
        <v>272</v>
      </c>
      <c r="I121" s="6" cm="1">
        <f t="array" ref="I121">_xlfn.SWITCH(טבלה3[[#This Row],[psych rating]], "High", 1, "Low", 1, "")</f>
        <v>1</v>
      </c>
    </row>
    <row r="122" spans="1:9" ht="14.5" customHeight="1" x14ac:dyDescent="0.3">
      <c r="A122" s="1">
        <v>41</v>
      </c>
      <c r="B122" s="17" t="s">
        <v>442</v>
      </c>
      <c r="C122" s="17" t="s">
        <v>443</v>
      </c>
      <c r="D122" s="9">
        <v>0</v>
      </c>
      <c r="E122" s="6" t="s">
        <v>5</v>
      </c>
      <c r="F122" s="6" t="s">
        <v>1</v>
      </c>
      <c r="G122" s="7" t="s">
        <v>237</v>
      </c>
      <c r="H122" s="6" t="s">
        <v>238</v>
      </c>
      <c r="I122" s="6">
        <v>0</v>
      </c>
    </row>
    <row r="123" spans="1:9" ht="14.5" customHeight="1" x14ac:dyDescent="0.3">
      <c r="A123" s="1">
        <v>41</v>
      </c>
      <c r="B123" s="17" t="s">
        <v>442</v>
      </c>
      <c r="C123" s="17" t="s">
        <v>443</v>
      </c>
      <c r="D123" s="9">
        <v>0</v>
      </c>
      <c r="E123" s="6" t="s">
        <v>5</v>
      </c>
      <c r="F123" s="6" t="s">
        <v>1</v>
      </c>
      <c r="G123" s="7" t="s">
        <v>239</v>
      </c>
      <c r="H123" s="6" t="s">
        <v>240</v>
      </c>
      <c r="I123" s="6">
        <v>0</v>
      </c>
    </row>
    <row r="124" spans="1:9" ht="14.5" customHeight="1" x14ac:dyDescent="0.3">
      <c r="A124" s="1">
        <v>41</v>
      </c>
      <c r="B124" s="17" t="s">
        <v>442</v>
      </c>
      <c r="C124" s="17" t="s">
        <v>443</v>
      </c>
      <c r="D124" s="9">
        <v>0</v>
      </c>
      <c r="E124" s="6" t="s">
        <v>5</v>
      </c>
      <c r="F124" s="6" t="s">
        <v>1</v>
      </c>
      <c r="G124" s="7" t="s">
        <v>241</v>
      </c>
      <c r="H124" s="6" t="s">
        <v>242</v>
      </c>
      <c r="I124" s="6">
        <v>1</v>
      </c>
    </row>
    <row r="125" spans="1:9" ht="14.5" customHeight="1" x14ac:dyDescent="0.3">
      <c r="A125" s="1">
        <v>42</v>
      </c>
      <c r="B125" s="17" t="s">
        <v>446</v>
      </c>
      <c r="C125" s="17" t="s">
        <v>447</v>
      </c>
      <c r="D125" s="9">
        <v>0</v>
      </c>
      <c r="E125" s="6" t="s">
        <v>5</v>
      </c>
      <c r="F125" s="6" t="s">
        <v>0</v>
      </c>
      <c r="G125" s="7" t="s">
        <v>249</v>
      </c>
      <c r="H125" s="6" t="s">
        <v>250</v>
      </c>
      <c r="I125" s="6" cm="1">
        <f t="array" ref="I125">_xlfn.SWITCH(טבלה3[[#This Row],[psych rating]], "High", 1, "Low", 1, "")</f>
        <v>1</v>
      </c>
    </row>
    <row r="126" spans="1:9" ht="14.5" customHeight="1" x14ac:dyDescent="0.3">
      <c r="A126" s="1">
        <v>42</v>
      </c>
      <c r="B126" s="17" t="s">
        <v>446</v>
      </c>
      <c r="C126" s="17" t="s">
        <v>447</v>
      </c>
      <c r="D126" s="9">
        <v>0</v>
      </c>
      <c r="E126" s="6" t="s">
        <v>5</v>
      </c>
      <c r="F126" s="6" t="s">
        <v>1</v>
      </c>
      <c r="G126" s="7" t="s">
        <v>251</v>
      </c>
      <c r="H126" s="6" t="s">
        <v>252</v>
      </c>
      <c r="I126" s="6">
        <v>1</v>
      </c>
    </row>
    <row r="127" spans="1:9" ht="14.5" customHeight="1" x14ac:dyDescent="0.3">
      <c r="A127" s="1">
        <v>42</v>
      </c>
      <c r="B127" s="17" t="s">
        <v>446</v>
      </c>
      <c r="C127" s="17" t="s">
        <v>447</v>
      </c>
      <c r="D127" s="9">
        <v>0</v>
      </c>
      <c r="E127" s="6" t="s">
        <v>5</v>
      </c>
      <c r="F127" s="6" t="s">
        <v>1</v>
      </c>
      <c r="G127" s="7" t="s">
        <v>253</v>
      </c>
      <c r="H127" s="6" t="s">
        <v>254</v>
      </c>
      <c r="I127" s="6">
        <v>1</v>
      </c>
    </row>
    <row r="128" spans="1:9" ht="14.5" customHeight="1" x14ac:dyDescent="0.3">
      <c r="A128" s="1">
        <v>43</v>
      </c>
      <c r="B128" s="17" t="s">
        <v>448</v>
      </c>
      <c r="C128" s="17" t="s">
        <v>449</v>
      </c>
      <c r="D128" s="9">
        <v>1</v>
      </c>
      <c r="E128" s="6" t="s">
        <v>5</v>
      </c>
      <c r="F128" s="6" t="s">
        <v>5</v>
      </c>
      <c r="G128" s="7" t="s">
        <v>255</v>
      </c>
      <c r="H128" s="6" t="s">
        <v>256</v>
      </c>
      <c r="I128" s="6" cm="1">
        <f t="array" ref="I128">_xlfn.SWITCH(טבלה3[[#This Row],[psych rating]], "High", 1, "Low", 1, "")</f>
        <v>1</v>
      </c>
    </row>
    <row r="129" spans="1:9" ht="14.5" customHeight="1" x14ac:dyDescent="0.3">
      <c r="A129" s="1">
        <v>43</v>
      </c>
      <c r="B129" s="17" t="s">
        <v>448</v>
      </c>
      <c r="C129" s="17" t="s">
        <v>449</v>
      </c>
      <c r="D129" s="9">
        <v>0</v>
      </c>
      <c r="E129" s="6" t="s">
        <v>5</v>
      </c>
      <c r="F129" s="6" t="s">
        <v>0</v>
      </c>
      <c r="G129" s="7" t="s">
        <v>257</v>
      </c>
      <c r="H129" s="6" t="s">
        <v>258</v>
      </c>
      <c r="I129" s="6" cm="1">
        <f t="array" ref="I129">_xlfn.SWITCH(טבלה3[[#This Row],[psych rating]], "High", 1, "Low", 1, "")</f>
        <v>1</v>
      </c>
    </row>
    <row r="130" spans="1:9" ht="14.5" customHeight="1" x14ac:dyDescent="0.3">
      <c r="A130" s="1">
        <v>43</v>
      </c>
      <c r="B130" s="17" t="s">
        <v>448</v>
      </c>
      <c r="C130" s="17" t="s">
        <v>449</v>
      </c>
      <c r="D130" s="9">
        <v>0</v>
      </c>
      <c r="E130" s="6" t="s">
        <v>5</v>
      </c>
      <c r="F130" s="6" t="s">
        <v>0</v>
      </c>
      <c r="G130" s="7" t="s">
        <v>259</v>
      </c>
      <c r="H130" s="6" t="s">
        <v>260</v>
      </c>
      <c r="I130" s="6" cm="1">
        <f t="array" ref="I130">_xlfn.SWITCH(טבלה3[[#This Row],[psych rating]], "High", 1, "Low", 1, "")</f>
        <v>1</v>
      </c>
    </row>
    <row r="131" spans="1:9" ht="14.5" customHeight="1" x14ac:dyDescent="0.3">
      <c r="A131" s="1">
        <v>44</v>
      </c>
      <c r="B131" s="17" t="s">
        <v>444</v>
      </c>
      <c r="C131" s="17" t="s">
        <v>445</v>
      </c>
      <c r="D131" s="9">
        <v>0</v>
      </c>
      <c r="E131" s="6" t="s">
        <v>1</v>
      </c>
      <c r="F131" s="6" t="s">
        <v>5</v>
      </c>
      <c r="G131" s="7" t="s">
        <v>243</v>
      </c>
      <c r="H131" s="6" t="s">
        <v>244</v>
      </c>
      <c r="I131" s="6" cm="1">
        <f t="array" ref="I131">_xlfn.SWITCH(טבלה3[[#This Row],[psych rating]], "High", 1, "Low", 1, "")</f>
        <v>1</v>
      </c>
    </row>
    <row r="132" spans="1:9" ht="14.5" customHeight="1" x14ac:dyDescent="0.3">
      <c r="A132" s="1">
        <v>44</v>
      </c>
      <c r="B132" s="17" t="s">
        <v>444</v>
      </c>
      <c r="C132" s="17" t="s">
        <v>445</v>
      </c>
      <c r="D132" s="9">
        <v>0</v>
      </c>
      <c r="E132" s="6" t="s">
        <v>1</v>
      </c>
      <c r="F132" s="6" t="s">
        <v>5</v>
      </c>
      <c r="G132" s="7" t="s">
        <v>245</v>
      </c>
      <c r="H132" s="6" t="s">
        <v>246</v>
      </c>
      <c r="I132" s="6" cm="1">
        <f t="array" ref="I132">_xlfn.SWITCH(טבלה3[[#This Row],[psych rating]], "High", 1, "Low", 1, "")</f>
        <v>1</v>
      </c>
    </row>
    <row r="133" spans="1:9" ht="14.5" customHeight="1" x14ac:dyDescent="0.3">
      <c r="A133" s="1">
        <v>44</v>
      </c>
      <c r="B133" s="17" t="s">
        <v>444</v>
      </c>
      <c r="C133" s="17" t="s">
        <v>445</v>
      </c>
      <c r="D133" s="9">
        <v>1</v>
      </c>
      <c r="E133" s="6" t="s">
        <v>1</v>
      </c>
      <c r="F133" s="6" t="s">
        <v>1</v>
      </c>
      <c r="G133" s="7" t="s">
        <v>247</v>
      </c>
      <c r="H133" s="6" t="s">
        <v>248</v>
      </c>
      <c r="I133" s="6">
        <v>1</v>
      </c>
    </row>
    <row r="134" spans="1:9" ht="14.5" customHeight="1" x14ac:dyDescent="0.3">
      <c r="A134" s="1">
        <v>45</v>
      </c>
      <c r="B134" s="17" t="s">
        <v>456</v>
      </c>
      <c r="C134" s="18" t="s">
        <v>457</v>
      </c>
      <c r="D134" s="9">
        <v>0</v>
      </c>
      <c r="E134" s="6" t="s">
        <v>0</v>
      </c>
      <c r="F134" s="6" t="s">
        <v>1</v>
      </c>
      <c r="G134" s="7" t="s">
        <v>278</v>
      </c>
      <c r="H134" s="6" t="s">
        <v>279</v>
      </c>
      <c r="I134" s="6">
        <v>1</v>
      </c>
    </row>
    <row r="135" spans="1:9" ht="14.5" customHeight="1" x14ac:dyDescent="0.3">
      <c r="A135" s="1">
        <v>45</v>
      </c>
      <c r="B135" s="17" t="s">
        <v>456</v>
      </c>
      <c r="C135" s="18" t="s">
        <v>457</v>
      </c>
      <c r="D135" s="9">
        <v>0</v>
      </c>
      <c r="E135" s="6" t="s">
        <v>0</v>
      </c>
      <c r="F135" s="6" t="s">
        <v>5</v>
      </c>
      <c r="G135" s="7" t="s">
        <v>280</v>
      </c>
      <c r="H135" s="6" t="s">
        <v>281</v>
      </c>
      <c r="I135" s="6" cm="1">
        <f t="array" ref="I135">_xlfn.SWITCH(טבלה3[[#This Row],[psych rating]], "High", 1, "Low", 1, "")</f>
        <v>1</v>
      </c>
    </row>
    <row r="136" spans="1:9" ht="14.5" customHeight="1" x14ac:dyDescent="0.3">
      <c r="A136" s="1">
        <v>45</v>
      </c>
      <c r="B136" s="17" t="s">
        <v>456</v>
      </c>
      <c r="C136" s="18" t="s">
        <v>457</v>
      </c>
      <c r="D136" s="9">
        <v>0</v>
      </c>
      <c r="E136" s="6" t="s">
        <v>0</v>
      </c>
      <c r="F136" s="6" t="s">
        <v>1</v>
      </c>
      <c r="G136" s="7" t="s">
        <v>282</v>
      </c>
      <c r="H136" s="6" t="s">
        <v>283</v>
      </c>
      <c r="I136" s="6">
        <v>1</v>
      </c>
    </row>
    <row r="137" spans="1:9" ht="14.5" customHeight="1" x14ac:dyDescent="0.3">
      <c r="A137" s="1">
        <v>46</v>
      </c>
      <c r="B137" s="17" t="s">
        <v>450</v>
      </c>
      <c r="C137" s="17" t="s">
        <v>451</v>
      </c>
      <c r="D137" s="9">
        <v>0</v>
      </c>
      <c r="E137" s="6" t="s">
        <v>0</v>
      </c>
      <c r="F137" s="6" t="s">
        <v>5</v>
      </c>
      <c r="G137" s="7" t="s">
        <v>261</v>
      </c>
      <c r="H137" s="6" t="s">
        <v>262</v>
      </c>
      <c r="I137" s="6" cm="1">
        <f t="array" ref="I137">_xlfn.SWITCH(טבלה3[[#This Row],[psych rating]], "High", 1, "Low", 1, "")</f>
        <v>1</v>
      </c>
    </row>
    <row r="138" spans="1:9" ht="14.5" customHeight="1" x14ac:dyDescent="0.3">
      <c r="A138" s="1">
        <v>46</v>
      </c>
      <c r="B138" s="17" t="s">
        <v>450</v>
      </c>
      <c r="C138" s="17" t="s">
        <v>451</v>
      </c>
      <c r="D138" s="9">
        <v>1</v>
      </c>
      <c r="E138" s="6" t="s">
        <v>0</v>
      </c>
      <c r="F138" s="6" t="s">
        <v>0</v>
      </c>
      <c r="G138" s="7" t="s">
        <v>263</v>
      </c>
      <c r="H138" s="6" t="s">
        <v>264</v>
      </c>
      <c r="I138" s="6" cm="1">
        <f t="array" ref="I138">_xlfn.SWITCH(טבלה3[[#This Row],[psych rating]], "High", 1, "Low", 1, "")</f>
        <v>1</v>
      </c>
    </row>
    <row r="139" spans="1:9" ht="14.5" customHeight="1" x14ac:dyDescent="0.3">
      <c r="A139" s="1">
        <v>46</v>
      </c>
      <c r="B139" s="17" t="s">
        <v>450</v>
      </c>
      <c r="C139" s="17" t="s">
        <v>451</v>
      </c>
      <c r="D139" s="9">
        <v>0</v>
      </c>
      <c r="E139" s="6" t="s">
        <v>0</v>
      </c>
      <c r="F139" s="6" t="s">
        <v>1</v>
      </c>
      <c r="G139" s="7" t="s">
        <v>265</v>
      </c>
      <c r="H139" s="6" t="s">
        <v>266</v>
      </c>
      <c r="I139" s="6">
        <v>1</v>
      </c>
    </row>
    <row r="140" spans="1:9" ht="14.5" customHeight="1" x14ac:dyDescent="0.3">
      <c r="A140" s="1">
        <v>47</v>
      </c>
      <c r="B140" s="17" t="s">
        <v>454</v>
      </c>
      <c r="C140" s="17" t="s">
        <v>455</v>
      </c>
      <c r="D140" s="9">
        <v>1</v>
      </c>
      <c r="E140" s="6" t="s">
        <v>0</v>
      </c>
      <c r="F140" s="6" t="s">
        <v>0</v>
      </c>
      <c r="G140" s="7" t="s">
        <v>273</v>
      </c>
      <c r="H140" s="6" t="s">
        <v>274</v>
      </c>
      <c r="I140" s="6" cm="1">
        <f t="array" ref="I140">_xlfn.SWITCH(טבלה3[[#This Row],[psych rating]], "High", 1, "Low", 1, "")</f>
        <v>1</v>
      </c>
    </row>
    <row r="141" spans="1:9" ht="14.5" customHeight="1" x14ac:dyDescent="0.3">
      <c r="A141" s="1">
        <v>47</v>
      </c>
      <c r="B141" s="17" t="s">
        <v>454</v>
      </c>
      <c r="C141" s="17" t="s">
        <v>455</v>
      </c>
      <c r="D141" s="9">
        <v>1</v>
      </c>
      <c r="E141" s="6" t="s">
        <v>0</v>
      </c>
      <c r="F141" s="6" t="s">
        <v>0</v>
      </c>
      <c r="G141" s="7" t="s">
        <v>486</v>
      </c>
      <c r="H141" s="6" t="s">
        <v>275</v>
      </c>
      <c r="I141" s="6" cm="1">
        <f t="array" ref="I141">_xlfn.SWITCH(טבלה3[[#This Row],[psych rating]], "High", 1, "Low", 1, "")</f>
        <v>1</v>
      </c>
    </row>
    <row r="142" spans="1:9" ht="14.5" customHeight="1" x14ac:dyDescent="0.3">
      <c r="A142" s="1">
        <v>47</v>
      </c>
      <c r="B142" s="17" t="s">
        <v>454</v>
      </c>
      <c r="C142" s="17" t="s">
        <v>455</v>
      </c>
      <c r="D142" s="9">
        <v>1</v>
      </c>
      <c r="E142" s="6" t="s">
        <v>0</v>
      </c>
      <c r="F142" s="6" t="s">
        <v>0</v>
      </c>
      <c r="G142" s="7" t="s">
        <v>276</v>
      </c>
      <c r="H142" s="6" t="s">
        <v>277</v>
      </c>
      <c r="I142" s="6" cm="1">
        <f t="array" ref="I142">_xlfn.SWITCH(טבלה3[[#This Row],[psych rating]], "High", 1, "Low", 1, "")</f>
        <v>1</v>
      </c>
    </row>
    <row r="143" spans="1:9" ht="14.5" customHeight="1" x14ac:dyDescent="0.3">
      <c r="A143" s="1">
        <v>48</v>
      </c>
      <c r="B143" s="17" t="s">
        <v>458</v>
      </c>
      <c r="C143" s="17" t="s">
        <v>459</v>
      </c>
      <c r="D143" s="9">
        <v>0</v>
      </c>
      <c r="E143" s="6" t="s">
        <v>1</v>
      </c>
      <c r="F143" s="6" t="s">
        <v>0</v>
      </c>
      <c r="G143" s="7" t="s">
        <v>284</v>
      </c>
      <c r="H143" s="6" t="s">
        <v>285</v>
      </c>
      <c r="I143" s="6" cm="1">
        <f t="array" ref="I143">_xlfn.SWITCH(טבלה3[[#This Row],[psych rating]], "High", 1, "Low", 1, "")</f>
        <v>1</v>
      </c>
    </row>
    <row r="144" spans="1:9" ht="14.5" customHeight="1" x14ac:dyDescent="0.3">
      <c r="A144" s="1">
        <v>48</v>
      </c>
      <c r="B144" s="17" t="s">
        <v>458</v>
      </c>
      <c r="C144" s="17" t="s">
        <v>459</v>
      </c>
      <c r="D144" s="9">
        <v>1</v>
      </c>
      <c r="E144" s="6" t="s">
        <v>1</v>
      </c>
      <c r="F144" s="6" t="s">
        <v>1</v>
      </c>
      <c r="G144" s="7" t="s">
        <v>286</v>
      </c>
      <c r="H144" s="6" t="s">
        <v>287</v>
      </c>
      <c r="I144" s="6">
        <v>1</v>
      </c>
    </row>
    <row r="145" spans="1:9" ht="14.5" customHeight="1" x14ac:dyDescent="0.3">
      <c r="A145" s="1">
        <v>48</v>
      </c>
      <c r="B145" s="17" t="s">
        <v>458</v>
      </c>
      <c r="C145" s="17" t="s">
        <v>459</v>
      </c>
      <c r="D145" s="9">
        <v>1</v>
      </c>
      <c r="E145" s="6" t="s">
        <v>1</v>
      </c>
      <c r="F145" s="6" t="s">
        <v>1</v>
      </c>
      <c r="G145" s="7" t="s">
        <v>487</v>
      </c>
      <c r="H145" s="6" t="s">
        <v>288</v>
      </c>
      <c r="I145" s="6">
        <v>1</v>
      </c>
    </row>
    <row r="146" spans="1:9" ht="14.5" customHeight="1" x14ac:dyDescent="0.3">
      <c r="A146" s="1">
        <v>49</v>
      </c>
      <c r="B146" s="17" t="s">
        <v>460</v>
      </c>
      <c r="C146" s="17" t="s">
        <v>461</v>
      </c>
      <c r="D146" s="9">
        <v>0</v>
      </c>
      <c r="E146" s="6" t="s">
        <v>5</v>
      </c>
      <c r="F146" s="6" t="s">
        <v>1</v>
      </c>
      <c r="G146" s="7" t="s">
        <v>289</v>
      </c>
      <c r="H146" s="6" t="s">
        <v>290</v>
      </c>
      <c r="I146" s="6">
        <v>1</v>
      </c>
    </row>
    <row r="147" spans="1:9" ht="14.5" customHeight="1" x14ac:dyDescent="0.3">
      <c r="A147" s="1">
        <v>49</v>
      </c>
      <c r="B147" s="17" t="s">
        <v>460</v>
      </c>
      <c r="C147" s="17" t="s">
        <v>461</v>
      </c>
      <c r="D147" s="9">
        <v>1</v>
      </c>
      <c r="E147" s="6" t="s">
        <v>5</v>
      </c>
      <c r="F147" s="6" t="s">
        <v>5</v>
      </c>
      <c r="G147" s="7" t="s">
        <v>488</v>
      </c>
      <c r="H147" s="6" t="s">
        <v>291</v>
      </c>
      <c r="I147" s="6" cm="1">
        <f t="array" ref="I147">_xlfn.SWITCH(טבלה3[[#This Row],[psych rating]], "High", 1, "Low", 1, "")</f>
        <v>1</v>
      </c>
    </row>
    <row r="148" spans="1:9" ht="14.5" customHeight="1" x14ac:dyDescent="0.3">
      <c r="A148" s="1">
        <v>49</v>
      </c>
      <c r="B148" s="17" t="s">
        <v>460</v>
      </c>
      <c r="C148" s="17" t="s">
        <v>461</v>
      </c>
      <c r="D148" s="9">
        <v>1</v>
      </c>
      <c r="E148" s="6" t="s">
        <v>5</v>
      </c>
      <c r="F148" s="6" t="s">
        <v>5</v>
      </c>
      <c r="G148" s="7" t="s">
        <v>489</v>
      </c>
      <c r="H148" s="6" t="s">
        <v>292</v>
      </c>
      <c r="I148" s="6" cm="1">
        <f t="array" ref="I148">_xlfn.SWITCH(טבלה3[[#This Row],[psych rating]], "High", 1, "Low", 1, "")</f>
        <v>1</v>
      </c>
    </row>
    <row r="149" spans="1:9" ht="14.5" customHeight="1" x14ac:dyDescent="0.3">
      <c r="A149" s="1">
        <v>50</v>
      </c>
      <c r="B149" s="17" t="s">
        <v>462</v>
      </c>
      <c r="C149" s="17" t="s">
        <v>463</v>
      </c>
      <c r="D149" s="9">
        <v>0</v>
      </c>
      <c r="E149" s="6" t="s">
        <v>5</v>
      </c>
      <c r="F149" s="6" t="s">
        <v>0</v>
      </c>
      <c r="G149" s="7" t="s">
        <v>293</v>
      </c>
      <c r="H149" s="6" t="s">
        <v>294</v>
      </c>
      <c r="I149" s="6" cm="1">
        <f t="array" ref="I149">_xlfn.SWITCH(טבלה3[[#This Row],[psych rating]], "High", 1, "Low", 1, "")</f>
        <v>1</v>
      </c>
    </row>
    <row r="150" spans="1:9" ht="14.5" customHeight="1" x14ac:dyDescent="0.3">
      <c r="A150" s="1">
        <v>50</v>
      </c>
      <c r="B150" s="17" t="s">
        <v>462</v>
      </c>
      <c r="C150" s="17" t="s">
        <v>463</v>
      </c>
      <c r="D150" s="9">
        <v>0</v>
      </c>
      <c r="E150" s="6" t="s">
        <v>5</v>
      </c>
      <c r="F150" s="6" t="s">
        <v>0</v>
      </c>
      <c r="G150" s="7" t="s">
        <v>295</v>
      </c>
      <c r="H150" s="6" t="s">
        <v>296</v>
      </c>
      <c r="I150" s="6" cm="1">
        <f t="array" ref="I150">_xlfn.SWITCH(טבלה3[[#This Row],[psych rating]], "High", 1, "Low", 1, "")</f>
        <v>1</v>
      </c>
    </row>
    <row r="151" spans="1:9" ht="14.5" customHeight="1" x14ac:dyDescent="0.3">
      <c r="A151" s="1">
        <v>50</v>
      </c>
      <c r="B151" s="17" t="s">
        <v>462</v>
      </c>
      <c r="C151" s="17" t="s">
        <v>463</v>
      </c>
      <c r="D151" s="9">
        <v>0</v>
      </c>
      <c r="E151" s="6" t="s">
        <v>5</v>
      </c>
      <c r="F151" s="6" t="s">
        <v>0</v>
      </c>
      <c r="G151" s="7" t="s">
        <v>490</v>
      </c>
      <c r="H151" s="6" t="s">
        <v>297</v>
      </c>
      <c r="I151" s="6" cm="1">
        <f t="array" ref="I151">_xlfn.SWITCH(טבלה3[[#This Row],[psych rating]], "High", 1, "Low", 1, "")</f>
        <v>1</v>
      </c>
    </row>
    <row r="152" spans="1:9" ht="14.5" customHeight="1" x14ac:dyDescent="0.3">
      <c r="A152" s="1">
        <v>51</v>
      </c>
      <c r="B152" s="17" t="s">
        <v>464</v>
      </c>
      <c r="C152" s="17" t="s">
        <v>465</v>
      </c>
      <c r="D152" s="9">
        <v>1</v>
      </c>
      <c r="E152" s="6" t="s">
        <v>1</v>
      </c>
      <c r="F152" s="6" t="s">
        <v>1</v>
      </c>
      <c r="G152" s="7" t="s">
        <v>298</v>
      </c>
      <c r="H152" s="6" t="s">
        <v>299</v>
      </c>
      <c r="I152" s="6">
        <v>1</v>
      </c>
    </row>
    <row r="153" spans="1:9" ht="14.5" customHeight="1" x14ac:dyDescent="0.3">
      <c r="A153" s="1">
        <v>51</v>
      </c>
      <c r="B153" s="17" t="s">
        <v>464</v>
      </c>
      <c r="C153" s="17" t="s">
        <v>465</v>
      </c>
      <c r="D153" s="9">
        <v>0</v>
      </c>
      <c r="E153" s="6" t="s">
        <v>1</v>
      </c>
      <c r="F153" s="6" t="s">
        <v>5</v>
      </c>
      <c r="G153" s="7" t="s">
        <v>300</v>
      </c>
      <c r="H153" s="6" t="s">
        <v>301</v>
      </c>
      <c r="I153" s="6" cm="1">
        <f t="array" ref="I153">_xlfn.SWITCH(טבלה3[[#This Row],[psych rating]], "High", 1, "Low", 1, "")</f>
        <v>1</v>
      </c>
    </row>
    <row r="154" spans="1:9" ht="14.5" customHeight="1" x14ac:dyDescent="0.3">
      <c r="A154" s="1">
        <v>51</v>
      </c>
      <c r="B154" s="17" t="s">
        <v>464</v>
      </c>
      <c r="C154" s="17" t="s">
        <v>465</v>
      </c>
      <c r="D154" s="9">
        <v>1</v>
      </c>
      <c r="E154" s="6" t="s">
        <v>1</v>
      </c>
      <c r="F154" s="6" t="s">
        <v>1</v>
      </c>
      <c r="G154" s="7" t="s">
        <v>302</v>
      </c>
      <c r="H154" s="6" t="s">
        <v>303</v>
      </c>
      <c r="I154" s="6">
        <v>1</v>
      </c>
    </row>
    <row r="155" spans="1:9" ht="14.5" customHeight="1" x14ac:dyDescent="0.3">
      <c r="A155" s="1">
        <v>52</v>
      </c>
      <c r="B155" s="17" t="s">
        <v>466</v>
      </c>
      <c r="C155" s="17" t="s">
        <v>467</v>
      </c>
      <c r="D155" s="9">
        <v>0</v>
      </c>
      <c r="E155" s="6" t="s">
        <v>0</v>
      </c>
      <c r="F155" s="6" t="s">
        <v>1</v>
      </c>
      <c r="G155" s="7" t="s">
        <v>304</v>
      </c>
      <c r="H155" s="6" t="s">
        <v>305</v>
      </c>
      <c r="I155" s="6">
        <v>1</v>
      </c>
    </row>
    <row r="156" spans="1:9" ht="14.5" customHeight="1" x14ac:dyDescent="0.3">
      <c r="A156" s="1">
        <v>52</v>
      </c>
      <c r="B156" s="17" t="s">
        <v>466</v>
      </c>
      <c r="C156" s="17" t="s">
        <v>467</v>
      </c>
      <c r="D156" s="9">
        <v>1</v>
      </c>
      <c r="E156" s="6" t="s">
        <v>0</v>
      </c>
      <c r="F156" s="6" t="s">
        <v>0</v>
      </c>
      <c r="G156" s="7" t="s">
        <v>306</v>
      </c>
      <c r="H156" s="6" t="s">
        <v>307</v>
      </c>
      <c r="I156" s="6" cm="1">
        <f t="array" ref="I156">_xlfn.SWITCH(טבלה3[[#This Row],[psych rating]], "High", 1, "Low", 1, "")</f>
        <v>1</v>
      </c>
    </row>
    <row r="157" spans="1:9" ht="14.5" customHeight="1" x14ac:dyDescent="0.3">
      <c r="A157" s="1">
        <v>52</v>
      </c>
      <c r="B157" s="17" t="s">
        <v>466</v>
      </c>
      <c r="C157" s="17" t="s">
        <v>467</v>
      </c>
      <c r="D157" s="9">
        <v>0</v>
      </c>
      <c r="E157" s="6" t="s">
        <v>0</v>
      </c>
      <c r="F157" s="6" t="s">
        <v>5</v>
      </c>
      <c r="G157" s="7" t="s">
        <v>308</v>
      </c>
      <c r="H157" s="6" t="s">
        <v>309</v>
      </c>
      <c r="I157" s="6" cm="1">
        <f t="array" ref="I157">_xlfn.SWITCH(טבלה3[[#This Row],[psych rating]], "High", 1, "Low", 1, "")</f>
        <v>1</v>
      </c>
    </row>
    <row r="158" spans="1:9" ht="14.5" customHeight="1" x14ac:dyDescent="0.3">
      <c r="A158" s="1">
        <v>53</v>
      </c>
      <c r="B158" s="17" t="s">
        <v>472</v>
      </c>
      <c r="C158" s="17" t="s">
        <v>473</v>
      </c>
      <c r="D158" s="9">
        <v>0</v>
      </c>
      <c r="E158" s="6" t="s">
        <v>5</v>
      </c>
      <c r="F158" s="6" t="s">
        <v>1</v>
      </c>
      <c r="G158" s="7" t="s">
        <v>320</v>
      </c>
      <c r="H158" s="6" t="s">
        <v>321</v>
      </c>
      <c r="I158" s="6">
        <v>0</v>
      </c>
    </row>
    <row r="159" spans="1:9" ht="14.5" customHeight="1" x14ac:dyDescent="0.3">
      <c r="A159" s="1">
        <v>53</v>
      </c>
      <c r="B159" s="17" t="s">
        <v>472</v>
      </c>
      <c r="C159" s="17" t="s">
        <v>473</v>
      </c>
      <c r="D159" s="9">
        <v>0</v>
      </c>
      <c r="E159" s="6" t="s">
        <v>5</v>
      </c>
      <c r="F159" s="6" t="s">
        <v>0</v>
      </c>
      <c r="G159" s="7" t="s">
        <v>322</v>
      </c>
      <c r="H159" s="6" t="s">
        <v>323</v>
      </c>
      <c r="I159" s="6" cm="1">
        <f t="array" ref="I159">_xlfn.SWITCH(טבלה3[[#This Row],[psych rating]], "High", 1, "Low", 1, "")</f>
        <v>1</v>
      </c>
    </row>
    <row r="160" spans="1:9" ht="14.5" customHeight="1" x14ac:dyDescent="0.3">
      <c r="A160" s="1">
        <v>53</v>
      </c>
      <c r="B160" s="17" t="s">
        <v>472</v>
      </c>
      <c r="C160" s="17" t="s">
        <v>473</v>
      </c>
      <c r="D160" s="9">
        <v>0</v>
      </c>
      <c r="E160" s="6" t="s">
        <v>5</v>
      </c>
      <c r="F160" s="6" t="s">
        <v>0</v>
      </c>
      <c r="G160" s="7" t="s">
        <v>324</v>
      </c>
      <c r="H160" s="6" t="s">
        <v>325</v>
      </c>
      <c r="I160" s="6" cm="1">
        <f t="array" ref="I160">_xlfn.SWITCH(טבלה3[[#This Row],[psych rating]], "High", 1, "Low", 1, "")</f>
        <v>1</v>
      </c>
    </row>
    <row r="161" spans="1:9" ht="14.5" customHeight="1" x14ac:dyDescent="0.3">
      <c r="A161" s="1">
        <v>54</v>
      </c>
      <c r="B161" s="18" t="s">
        <v>470</v>
      </c>
      <c r="C161" s="17" t="s">
        <v>471</v>
      </c>
      <c r="D161" s="9">
        <v>0</v>
      </c>
      <c r="E161" s="6" t="s">
        <v>5</v>
      </c>
      <c r="F161" s="6" t="s">
        <v>1</v>
      </c>
      <c r="G161" s="7" t="s">
        <v>315</v>
      </c>
      <c r="H161" s="6" t="s">
        <v>316</v>
      </c>
      <c r="I161" s="6">
        <v>1</v>
      </c>
    </row>
    <row r="162" spans="1:9" ht="14.5" customHeight="1" x14ac:dyDescent="0.3">
      <c r="A162" s="1">
        <v>54</v>
      </c>
      <c r="B162" s="18" t="s">
        <v>470</v>
      </c>
      <c r="C162" s="17" t="s">
        <v>471</v>
      </c>
      <c r="D162" s="9">
        <v>1</v>
      </c>
      <c r="E162" s="6" t="s">
        <v>5</v>
      </c>
      <c r="F162" s="6" t="s">
        <v>5</v>
      </c>
      <c r="G162" s="7" t="s">
        <v>492</v>
      </c>
      <c r="H162" s="6" t="s">
        <v>317</v>
      </c>
      <c r="I162" s="6" cm="1">
        <f t="array" ref="I162">_xlfn.SWITCH(טבלה3[[#This Row],[psych rating]], "High", 1, "Low", 1, "")</f>
        <v>1</v>
      </c>
    </row>
    <row r="163" spans="1:9" ht="14.5" customHeight="1" x14ac:dyDescent="0.3">
      <c r="A163" s="1">
        <v>54</v>
      </c>
      <c r="B163" s="18" t="s">
        <v>470</v>
      </c>
      <c r="C163" s="17" t="s">
        <v>471</v>
      </c>
      <c r="D163" s="9">
        <v>0</v>
      </c>
      <c r="E163" s="6" t="s">
        <v>5</v>
      </c>
      <c r="F163" s="6" t="s">
        <v>1</v>
      </c>
      <c r="G163" s="7" t="s">
        <v>318</v>
      </c>
      <c r="H163" s="6" t="s">
        <v>319</v>
      </c>
      <c r="I163" s="6">
        <v>1</v>
      </c>
    </row>
    <row r="164" spans="1:9" ht="14.5" customHeight="1" x14ac:dyDescent="0.3">
      <c r="A164" s="1">
        <v>55</v>
      </c>
      <c r="B164" s="17" t="s">
        <v>476</v>
      </c>
      <c r="C164" s="17" t="s">
        <v>477</v>
      </c>
      <c r="D164" s="9">
        <v>0</v>
      </c>
      <c r="E164" s="6" t="s">
        <v>5</v>
      </c>
      <c r="F164" s="6" t="s">
        <v>0</v>
      </c>
      <c r="G164" s="7" t="s">
        <v>332</v>
      </c>
      <c r="H164" s="6" t="s">
        <v>333</v>
      </c>
      <c r="I164" s="6" cm="1">
        <f t="array" ref="I164">_xlfn.SWITCH(טבלה3[[#This Row],[psych rating]], "High", 1, "Low", 1, "")</f>
        <v>1</v>
      </c>
    </row>
    <row r="165" spans="1:9" ht="14.5" customHeight="1" x14ac:dyDescent="0.3">
      <c r="A165" s="1">
        <v>55</v>
      </c>
      <c r="B165" s="17" t="s">
        <v>476</v>
      </c>
      <c r="C165" s="17" t="s">
        <v>477</v>
      </c>
      <c r="D165" s="9">
        <v>0</v>
      </c>
      <c r="E165" s="6" t="s">
        <v>5</v>
      </c>
      <c r="F165" s="6" t="s">
        <v>0</v>
      </c>
      <c r="G165" s="7" t="s">
        <v>334</v>
      </c>
      <c r="H165" s="6" t="s">
        <v>335</v>
      </c>
      <c r="I165" s="6" cm="1">
        <f t="array" ref="I165">_xlfn.SWITCH(טבלה3[[#This Row],[psych rating]], "High", 1, "Low", 1, "")</f>
        <v>1</v>
      </c>
    </row>
    <row r="166" spans="1:9" ht="14.5" customHeight="1" x14ac:dyDescent="0.3">
      <c r="A166" s="1">
        <v>55</v>
      </c>
      <c r="B166" s="17" t="s">
        <v>476</v>
      </c>
      <c r="C166" s="17" t="s">
        <v>477</v>
      </c>
      <c r="D166" s="9">
        <v>0</v>
      </c>
      <c r="E166" s="6" t="s">
        <v>5</v>
      </c>
      <c r="F166" s="6" t="s">
        <v>1</v>
      </c>
      <c r="G166" s="7" t="s">
        <v>336</v>
      </c>
      <c r="H166" s="6" t="s">
        <v>337</v>
      </c>
      <c r="I166" s="6">
        <v>1</v>
      </c>
    </row>
    <row r="167" spans="1:9" ht="14.5" customHeight="1" x14ac:dyDescent="0.3">
      <c r="A167" s="1">
        <v>56</v>
      </c>
      <c r="B167" s="17" t="s">
        <v>474</v>
      </c>
      <c r="C167" s="17" t="s">
        <v>475</v>
      </c>
      <c r="D167" s="9">
        <v>0</v>
      </c>
      <c r="E167" s="6" t="s">
        <v>0</v>
      </c>
      <c r="F167" s="6" t="s">
        <v>1</v>
      </c>
      <c r="G167" s="7" t="s">
        <v>326</v>
      </c>
      <c r="H167" s="6" t="s">
        <v>327</v>
      </c>
      <c r="I167" s="6">
        <v>1</v>
      </c>
    </row>
    <row r="168" spans="1:9" ht="14.5" customHeight="1" x14ac:dyDescent="0.3">
      <c r="A168" s="1">
        <v>56</v>
      </c>
      <c r="B168" s="17" t="s">
        <v>474</v>
      </c>
      <c r="C168" s="17" t="s">
        <v>475</v>
      </c>
      <c r="D168" s="9">
        <v>1</v>
      </c>
      <c r="E168" s="6" t="s">
        <v>0</v>
      </c>
      <c r="F168" s="6" t="s">
        <v>0</v>
      </c>
      <c r="G168" s="7" t="s">
        <v>328</v>
      </c>
      <c r="H168" s="6" t="s">
        <v>329</v>
      </c>
      <c r="I168" s="6" cm="1">
        <f t="array" ref="I168">_xlfn.SWITCH(טבלה3[[#This Row],[psych rating]], "High", 1, "Low", 1, "")</f>
        <v>1</v>
      </c>
    </row>
    <row r="169" spans="1:9" ht="14.5" customHeight="1" x14ac:dyDescent="0.3">
      <c r="A169" s="1">
        <v>56</v>
      </c>
      <c r="B169" s="17" t="s">
        <v>474</v>
      </c>
      <c r="C169" s="17" t="s">
        <v>475</v>
      </c>
      <c r="D169" s="9">
        <v>1</v>
      </c>
      <c r="E169" s="6" t="s">
        <v>0</v>
      </c>
      <c r="F169" s="6" t="s">
        <v>0</v>
      </c>
      <c r="G169" s="7" t="s">
        <v>330</v>
      </c>
      <c r="H169" s="6" t="s">
        <v>331</v>
      </c>
      <c r="I169" s="6" cm="1">
        <f t="array" ref="I169">_xlfn.SWITCH(טבלה3[[#This Row],[psych rating]], "High", 1, "Low", 1, "")</f>
        <v>1</v>
      </c>
    </row>
    <row r="170" spans="1:9" ht="14.5" customHeight="1" x14ac:dyDescent="0.3">
      <c r="A170" s="1">
        <v>57</v>
      </c>
      <c r="B170" s="18" t="s">
        <v>468</v>
      </c>
      <c r="C170" s="18" t="s">
        <v>469</v>
      </c>
      <c r="D170" s="9">
        <v>0</v>
      </c>
      <c r="E170" s="6" t="s">
        <v>1</v>
      </c>
      <c r="F170" s="6" t="s">
        <v>0</v>
      </c>
      <c r="G170" s="7" t="s">
        <v>310</v>
      </c>
      <c r="H170" s="6" t="s">
        <v>311</v>
      </c>
      <c r="I170" s="6" cm="1">
        <f t="array" ref="I170">_xlfn.SWITCH(טבלה3[[#This Row],[psych rating]], "High", 1, "Low", 1, "")</f>
        <v>1</v>
      </c>
    </row>
    <row r="171" spans="1:9" ht="14.5" customHeight="1" x14ac:dyDescent="0.3">
      <c r="A171" s="1">
        <v>57</v>
      </c>
      <c r="B171" s="18" t="s">
        <v>468</v>
      </c>
      <c r="C171" s="18" t="s">
        <v>469</v>
      </c>
      <c r="D171" s="9">
        <v>0</v>
      </c>
      <c r="E171" s="6" t="s">
        <v>1</v>
      </c>
      <c r="F171" s="6" t="s">
        <v>5</v>
      </c>
      <c r="G171" s="7" t="s">
        <v>312</v>
      </c>
      <c r="H171" s="6" t="s">
        <v>313</v>
      </c>
      <c r="I171" s="6" cm="1">
        <f t="array" ref="I171">_xlfn.SWITCH(טבלה3[[#This Row],[psych rating]], "High", 1, "Low", 1, "")</f>
        <v>1</v>
      </c>
    </row>
    <row r="172" spans="1:9" ht="14.5" customHeight="1" x14ac:dyDescent="0.3">
      <c r="A172" s="1">
        <v>57</v>
      </c>
      <c r="B172" s="18" t="s">
        <v>468</v>
      </c>
      <c r="C172" s="18" t="s">
        <v>469</v>
      </c>
      <c r="D172" s="9">
        <v>1</v>
      </c>
      <c r="E172" s="6" t="s">
        <v>1</v>
      </c>
      <c r="F172" s="6" t="s">
        <v>1</v>
      </c>
      <c r="G172" s="7" t="s">
        <v>491</v>
      </c>
      <c r="H172" s="6" t="s">
        <v>314</v>
      </c>
      <c r="I172" s="6">
        <v>1</v>
      </c>
    </row>
    <row r="173" spans="1:9" ht="14.5" customHeight="1" x14ac:dyDescent="0.3">
      <c r="A173" s="1">
        <v>58</v>
      </c>
      <c r="B173" s="17" t="s">
        <v>478</v>
      </c>
      <c r="C173" s="17" t="s">
        <v>479</v>
      </c>
      <c r="D173" s="9">
        <v>0</v>
      </c>
      <c r="E173" s="6" t="s">
        <v>5</v>
      </c>
      <c r="F173" s="6" t="s">
        <v>1</v>
      </c>
      <c r="G173" s="7" t="s">
        <v>338</v>
      </c>
      <c r="H173" s="6" t="s">
        <v>339</v>
      </c>
      <c r="I173" s="6">
        <v>1</v>
      </c>
    </row>
    <row r="174" spans="1:9" ht="14.5" customHeight="1" x14ac:dyDescent="0.3">
      <c r="A174" s="1">
        <v>58</v>
      </c>
      <c r="B174" s="17" t="s">
        <v>478</v>
      </c>
      <c r="C174" s="17" t="s">
        <v>479</v>
      </c>
      <c r="D174" s="9">
        <v>0</v>
      </c>
      <c r="E174" s="6" t="s">
        <v>5</v>
      </c>
      <c r="F174" s="6" t="s">
        <v>0</v>
      </c>
      <c r="G174" s="7" t="s">
        <v>340</v>
      </c>
      <c r="H174" s="6" t="s">
        <v>341</v>
      </c>
      <c r="I174" s="6" cm="1">
        <f t="array" ref="I174">_xlfn.SWITCH(טבלה3[[#This Row],[psych rating]], "High", 1, "Low", 1, "")</f>
        <v>1</v>
      </c>
    </row>
    <row r="175" spans="1:9" ht="14.5" customHeight="1" x14ac:dyDescent="0.3">
      <c r="A175" s="1">
        <v>58</v>
      </c>
      <c r="B175" s="17" t="s">
        <v>478</v>
      </c>
      <c r="C175" s="17" t="s">
        <v>479</v>
      </c>
      <c r="D175" s="9">
        <v>0</v>
      </c>
      <c r="E175" s="6" t="s">
        <v>5</v>
      </c>
      <c r="F175" s="6" t="s">
        <v>0</v>
      </c>
      <c r="G175" s="7" t="s">
        <v>342</v>
      </c>
      <c r="H175" s="6" t="s">
        <v>343</v>
      </c>
      <c r="I175" s="6" cm="1">
        <f t="array" ref="I175">_xlfn.SWITCH(טבלה3[[#This Row],[psych rating]], "High", 1, "Low", 1, "")</f>
        <v>1</v>
      </c>
    </row>
    <row r="176" spans="1:9" ht="14.5" customHeight="1" x14ac:dyDescent="0.3">
      <c r="A176" s="1">
        <v>59</v>
      </c>
      <c r="B176" s="17" t="s">
        <v>480</v>
      </c>
      <c r="C176" s="18" t="s">
        <v>481</v>
      </c>
      <c r="D176" s="9">
        <v>0</v>
      </c>
      <c r="E176" s="6" t="s">
        <v>5</v>
      </c>
      <c r="F176" s="6" t="s">
        <v>1</v>
      </c>
      <c r="G176" s="7" t="s">
        <v>344</v>
      </c>
      <c r="H176" s="6" t="s">
        <v>345</v>
      </c>
      <c r="I176" s="6">
        <v>0</v>
      </c>
    </row>
    <row r="177" spans="1:9" ht="14.5" customHeight="1" x14ac:dyDescent="0.3">
      <c r="A177" s="1">
        <v>59</v>
      </c>
      <c r="B177" s="17" t="s">
        <v>480</v>
      </c>
      <c r="C177" s="18" t="s">
        <v>481</v>
      </c>
      <c r="D177" s="9">
        <v>1</v>
      </c>
      <c r="E177" s="6" t="s">
        <v>5</v>
      </c>
      <c r="F177" s="6" t="s">
        <v>5</v>
      </c>
      <c r="G177" s="7" t="s">
        <v>346</v>
      </c>
      <c r="H177" s="6" t="s">
        <v>347</v>
      </c>
      <c r="I177" s="6" cm="1">
        <f t="array" ref="I177">_xlfn.SWITCH(טבלה3[[#This Row],[psych rating]], "High", 1, "Low", 1, "")</f>
        <v>1</v>
      </c>
    </row>
    <row r="178" spans="1:9" ht="14.5" customHeight="1" x14ac:dyDescent="0.3">
      <c r="A178" s="1">
        <v>59</v>
      </c>
      <c r="B178" s="17" t="s">
        <v>480</v>
      </c>
      <c r="C178" s="18" t="s">
        <v>481</v>
      </c>
      <c r="D178" s="9">
        <v>0</v>
      </c>
      <c r="E178" s="6" t="s">
        <v>5</v>
      </c>
      <c r="F178" s="6" t="s">
        <v>1</v>
      </c>
      <c r="G178" s="7" t="s">
        <v>348</v>
      </c>
      <c r="H178" s="6" t="s">
        <v>349</v>
      </c>
      <c r="I178" s="6">
        <v>1</v>
      </c>
    </row>
    <row r="179" spans="1:9" ht="14.5" customHeight="1" x14ac:dyDescent="0.3">
      <c r="A179" s="1">
        <v>60</v>
      </c>
      <c r="B179" s="17" t="s">
        <v>482</v>
      </c>
      <c r="C179" s="17" t="s">
        <v>483</v>
      </c>
      <c r="D179" s="9">
        <v>0</v>
      </c>
      <c r="E179" s="6" t="s">
        <v>0</v>
      </c>
      <c r="F179" s="6" t="s">
        <v>5</v>
      </c>
      <c r="G179" s="7" t="s">
        <v>350</v>
      </c>
      <c r="H179" s="6" t="s">
        <v>351</v>
      </c>
      <c r="I179" s="6" cm="1">
        <f t="array" ref="I179">_xlfn.SWITCH(טבלה3[[#This Row],[psych rating]], "High", 1, "Low", 1, "")</f>
        <v>1</v>
      </c>
    </row>
    <row r="180" spans="1:9" ht="14.5" customHeight="1" x14ac:dyDescent="0.3">
      <c r="A180" s="1">
        <v>60</v>
      </c>
      <c r="B180" s="17" t="s">
        <v>482</v>
      </c>
      <c r="C180" s="17" t="s">
        <v>483</v>
      </c>
      <c r="D180" s="9">
        <v>0</v>
      </c>
      <c r="E180" s="6" t="s">
        <v>0</v>
      </c>
      <c r="F180" s="6" t="s">
        <v>5</v>
      </c>
      <c r="G180" s="7" t="s">
        <v>352</v>
      </c>
      <c r="H180" s="6" t="s">
        <v>353</v>
      </c>
      <c r="I180" s="6" cm="1">
        <f t="array" ref="I180">_xlfn.SWITCH(טבלה3[[#This Row],[psych rating]], "High", 1, "Low", 1, "")</f>
        <v>1</v>
      </c>
    </row>
    <row r="181" spans="1:9" ht="14.5" customHeight="1" x14ac:dyDescent="0.3">
      <c r="A181" s="1">
        <v>60</v>
      </c>
      <c r="B181" s="17" t="s">
        <v>482</v>
      </c>
      <c r="C181" s="17" t="s">
        <v>483</v>
      </c>
      <c r="D181" s="9">
        <v>0</v>
      </c>
      <c r="E181" s="6" t="s">
        <v>0</v>
      </c>
      <c r="F181" s="6" t="s">
        <v>5</v>
      </c>
      <c r="G181" s="7" t="s">
        <v>354</v>
      </c>
      <c r="H181" s="6" t="s">
        <v>355</v>
      </c>
      <c r="I181" s="6" cm="1">
        <f t="array" ref="I181">_xlfn.SWITCH(טבלה3[[#This Row],[psych rating]], "High", 1, "Low", 1, "")</f>
        <v>1</v>
      </c>
    </row>
  </sheetData>
  <conditionalFormatting sqref="D2:D181">
    <cfRule type="containsText" dxfId="3" priority="1" operator="containsText" text="Correct">
      <formula>NOT(ISERROR(SEARCH("Correct",D2)))</formula>
    </cfRule>
    <cfRule type="containsText" dxfId="2" priority="2" operator="containsText" text="Wrong">
      <formula>NOT(ISERROR(SEARCH("Wrong",D2)))</formula>
    </cfRule>
  </conditionalFormatting>
  <conditionalFormatting sqref="F2">
    <cfRule type="expression" dxfId="1" priority="3">
      <formula>F2=G2</formula>
    </cfRule>
  </conditionalFormatting>
  <conditionalFormatting sqref="G2">
    <cfRule type="expression" dxfId="0" priority="5">
      <formula>G2=#REF!</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24CEC-4D9F-4A5E-9748-920B4686819B}">
  <sheetPr codeName="Worksheet______11"/>
  <dimension ref="A1:I360"/>
  <sheetViews>
    <sheetView tabSelected="1" topLeftCell="A79" zoomScale="80" zoomScaleNormal="80" workbookViewId="0">
      <selection activeCell="B103" sqref="B103"/>
    </sheetView>
  </sheetViews>
  <sheetFormatPr defaultRowHeight="14" customHeight="1" x14ac:dyDescent="0.3"/>
  <cols>
    <col min="2" max="2" width="25.25" customWidth="1"/>
    <col min="5" max="5" width="12" customWidth="1"/>
    <col min="6" max="6" width="13.83203125" customWidth="1"/>
    <col min="7" max="7" width="21.83203125" customWidth="1"/>
    <col min="9" max="9" width="21.9140625" customWidth="1"/>
    <col min="10" max="10" width="14.25" bestFit="1" customWidth="1"/>
  </cols>
  <sheetData>
    <row r="1" spans="1:9" ht="14" customHeight="1" x14ac:dyDescent="0.3">
      <c r="A1" s="15" t="s">
        <v>356</v>
      </c>
      <c r="B1" s="15" t="s">
        <v>357</v>
      </c>
      <c r="C1" s="15" t="s">
        <v>358</v>
      </c>
      <c r="D1" s="15" t="s">
        <v>62</v>
      </c>
      <c r="E1" s="13" t="s">
        <v>63</v>
      </c>
      <c r="F1" s="13" t="s">
        <v>64</v>
      </c>
      <c r="G1" s="13" t="s">
        <v>29</v>
      </c>
      <c r="H1" s="13" t="s">
        <v>30</v>
      </c>
      <c r="I1" s="21" t="s">
        <v>1906</v>
      </c>
    </row>
    <row r="2" spans="1:9" ht="14" customHeight="1" x14ac:dyDescent="0.3">
      <c r="A2" s="22">
        <v>1</v>
      </c>
      <c r="B2" s="31" t="s">
        <v>384</v>
      </c>
      <c r="C2" s="23" t="s">
        <v>385</v>
      </c>
      <c r="D2" s="39">
        <v>0</v>
      </c>
      <c r="E2" s="39" t="s">
        <v>0</v>
      </c>
      <c r="F2" s="25" t="s">
        <v>1</v>
      </c>
      <c r="G2" s="24" t="s">
        <v>553</v>
      </c>
      <c r="H2" s="24" t="s">
        <v>554</v>
      </c>
      <c r="I2" s="26">
        <v>1</v>
      </c>
    </row>
    <row r="3" spans="1:9" ht="14" customHeight="1" x14ac:dyDescent="0.3">
      <c r="A3" s="27">
        <v>1</v>
      </c>
      <c r="B3" s="18" t="s">
        <v>384</v>
      </c>
      <c r="C3" s="17" t="s">
        <v>385</v>
      </c>
      <c r="D3" s="40">
        <v>1</v>
      </c>
      <c r="E3" s="40" t="s">
        <v>0</v>
      </c>
      <c r="F3" s="29" t="s">
        <v>0</v>
      </c>
      <c r="G3" s="28" t="s">
        <v>555</v>
      </c>
      <c r="H3" s="28" t="s">
        <v>556</v>
      </c>
      <c r="I3" s="30">
        <v>1</v>
      </c>
    </row>
    <row r="4" spans="1:9" ht="14" customHeight="1" x14ac:dyDescent="0.3">
      <c r="A4" s="22">
        <v>1</v>
      </c>
      <c r="B4" s="31" t="s">
        <v>384</v>
      </c>
      <c r="C4" s="23" t="s">
        <v>385</v>
      </c>
      <c r="D4" s="39">
        <v>0</v>
      </c>
      <c r="E4" s="39" t="s">
        <v>0</v>
      </c>
      <c r="F4" s="25" t="s">
        <v>5</v>
      </c>
      <c r="G4" s="24" t="s">
        <v>557</v>
      </c>
      <c r="H4" s="24" t="s">
        <v>558</v>
      </c>
      <c r="I4" s="26">
        <v>1</v>
      </c>
    </row>
    <row r="5" spans="1:9" ht="14" customHeight="1" x14ac:dyDescent="0.35">
      <c r="A5" s="27">
        <v>2</v>
      </c>
      <c r="B5" s="17" t="s">
        <v>402</v>
      </c>
      <c r="C5" s="17" t="s">
        <v>403</v>
      </c>
      <c r="D5" s="40">
        <v>0</v>
      </c>
      <c r="E5" s="40" t="s">
        <v>5</v>
      </c>
      <c r="F5" s="32" t="s">
        <v>0</v>
      </c>
      <c r="G5" s="33" t="s">
        <v>604</v>
      </c>
      <c r="H5" s="28" t="s">
        <v>605</v>
      </c>
      <c r="I5" s="30">
        <v>1</v>
      </c>
    </row>
    <row r="6" spans="1:9" ht="14" customHeight="1" x14ac:dyDescent="0.35">
      <c r="A6" s="22">
        <v>2</v>
      </c>
      <c r="B6" s="23" t="s">
        <v>402</v>
      </c>
      <c r="C6" s="23" t="s">
        <v>403</v>
      </c>
      <c r="D6" s="39">
        <v>0</v>
      </c>
      <c r="E6" s="39" t="s">
        <v>5</v>
      </c>
      <c r="F6" s="34" t="s">
        <v>1</v>
      </c>
      <c r="G6" s="35" t="s">
        <v>606</v>
      </c>
      <c r="H6" s="24" t="s">
        <v>607</v>
      </c>
      <c r="I6" s="26">
        <v>1</v>
      </c>
    </row>
    <row r="7" spans="1:9" ht="14" customHeight="1" x14ac:dyDescent="0.35">
      <c r="A7" s="27">
        <v>2</v>
      </c>
      <c r="B7" s="17" t="s">
        <v>402</v>
      </c>
      <c r="C7" s="17" t="s">
        <v>403</v>
      </c>
      <c r="D7" s="40">
        <v>0</v>
      </c>
      <c r="E7" s="40" t="s">
        <v>5</v>
      </c>
      <c r="F7" s="32" t="s">
        <v>0</v>
      </c>
      <c r="G7" s="33" t="s">
        <v>608</v>
      </c>
      <c r="H7" s="28" t="s">
        <v>609</v>
      </c>
      <c r="I7" s="30">
        <v>1</v>
      </c>
    </row>
    <row r="8" spans="1:9" ht="14" customHeight="1" x14ac:dyDescent="0.35">
      <c r="A8" s="22">
        <v>3</v>
      </c>
      <c r="B8" s="23" t="s">
        <v>408</v>
      </c>
      <c r="C8" s="23" t="s">
        <v>409</v>
      </c>
      <c r="D8" s="39">
        <v>1</v>
      </c>
      <c r="E8" s="39" t="s">
        <v>1</v>
      </c>
      <c r="F8" s="34" t="s">
        <v>1</v>
      </c>
      <c r="G8" s="35" t="s">
        <v>622</v>
      </c>
      <c r="H8" s="24" t="s">
        <v>623</v>
      </c>
      <c r="I8" s="26">
        <v>0</v>
      </c>
    </row>
    <row r="9" spans="1:9" ht="14" customHeight="1" x14ac:dyDescent="0.35">
      <c r="A9" s="27">
        <v>3</v>
      </c>
      <c r="B9" s="17" t="s">
        <v>408</v>
      </c>
      <c r="C9" s="17" t="s">
        <v>409</v>
      </c>
      <c r="D9" s="40">
        <v>1</v>
      </c>
      <c r="E9" s="40" t="s">
        <v>1</v>
      </c>
      <c r="F9" s="32" t="s">
        <v>1</v>
      </c>
      <c r="G9" s="33" t="s">
        <v>624</v>
      </c>
      <c r="H9" s="28" t="s">
        <v>625</v>
      </c>
      <c r="I9" s="30">
        <v>1</v>
      </c>
    </row>
    <row r="10" spans="1:9" ht="14" customHeight="1" x14ac:dyDescent="0.35">
      <c r="A10" s="22">
        <v>3</v>
      </c>
      <c r="B10" s="23" t="s">
        <v>408</v>
      </c>
      <c r="C10" s="23" t="s">
        <v>409</v>
      </c>
      <c r="D10" s="39">
        <v>0</v>
      </c>
      <c r="E10" s="39" t="s">
        <v>1</v>
      </c>
      <c r="F10" s="34" t="s">
        <v>0</v>
      </c>
      <c r="G10" s="35" t="s">
        <v>626</v>
      </c>
      <c r="H10" s="24" t="s">
        <v>627</v>
      </c>
      <c r="I10" s="26">
        <v>1</v>
      </c>
    </row>
    <row r="11" spans="1:9" ht="14" customHeight="1" x14ac:dyDescent="0.3">
      <c r="A11" s="27">
        <v>4</v>
      </c>
      <c r="B11" s="17" t="s">
        <v>378</v>
      </c>
      <c r="C11" s="17" t="s">
        <v>379</v>
      </c>
      <c r="D11" s="40">
        <v>0</v>
      </c>
      <c r="E11" s="40" t="s">
        <v>5</v>
      </c>
      <c r="F11" s="29" t="s">
        <v>1</v>
      </c>
      <c r="G11" s="28" t="s">
        <v>535</v>
      </c>
      <c r="H11" s="28" t="s">
        <v>536</v>
      </c>
      <c r="I11" s="30">
        <v>1</v>
      </c>
    </row>
    <row r="12" spans="1:9" ht="14" customHeight="1" x14ac:dyDescent="0.3">
      <c r="A12" s="22">
        <v>4</v>
      </c>
      <c r="B12" s="23" t="s">
        <v>378</v>
      </c>
      <c r="C12" s="23" t="s">
        <v>379</v>
      </c>
      <c r="D12" s="39">
        <v>0</v>
      </c>
      <c r="E12" s="39" t="s">
        <v>5</v>
      </c>
      <c r="F12" s="25" t="s">
        <v>1</v>
      </c>
      <c r="G12" s="24" t="s">
        <v>537</v>
      </c>
      <c r="H12" s="24" t="s">
        <v>538</v>
      </c>
      <c r="I12" s="26">
        <v>1</v>
      </c>
    </row>
    <row r="13" spans="1:9" ht="14" customHeight="1" x14ac:dyDescent="0.3">
      <c r="A13" s="27">
        <v>4</v>
      </c>
      <c r="B13" s="17" t="s">
        <v>378</v>
      </c>
      <c r="C13" s="17" t="s">
        <v>379</v>
      </c>
      <c r="D13" s="40">
        <v>1</v>
      </c>
      <c r="E13" s="40" t="s">
        <v>5</v>
      </c>
      <c r="F13" s="29" t="s">
        <v>5</v>
      </c>
      <c r="G13" s="28" t="s">
        <v>539</v>
      </c>
      <c r="H13" s="28" t="s">
        <v>540</v>
      </c>
      <c r="I13" s="30">
        <v>1</v>
      </c>
    </row>
    <row r="14" spans="1:9" ht="14" customHeight="1" x14ac:dyDescent="0.3">
      <c r="A14" s="22">
        <v>5</v>
      </c>
      <c r="B14" s="31" t="s">
        <v>380</v>
      </c>
      <c r="C14" s="31" t="s">
        <v>381</v>
      </c>
      <c r="D14" s="39">
        <v>0</v>
      </c>
      <c r="E14" s="39" t="s">
        <v>5</v>
      </c>
      <c r="F14" s="25" t="s">
        <v>1</v>
      </c>
      <c r="G14" s="24" t="s">
        <v>541</v>
      </c>
      <c r="H14" s="24" t="s">
        <v>542</v>
      </c>
      <c r="I14" s="26">
        <v>1</v>
      </c>
    </row>
    <row r="15" spans="1:9" ht="14" customHeight="1" x14ac:dyDescent="0.3">
      <c r="A15" s="27">
        <v>5</v>
      </c>
      <c r="B15" s="18" t="s">
        <v>380</v>
      </c>
      <c r="C15" s="18" t="s">
        <v>381</v>
      </c>
      <c r="D15" s="40">
        <v>0</v>
      </c>
      <c r="E15" s="40" t="s">
        <v>5</v>
      </c>
      <c r="F15" s="29" t="s">
        <v>0</v>
      </c>
      <c r="G15" s="28" t="s">
        <v>543</v>
      </c>
      <c r="H15" s="28" t="s">
        <v>544</v>
      </c>
      <c r="I15" s="30">
        <v>1</v>
      </c>
    </row>
    <row r="16" spans="1:9" ht="14" customHeight="1" x14ac:dyDescent="0.3">
      <c r="A16" s="22">
        <v>5</v>
      </c>
      <c r="B16" s="31" t="s">
        <v>380</v>
      </c>
      <c r="C16" s="31" t="s">
        <v>381</v>
      </c>
      <c r="D16" s="39">
        <v>0</v>
      </c>
      <c r="E16" s="39" t="s">
        <v>5</v>
      </c>
      <c r="F16" s="25" t="s">
        <v>1</v>
      </c>
      <c r="G16" s="24" t="s">
        <v>545</v>
      </c>
      <c r="H16" s="24" t="s">
        <v>546</v>
      </c>
      <c r="I16" s="26">
        <v>1</v>
      </c>
    </row>
    <row r="17" spans="1:9" ht="14" customHeight="1" x14ac:dyDescent="0.35">
      <c r="A17" s="27">
        <v>6</v>
      </c>
      <c r="B17" s="18" t="s">
        <v>394</v>
      </c>
      <c r="C17" s="18" t="s">
        <v>395</v>
      </c>
      <c r="D17" s="40">
        <v>0</v>
      </c>
      <c r="E17" s="40" t="s">
        <v>5</v>
      </c>
      <c r="F17" s="32" t="s">
        <v>1</v>
      </c>
      <c r="G17" s="33" t="s">
        <v>581</v>
      </c>
      <c r="H17" s="28" t="s">
        <v>582</v>
      </c>
      <c r="I17" s="30">
        <v>0</v>
      </c>
    </row>
    <row r="18" spans="1:9" ht="14" customHeight="1" x14ac:dyDescent="0.35">
      <c r="A18" s="22">
        <v>6</v>
      </c>
      <c r="B18" s="31" t="s">
        <v>394</v>
      </c>
      <c r="C18" s="31" t="s">
        <v>395</v>
      </c>
      <c r="D18" s="39">
        <v>0</v>
      </c>
      <c r="E18" s="39" t="s">
        <v>5</v>
      </c>
      <c r="F18" s="34" t="s">
        <v>1</v>
      </c>
      <c r="G18" s="35" t="s">
        <v>583</v>
      </c>
      <c r="H18" s="24" t="s">
        <v>584</v>
      </c>
      <c r="I18" s="26">
        <v>1</v>
      </c>
    </row>
    <row r="19" spans="1:9" ht="14" customHeight="1" x14ac:dyDescent="0.35">
      <c r="A19" s="27">
        <v>6</v>
      </c>
      <c r="B19" s="18" t="s">
        <v>394</v>
      </c>
      <c r="C19" s="18" t="s">
        <v>395</v>
      </c>
      <c r="D19" s="40">
        <v>1</v>
      </c>
      <c r="E19" s="40" t="s">
        <v>5</v>
      </c>
      <c r="F19" s="32" t="s">
        <v>5</v>
      </c>
      <c r="G19" s="33" t="s">
        <v>585</v>
      </c>
      <c r="H19" s="28" t="s">
        <v>586</v>
      </c>
      <c r="I19" s="30">
        <v>1</v>
      </c>
    </row>
    <row r="20" spans="1:9" ht="14" customHeight="1" x14ac:dyDescent="0.3">
      <c r="A20" s="22">
        <v>7</v>
      </c>
      <c r="B20" s="23" t="s">
        <v>368</v>
      </c>
      <c r="C20" s="23" t="s">
        <v>369</v>
      </c>
      <c r="D20" s="39">
        <v>1</v>
      </c>
      <c r="E20" s="39" t="s">
        <v>1</v>
      </c>
      <c r="F20" s="25" t="s">
        <v>1</v>
      </c>
      <c r="G20" s="24" t="s">
        <v>505</v>
      </c>
      <c r="H20" s="24" t="s">
        <v>506</v>
      </c>
      <c r="I20" s="26">
        <v>1</v>
      </c>
    </row>
    <row r="21" spans="1:9" ht="14" customHeight="1" x14ac:dyDescent="0.3">
      <c r="A21" s="27">
        <v>7</v>
      </c>
      <c r="B21" s="17" t="s">
        <v>368</v>
      </c>
      <c r="C21" s="17" t="s">
        <v>369</v>
      </c>
      <c r="D21" s="40">
        <v>0</v>
      </c>
      <c r="E21" s="40" t="s">
        <v>1</v>
      </c>
      <c r="F21" s="29" t="s">
        <v>5</v>
      </c>
      <c r="G21" s="28" t="s">
        <v>507</v>
      </c>
      <c r="H21" s="28" t="s">
        <v>508</v>
      </c>
      <c r="I21" s="30">
        <v>1</v>
      </c>
    </row>
    <row r="22" spans="1:9" ht="14" customHeight="1" x14ac:dyDescent="0.3">
      <c r="A22" s="22">
        <v>7</v>
      </c>
      <c r="B22" s="23" t="s">
        <v>368</v>
      </c>
      <c r="C22" s="23" t="s">
        <v>369</v>
      </c>
      <c r="D22" s="39">
        <v>0</v>
      </c>
      <c r="E22" s="39" t="s">
        <v>1</v>
      </c>
      <c r="F22" s="25" t="s">
        <v>5</v>
      </c>
      <c r="G22" s="24" t="s">
        <v>509</v>
      </c>
      <c r="H22" s="24" t="s">
        <v>510</v>
      </c>
      <c r="I22" s="26">
        <v>1</v>
      </c>
    </row>
    <row r="23" spans="1:9" ht="14" customHeight="1" x14ac:dyDescent="0.3">
      <c r="A23" s="22">
        <v>8</v>
      </c>
      <c r="B23" s="23" t="s">
        <v>372</v>
      </c>
      <c r="C23" s="23" t="s">
        <v>373</v>
      </c>
      <c r="D23" s="39">
        <v>0</v>
      </c>
      <c r="E23" s="39" t="s">
        <v>5</v>
      </c>
      <c r="F23" s="25" t="s">
        <v>1</v>
      </c>
      <c r="G23" s="24" t="s">
        <v>517</v>
      </c>
      <c r="H23" s="24" t="s">
        <v>518</v>
      </c>
      <c r="I23" s="26">
        <v>1</v>
      </c>
    </row>
    <row r="24" spans="1:9" ht="14" customHeight="1" x14ac:dyDescent="0.3">
      <c r="A24" s="27">
        <v>8</v>
      </c>
      <c r="B24" s="17" t="s">
        <v>372</v>
      </c>
      <c r="C24" s="17" t="s">
        <v>373</v>
      </c>
      <c r="D24" s="40">
        <v>0</v>
      </c>
      <c r="E24" s="40" t="s">
        <v>5</v>
      </c>
      <c r="F24" s="29" t="s">
        <v>0</v>
      </c>
      <c r="G24" s="28" t="s">
        <v>519</v>
      </c>
      <c r="H24" s="28" t="s">
        <v>520</v>
      </c>
      <c r="I24" s="30">
        <v>1</v>
      </c>
    </row>
    <row r="25" spans="1:9" ht="14" customHeight="1" x14ac:dyDescent="0.3">
      <c r="A25" s="22">
        <v>8</v>
      </c>
      <c r="B25" s="23" t="s">
        <v>372</v>
      </c>
      <c r="C25" s="23" t="s">
        <v>373</v>
      </c>
      <c r="D25" s="39">
        <v>0</v>
      </c>
      <c r="E25" s="39" t="s">
        <v>5</v>
      </c>
      <c r="F25" s="25" t="s">
        <v>1</v>
      </c>
      <c r="G25" s="24" t="s">
        <v>521</v>
      </c>
      <c r="H25" s="24" t="s">
        <v>522</v>
      </c>
      <c r="I25" s="26">
        <v>1</v>
      </c>
    </row>
    <row r="26" spans="1:9" ht="14" customHeight="1" x14ac:dyDescent="0.35">
      <c r="A26" s="27">
        <v>9</v>
      </c>
      <c r="B26" s="17" t="s">
        <v>410</v>
      </c>
      <c r="C26" s="17" t="s">
        <v>411</v>
      </c>
      <c r="D26" s="40">
        <v>0</v>
      </c>
      <c r="E26" s="40" t="s">
        <v>0</v>
      </c>
      <c r="F26" s="32" t="s">
        <v>1</v>
      </c>
      <c r="G26" s="33" t="s">
        <v>628</v>
      </c>
      <c r="H26" s="28" t="s">
        <v>629</v>
      </c>
      <c r="I26" s="30">
        <v>1</v>
      </c>
    </row>
    <row r="27" spans="1:9" ht="14" customHeight="1" x14ac:dyDescent="0.35">
      <c r="A27" s="22">
        <v>9</v>
      </c>
      <c r="B27" s="23" t="s">
        <v>410</v>
      </c>
      <c r="C27" s="23" t="s">
        <v>411</v>
      </c>
      <c r="D27" s="39">
        <v>0</v>
      </c>
      <c r="E27" s="39" t="s">
        <v>0</v>
      </c>
      <c r="F27" s="34" t="s">
        <v>1</v>
      </c>
      <c r="G27" s="35" t="s">
        <v>630</v>
      </c>
      <c r="H27" s="24" t="s">
        <v>631</v>
      </c>
      <c r="I27" s="26">
        <v>1</v>
      </c>
    </row>
    <row r="28" spans="1:9" ht="14" customHeight="1" x14ac:dyDescent="0.35">
      <c r="A28" s="27">
        <v>9</v>
      </c>
      <c r="B28" s="17" t="s">
        <v>410</v>
      </c>
      <c r="C28" s="17" t="s">
        <v>411</v>
      </c>
      <c r="D28" s="40">
        <v>0</v>
      </c>
      <c r="E28" s="40" t="s">
        <v>0</v>
      </c>
      <c r="F28" s="32" t="s">
        <v>1</v>
      </c>
      <c r="G28" s="33" t="s">
        <v>632</v>
      </c>
      <c r="H28" s="28" t="s">
        <v>633</v>
      </c>
      <c r="I28" s="30">
        <v>1</v>
      </c>
    </row>
    <row r="29" spans="1:9" ht="14" customHeight="1" x14ac:dyDescent="0.3">
      <c r="A29" s="22">
        <v>10</v>
      </c>
      <c r="B29" s="23" t="s">
        <v>392</v>
      </c>
      <c r="C29" s="23" t="s">
        <v>393</v>
      </c>
      <c r="D29" s="39">
        <v>1</v>
      </c>
      <c r="E29" s="39" t="s">
        <v>1</v>
      </c>
      <c r="F29" s="25" t="s">
        <v>1</v>
      </c>
      <c r="G29" s="24" t="s">
        <v>576</v>
      </c>
      <c r="H29" s="24" t="s">
        <v>577</v>
      </c>
      <c r="I29" s="26">
        <v>1</v>
      </c>
    </row>
    <row r="30" spans="1:9" ht="14" customHeight="1" x14ac:dyDescent="0.3">
      <c r="A30" s="27">
        <v>10</v>
      </c>
      <c r="B30" s="17" t="s">
        <v>392</v>
      </c>
      <c r="C30" s="17" t="s">
        <v>393</v>
      </c>
      <c r="D30" s="40">
        <v>1</v>
      </c>
      <c r="E30" s="40" t="s">
        <v>1</v>
      </c>
      <c r="F30" s="29" t="s">
        <v>1</v>
      </c>
      <c r="G30" s="28" t="s">
        <v>578</v>
      </c>
      <c r="H30" s="28" t="s">
        <v>579</v>
      </c>
      <c r="I30" s="30">
        <v>1</v>
      </c>
    </row>
    <row r="31" spans="1:9" ht="14" customHeight="1" x14ac:dyDescent="0.3">
      <c r="A31" s="22">
        <v>10</v>
      </c>
      <c r="B31" s="23" t="s">
        <v>392</v>
      </c>
      <c r="C31" s="23" t="s">
        <v>393</v>
      </c>
      <c r="D31" s="39">
        <v>0</v>
      </c>
      <c r="E31" s="39" t="s">
        <v>1</v>
      </c>
      <c r="F31" s="25" t="s">
        <v>5</v>
      </c>
      <c r="G31" s="24" t="s">
        <v>88</v>
      </c>
      <c r="H31" s="24" t="s">
        <v>580</v>
      </c>
      <c r="I31" s="26">
        <v>1</v>
      </c>
    </row>
    <row r="32" spans="1:9" ht="14" customHeight="1" x14ac:dyDescent="0.3">
      <c r="A32" s="27">
        <v>11</v>
      </c>
      <c r="B32" s="17" t="s">
        <v>366</v>
      </c>
      <c r="C32" s="17" t="s">
        <v>367</v>
      </c>
      <c r="D32" s="40">
        <v>1</v>
      </c>
      <c r="E32" s="40" t="s">
        <v>1</v>
      </c>
      <c r="F32" s="29" t="s">
        <v>1</v>
      </c>
      <c r="G32" s="28" t="s">
        <v>499</v>
      </c>
      <c r="H32" s="28" t="s">
        <v>500</v>
      </c>
      <c r="I32" s="30">
        <v>1</v>
      </c>
    </row>
    <row r="33" spans="1:9" ht="14" customHeight="1" x14ac:dyDescent="0.3">
      <c r="A33" s="22">
        <v>11</v>
      </c>
      <c r="B33" s="23" t="s">
        <v>366</v>
      </c>
      <c r="C33" s="23" t="s">
        <v>367</v>
      </c>
      <c r="D33" s="39">
        <v>0</v>
      </c>
      <c r="E33" s="39" t="s">
        <v>1</v>
      </c>
      <c r="F33" s="25" t="s">
        <v>0</v>
      </c>
      <c r="G33" s="24" t="s">
        <v>501</v>
      </c>
      <c r="H33" s="24" t="s">
        <v>502</v>
      </c>
      <c r="I33" s="26">
        <v>1</v>
      </c>
    </row>
    <row r="34" spans="1:9" ht="14" customHeight="1" x14ac:dyDescent="0.3">
      <c r="A34" s="27">
        <v>11</v>
      </c>
      <c r="B34" s="17" t="s">
        <v>366</v>
      </c>
      <c r="C34" s="17" t="s">
        <v>367</v>
      </c>
      <c r="D34" s="40">
        <v>1</v>
      </c>
      <c r="E34" s="40" t="s">
        <v>1</v>
      </c>
      <c r="F34" s="29" t="s">
        <v>1</v>
      </c>
      <c r="G34" s="28" t="s">
        <v>503</v>
      </c>
      <c r="H34" s="28" t="s">
        <v>504</v>
      </c>
      <c r="I34" s="30">
        <v>1</v>
      </c>
    </row>
    <row r="35" spans="1:9" ht="14" customHeight="1" x14ac:dyDescent="0.3">
      <c r="A35" s="44">
        <v>12</v>
      </c>
      <c r="B35" s="17" t="s">
        <v>382</v>
      </c>
      <c r="C35" s="18" t="s">
        <v>383</v>
      </c>
      <c r="D35" s="40">
        <v>0</v>
      </c>
      <c r="E35" s="40" t="s">
        <v>1</v>
      </c>
      <c r="F35" s="29" t="s">
        <v>5</v>
      </c>
      <c r="G35" s="28" t="s">
        <v>547</v>
      </c>
      <c r="H35" s="28" t="s">
        <v>548</v>
      </c>
      <c r="I35" s="30">
        <v>1</v>
      </c>
    </row>
    <row r="36" spans="1:9" ht="14" customHeight="1" x14ac:dyDescent="0.3">
      <c r="A36" s="50">
        <v>12</v>
      </c>
      <c r="B36" s="23" t="s">
        <v>382</v>
      </c>
      <c r="C36" s="31" t="s">
        <v>383</v>
      </c>
      <c r="D36" s="39">
        <v>0</v>
      </c>
      <c r="E36" s="39" t="s">
        <v>1</v>
      </c>
      <c r="F36" s="25" t="s">
        <v>5</v>
      </c>
      <c r="G36" s="24" t="s">
        <v>549</v>
      </c>
      <c r="H36" s="24" t="s">
        <v>550</v>
      </c>
      <c r="I36" s="26">
        <v>1</v>
      </c>
    </row>
    <row r="37" spans="1:9" ht="14" customHeight="1" x14ac:dyDescent="0.3">
      <c r="A37" s="44">
        <v>12</v>
      </c>
      <c r="B37" s="17" t="s">
        <v>382</v>
      </c>
      <c r="C37" s="18" t="s">
        <v>383</v>
      </c>
      <c r="D37" s="40">
        <v>0</v>
      </c>
      <c r="E37" s="40" t="s">
        <v>1</v>
      </c>
      <c r="F37" s="29" t="s">
        <v>5</v>
      </c>
      <c r="G37" s="28" t="s">
        <v>551</v>
      </c>
      <c r="H37" s="28" t="s">
        <v>552</v>
      </c>
      <c r="I37" s="30">
        <v>1</v>
      </c>
    </row>
    <row r="38" spans="1:9" ht="14" customHeight="1" x14ac:dyDescent="0.3">
      <c r="A38" s="27">
        <v>13</v>
      </c>
      <c r="B38" s="17" t="s">
        <v>374</v>
      </c>
      <c r="C38" s="17" t="s">
        <v>375</v>
      </c>
      <c r="D38" s="40">
        <v>1</v>
      </c>
      <c r="E38" s="40" t="s">
        <v>0</v>
      </c>
      <c r="F38" s="29" t="s">
        <v>0</v>
      </c>
      <c r="G38" s="28" t="s">
        <v>523</v>
      </c>
      <c r="H38" s="28" t="s">
        <v>524</v>
      </c>
      <c r="I38" s="30">
        <v>1</v>
      </c>
    </row>
    <row r="39" spans="1:9" ht="14" customHeight="1" x14ac:dyDescent="0.3">
      <c r="A39" s="22">
        <v>13</v>
      </c>
      <c r="B39" s="23" t="s">
        <v>374</v>
      </c>
      <c r="C39" s="23" t="s">
        <v>375</v>
      </c>
      <c r="D39" s="39">
        <v>0</v>
      </c>
      <c r="E39" s="39" t="s">
        <v>0</v>
      </c>
      <c r="F39" s="25" t="s">
        <v>5</v>
      </c>
      <c r="G39" s="24" t="s">
        <v>525</v>
      </c>
      <c r="H39" s="24" t="s">
        <v>526</v>
      </c>
      <c r="I39" s="26">
        <v>1</v>
      </c>
    </row>
    <row r="40" spans="1:9" ht="14" customHeight="1" x14ac:dyDescent="0.3">
      <c r="A40" s="27">
        <v>13</v>
      </c>
      <c r="B40" s="17" t="s">
        <v>374</v>
      </c>
      <c r="C40" s="17" t="s">
        <v>375</v>
      </c>
      <c r="D40" s="40">
        <v>0</v>
      </c>
      <c r="E40" s="40" t="s">
        <v>0</v>
      </c>
      <c r="F40" s="29" t="s">
        <v>5</v>
      </c>
      <c r="G40" s="28" t="s">
        <v>527</v>
      </c>
      <c r="H40" s="28" t="s">
        <v>528</v>
      </c>
      <c r="I40" s="30">
        <v>1</v>
      </c>
    </row>
    <row r="41" spans="1:9" ht="14" customHeight="1" x14ac:dyDescent="0.3">
      <c r="A41" s="22">
        <v>14</v>
      </c>
      <c r="B41" s="23" t="s">
        <v>376</v>
      </c>
      <c r="C41" s="23" t="s">
        <v>377</v>
      </c>
      <c r="D41" s="39">
        <v>1</v>
      </c>
      <c r="E41" s="39" t="s">
        <v>0</v>
      </c>
      <c r="F41" s="25" t="s">
        <v>0</v>
      </c>
      <c r="G41" s="24" t="s">
        <v>529</v>
      </c>
      <c r="H41" s="24" t="s">
        <v>530</v>
      </c>
      <c r="I41" s="26">
        <v>1</v>
      </c>
    </row>
    <row r="42" spans="1:9" ht="14" customHeight="1" x14ac:dyDescent="0.3">
      <c r="A42" s="27">
        <v>14</v>
      </c>
      <c r="B42" s="17" t="s">
        <v>376</v>
      </c>
      <c r="C42" s="17" t="s">
        <v>377</v>
      </c>
      <c r="D42" s="40">
        <v>0</v>
      </c>
      <c r="E42" s="40" t="s">
        <v>0</v>
      </c>
      <c r="F42" s="29" t="s">
        <v>5</v>
      </c>
      <c r="G42" s="28" t="s">
        <v>531</v>
      </c>
      <c r="H42" s="28" t="s">
        <v>532</v>
      </c>
      <c r="I42" s="30">
        <v>1</v>
      </c>
    </row>
    <row r="43" spans="1:9" ht="14" customHeight="1" x14ac:dyDescent="0.3">
      <c r="A43" s="22">
        <v>14</v>
      </c>
      <c r="B43" s="23" t="s">
        <v>376</v>
      </c>
      <c r="C43" s="23" t="s">
        <v>377</v>
      </c>
      <c r="D43" s="39">
        <v>0</v>
      </c>
      <c r="E43" s="39" t="s">
        <v>0</v>
      </c>
      <c r="F43" s="25" t="s">
        <v>5</v>
      </c>
      <c r="G43" s="24" t="s">
        <v>533</v>
      </c>
      <c r="H43" s="24" t="s">
        <v>534</v>
      </c>
      <c r="I43" s="26">
        <v>1</v>
      </c>
    </row>
    <row r="44" spans="1:9" ht="14" customHeight="1" x14ac:dyDescent="0.3">
      <c r="A44" s="22">
        <v>15</v>
      </c>
      <c r="B44" s="23" t="s">
        <v>388</v>
      </c>
      <c r="C44" s="23" t="s">
        <v>389</v>
      </c>
      <c r="D44" s="39">
        <v>0</v>
      </c>
      <c r="E44" s="39" t="s">
        <v>1</v>
      </c>
      <c r="F44" s="25" t="s">
        <v>0</v>
      </c>
      <c r="G44" s="24" t="s">
        <v>565</v>
      </c>
      <c r="H44" s="24" t="s">
        <v>566</v>
      </c>
      <c r="I44" s="26">
        <v>1</v>
      </c>
    </row>
    <row r="45" spans="1:9" ht="14" customHeight="1" x14ac:dyDescent="0.3">
      <c r="A45" s="27">
        <v>15</v>
      </c>
      <c r="B45" s="17" t="s">
        <v>388</v>
      </c>
      <c r="C45" s="17" t="s">
        <v>389</v>
      </c>
      <c r="D45" s="40">
        <v>0</v>
      </c>
      <c r="E45" s="40" t="s">
        <v>1</v>
      </c>
      <c r="F45" s="29" t="s">
        <v>5</v>
      </c>
      <c r="G45" s="28" t="s">
        <v>567</v>
      </c>
      <c r="H45" s="28" t="s">
        <v>568</v>
      </c>
      <c r="I45" s="30">
        <v>1</v>
      </c>
    </row>
    <row r="46" spans="1:9" ht="14" customHeight="1" x14ac:dyDescent="0.3">
      <c r="A46" s="22">
        <v>15</v>
      </c>
      <c r="B46" s="23" t="s">
        <v>388</v>
      </c>
      <c r="C46" s="23" t="s">
        <v>389</v>
      </c>
      <c r="D46" s="39">
        <v>1</v>
      </c>
      <c r="E46" s="39" t="s">
        <v>1</v>
      </c>
      <c r="F46" s="25" t="s">
        <v>1</v>
      </c>
      <c r="G46" s="24" t="s">
        <v>569</v>
      </c>
      <c r="H46" s="24" t="s">
        <v>570</v>
      </c>
      <c r="I46" s="26">
        <v>1</v>
      </c>
    </row>
    <row r="47" spans="1:9" ht="14" customHeight="1" x14ac:dyDescent="0.35">
      <c r="A47" s="27">
        <v>16</v>
      </c>
      <c r="B47" s="18" t="s">
        <v>414</v>
      </c>
      <c r="C47" s="17" t="s">
        <v>415</v>
      </c>
      <c r="D47" s="40">
        <v>1</v>
      </c>
      <c r="E47" s="40" t="s">
        <v>0</v>
      </c>
      <c r="F47" s="32" t="s">
        <v>0</v>
      </c>
      <c r="G47" s="33" t="s">
        <v>640</v>
      </c>
      <c r="H47" s="28" t="s">
        <v>641</v>
      </c>
      <c r="I47" s="30">
        <v>1</v>
      </c>
    </row>
    <row r="48" spans="1:9" ht="14" customHeight="1" x14ac:dyDescent="0.35">
      <c r="A48" s="22">
        <v>16</v>
      </c>
      <c r="B48" s="31" t="s">
        <v>414</v>
      </c>
      <c r="C48" s="23" t="s">
        <v>415</v>
      </c>
      <c r="D48" s="39">
        <v>0</v>
      </c>
      <c r="E48" s="39" t="s">
        <v>0</v>
      </c>
      <c r="F48" s="34" t="s">
        <v>1</v>
      </c>
      <c r="G48" s="35" t="s">
        <v>642</v>
      </c>
      <c r="H48" s="24" t="s">
        <v>643</v>
      </c>
      <c r="I48" s="26">
        <v>0</v>
      </c>
    </row>
    <row r="49" spans="1:9" ht="14" customHeight="1" x14ac:dyDescent="0.35">
      <c r="A49" s="27">
        <v>16</v>
      </c>
      <c r="B49" s="18" t="s">
        <v>414</v>
      </c>
      <c r="C49" s="17" t="s">
        <v>415</v>
      </c>
      <c r="D49" s="40">
        <v>0</v>
      </c>
      <c r="E49" s="40" t="s">
        <v>0</v>
      </c>
      <c r="F49" s="32" t="s">
        <v>1</v>
      </c>
      <c r="G49" s="33" t="s">
        <v>644</v>
      </c>
      <c r="H49" s="28" t="s">
        <v>645</v>
      </c>
      <c r="I49" s="30">
        <v>1</v>
      </c>
    </row>
    <row r="50" spans="1:9" ht="14" customHeight="1" x14ac:dyDescent="0.3">
      <c r="A50" s="49">
        <v>17</v>
      </c>
      <c r="B50" s="18" t="s">
        <v>386</v>
      </c>
      <c r="C50" s="18" t="s">
        <v>387</v>
      </c>
      <c r="D50" s="40">
        <v>1</v>
      </c>
      <c r="E50" s="40" t="s">
        <v>1</v>
      </c>
      <c r="F50" s="29" t="s">
        <v>1</v>
      </c>
      <c r="G50" s="28" t="s">
        <v>559</v>
      </c>
      <c r="H50" s="28" t="s">
        <v>560</v>
      </c>
      <c r="I50" s="30">
        <v>1</v>
      </c>
    </row>
    <row r="51" spans="1:9" ht="14" customHeight="1" x14ac:dyDescent="0.3">
      <c r="A51" s="49">
        <v>17</v>
      </c>
      <c r="B51" s="31" t="s">
        <v>386</v>
      </c>
      <c r="C51" s="31" t="s">
        <v>387</v>
      </c>
      <c r="D51" s="39">
        <v>1</v>
      </c>
      <c r="E51" s="39" t="s">
        <v>1</v>
      </c>
      <c r="F51" s="25" t="s">
        <v>1</v>
      </c>
      <c r="G51" s="24" t="s">
        <v>561</v>
      </c>
      <c r="H51" s="24" t="s">
        <v>562</v>
      </c>
      <c r="I51" s="26">
        <v>1</v>
      </c>
    </row>
    <row r="52" spans="1:9" ht="14" customHeight="1" x14ac:dyDescent="0.3">
      <c r="A52" s="49">
        <v>17</v>
      </c>
      <c r="B52" s="18" t="s">
        <v>386</v>
      </c>
      <c r="C52" s="18" t="s">
        <v>387</v>
      </c>
      <c r="D52" s="40">
        <v>0</v>
      </c>
      <c r="E52" s="40" t="s">
        <v>1</v>
      </c>
      <c r="F52" s="29" t="s">
        <v>0</v>
      </c>
      <c r="G52" s="28" t="s">
        <v>563</v>
      </c>
      <c r="H52" s="28" t="s">
        <v>564</v>
      </c>
      <c r="I52" s="30">
        <v>1</v>
      </c>
    </row>
    <row r="53" spans="1:9" ht="14" customHeight="1" x14ac:dyDescent="0.3">
      <c r="A53" s="27">
        <v>18</v>
      </c>
      <c r="B53" s="17" t="s">
        <v>370</v>
      </c>
      <c r="C53" s="17" t="s">
        <v>371</v>
      </c>
      <c r="D53" s="40">
        <v>1</v>
      </c>
      <c r="E53" s="40" t="s">
        <v>0</v>
      </c>
      <c r="F53" s="29" t="s">
        <v>0</v>
      </c>
      <c r="G53" s="28" t="s">
        <v>511</v>
      </c>
      <c r="H53" s="28" t="s">
        <v>512</v>
      </c>
      <c r="I53" s="30">
        <v>1</v>
      </c>
    </row>
    <row r="54" spans="1:9" ht="14" customHeight="1" x14ac:dyDescent="0.3">
      <c r="A54" s="27">
        <v>18</v>
      </c>
      <c r="B54" s="23" t="s">
        <v>370</v>
      </c>
      <c r="C54" s="23" t="s">
        <v>371</v>
      </c>
      <c r="D54" s="39">
        <v>1</v>
      </c>
      <c r="E54" s="39" t="s">
        <v>0</v>
      </c>
      <c r="F54" s="25" t="s">
        <v>0</v>
      </c>
      <c r="G54" s="24" t="s">
        <v>513</v>
      </c>
      <c r="H54" s="24" t="s">
        <v>514</v>
      </c>
      <c r="I54" s="26">
        <v>1</v>
      </c>
    </row>
    <row r="55" spans="1:9" ht="14" customHeight="1" x14ac:dyDescent="0.3">
      <c r="A55" s="27">
        <v>18</v>
      </c>
      <c r="B55" s="17" t="s">
        <v>370</v>
      </c>
      <c r="C55" s="17" t="s">
        <v>371</v>
      </c>
      <c r="D55" s="40">
        <v>1</v>
      </c>
      <c r="E55" s="40" t="s">
        <v>0</v>
      </c>
      <c r="F55" s="29" t="s">
        <v>0</v>
      </c>
      <c r="G55" s="28" t="s">
        <v>515</v>
      </c>
      <c r="H55" s="28" t="s">
        <v>516</v>
      </c>
      <c r="I55" s="30">
        <v>1</v>
      </c>
    </row>
    <row r="56" spans="1:9" ht="14" customHeight="1" x14ac:dyDescent="0.35">
      <c r="A56" s="27">
        <v>18</v>
      </c>
      <c r="B56" s="17" t="s">
        <v>398</v>
      </c>
      <c r="C56" s="17" t="s">
        <v>399</v>
      </c>
      <c r="D56" s="40">
        <v>1</v>
      </c>
      <c r="E56" s="40" t="s">
        <v>1</v>
      </c>
      <c r="F56" s="32" t="s">
        <v>1</v>
      </c>
      <c r="G56" s="33" t="s">
        <v>593</v>
      </c>
      <c r="H56" s="28" t="s">
        <v>594</v>
      </c>
      <c r="I56" s="30">
        <v>0</v>
      </c>
    </row>
    <row r="57" spans="1:9" ht="14" customHeight="1" x14ac:dyDescent="0.35">
      <c r="A57" s="22">
        <v>18</v>
      </c>
      <c r="B57" s="23" t="s">
        <v>398</v>
      </c>
      <c r="C57" s="23" t="s">
        <v>399</v>
      </c>
      <c r="D57" s="39">
        <v>1</v>
      </c>
      <c r="E57" s="39" t="s">
        <v>1</v>
      </c>
      <c r="F57" s="34" t="s">
        <v>1</v>
      </c>
      <c r="G57" s="35" t="s">
        <v>595</v>
      </c>
      <c r="H57" s="24" t="s">
        <v>596</v>
      </c>
      <c r="I57" s="26">
        <v>0</v>
      </c>
    </row>
    <row r="58" spans="1:9" ht="14" customHeight="1" x14ac:dyDescent="0.35">
      <c r="A58" s="27">
        <v>18</v>
      </c>
      <c r="B58" s="17" t="s">
        <v>398</v>
      </c>
      <c r="C58" s="17" t="s">
        <v>399</v>
      </c>
      <c r="D58" s="40">
        <v>1</v>
      </c>
      <c r="E58" s="40" t="s">
        <v>1</v>
      </c>
      <c r="F58" s="32" t="s">
        <v>1</v>
      </c>
      <c r="G58" s="33" t="s">
        <v>597</v>
      </c>
      <c r="H58" s="28" t="s">
        <v>598</v>
      </c>
      <c r="I58" s="30">
        <v>1</v>
      </c>
    </row>
    <row r="59" spans="1:9" ht="14" customHeight="1" x14ac:dyDescent="0.35">
      <c r="A59" s="22">
        <v>19</v>
      </c>
      <c r="B59" s="23" t="s">
        <v>400</v>
      </c>
      <c r="C59" s="23" t="s">
        <v>401</v>
      </c>
      <c r="D59" s="39">
        <v>0</v>
      </c>
      <c r="E59" s="39" t="s">
        <v>5</v>
      </c>
      <c r="F59" s="34" t="s">
        <v>0</v>
      </c>
      <c r="G59" s="35" t="s">
        <v>599</v>
      </c>
      <c r="H59" s="24" t="s">
        <v>600</v>
      </c>
      <c r="I59" s="26">
        <v>1</v>
      </c>
    </row>
    <row r="60" spans="1:9" ht="14" customHeight="1" x14ac:dyDescent="0.35">
      <c r="A60" s="27">
        <v>19</v>
      </c>
      <c r="B60" s="17" t="s">
        <v>400</v>
      </c>
      <c r="C60" s="17" t="s">
        <v>401</v>
      </c>
      <c r="D60" s="40">
        <v>0</v>
      </c>
      <c r="E60" s="40" t="s">
        <v>5</v>
      </c>
      <c r="F60" s="32" t="s">
        <v>1</v>
      </c>
      <c r="G60" s="33" t="s">
        <v>1909</v>
      </c>
      <c r="H60" s="28" t="s">
        <v>601</v>
      </c>
      <c r="I60" s="30">
        <v>1</v>
      </c>
    </row>
    <row r="61" spans="1:9" ht="14" customHeight="1" x14ac:dyDescent="0.35">
      <c r="A61" s="22">
        <v>19</v>
      </c>
      <c r="B61" s="23" t="s">
        <v>400</v>
      </c>
      <c r="C61" s="23" t="s">
        <v>401</v>
      </c>
      <c r="D61" s="39">
        <v>0</v>
      </c>
      <c r="E61" s="39" t="s">
        <v>5</v>
      </c>
      <c r="F61" s="34" t="s">
        <v>1</v>
      </c>
      <c r="G61" s="35" t="s">
        <v>602</v>
      </c>
      <c r="H61" s="24" t="s">
        <v>603</v>
      </c>
      <c r="I61" s="26">
        <v>1</v>
      </c>
    </row>
    <row r="62" spans="1:9" ht="14" customHeight="1" x14ac:dyDescent="0.3">
      <c r="A62" s="27">
        <v>19</v>
      </c>
      <c r="B62" s="18" t="s">
        <v>426</v>
      </c>
      <c r="C62" s="18" t="s">
        <v>427</v>
      </c>
      <c r="D62" s="40">
        <v>0</v>
      </c>
      <c r="E62" s="40" t="s">
        <v>5</v>
      </c>
      <c r="F62" s="29" t="s">
        <v>1</v>
      </c>
      <c r="G62" s="28" t="s">
        <v>676</v>
      </c>
      <c r="H62" s="28" t="s">
        <v>677</v>
      </c>
      <c r="I62" s="30">
        <v>1</v>
      </c>
    </row>
    <row r="63" spans="1:9" ht="14" customHeight="1" x14ac:dyDescent="0.3">
      <c r="A63" s="22">
        <v>19</v>
      </c>
      <c r="B63" s="31" t="s">
        <v>426</v>
      </c>
      <c r="C63" s="31" t="s">
        <v>427</v>
      </c>
      <c r="D63" s="39">
        <v>0</v>
      </c>
      <c r="E63" s="39" t="s">
        <v>5</v>
      </c>
      <c r="F63" s="25" t="s">
        <v>0</v>
      </c>
      <c r="G63" s="24" t="s">
        <v>678</v>
      </c>
      <c r="H63" s="24" t="s">
        <v>679</v>
      </c>
      <c r="I63" s="26">
        <v>1</v>
      </c>
    </row>
    <row r="64" spans="1:9" ht="14" customHeight="1" x14ac:dyDescent="0.3">
      <c r="A64" s="27">
        <v>19</v>
      </c>
      <c r="B64" s="18" t="s">
        <v>426</v>
      </c>
      <c r="C64" s="18" t="s">
        <v>427</v>
      </c>
      <c r="D64" s="40">
        <v>0</v>
      </c>
      <c r="E64" s="40" t="s">
        <v>5</v>
      </c>
      <c r="F64" s="29" t="s">
        <v>0</v>
      </c>
      <c r="G64" s="28" t="s">
        <v>680</v>
      </c>
      <c r="H64" s="28" t="s">
        <v>681</v>
      </c>
      <c r="I64" s="30">
        <v>1</v>
      </c>
    </row>
    <row r="65" spans="1:9" ht="14" customHeight="1" x14ac:dyDescent="0.35">
      <c r="A65" s="22">
        <v>21</v>
      </c>
      <c r="B65" s="23" t="s">
        <v>416</v>
      </c>
      <c r="C65" s="23" t="s">
        <v>417</v>
      </c>
      <c r="D65" s="39">
        <v>0</v>
      </c>
      <c r="E65" s="39" t="s">
        <v>0</v>
      </c>
      <c r="F65" s="34" t="s">
        <v>1</v>
      </c>
      <c r="G65" s="35" t="s">
        <v>646</v>
      </c>
      <c r="H65" s="24" t="s">
        <v>647</v>
      </c>
      <c r="I65" s="26">
        <v>0</v>
      </c>
    </row>
    <row r="66" spans="1:9" ht="14" customHeight="1" x14ac:dyDescent="0.35">
      <c r="A66" s="27">
        <v>21</v>
      </c>
      <c r="B66" s="17" t="s">
        <v>416</v>
      </c>
      <c r="C66" s="17" t="s">
        <v>417</v>
      </c>
      <c r="D66" s="40">
        <v>0</v>
      </c>
      <c r="E66" s="40" t="s">
        <v>0</v>
      </c>
      <c r="F66" s="32" t="s">
        <v>5</v>
      </c>
      <c r="G66" s="33" t="s">
        <v>648</v>
      </c>
      <c r="H66" s="28" t="s">
        <v>649</v>
      </c>
      <c r="I66" s="30">
        <v>1</v>
      </c>
    </row>
    <row r="67" spans="1:9" ht="14" customHeight="1" x14ac:dyDescent="0.35">
      <c r="A67" s="22">
        <v>21</v>
      </c>
      <c r="B67" s="23" t="s">
        <v>416</v>
      </c>
      <c r="C67" s="23" t="s">
        <v>417</v>
      </c>
      <c r="D67" s="39">
        <v>1</v>
      </c>
      <c r="E67" s="39" t="s">
        <v>0</v>
      </c>
      <c r="F67" s="34" t="s">
        <v>0</v>
      </c>
      <c r="G67" s="35" t="s">
        <v>650</v>
      </c>
      <c r="H67" s="24" t="s">
        <v>651</v>
      </c>
      <c r="I67" s="26">
        <v>1</v>
      </c>
    </row>
    <row r="68" spans="1:9" ht="14" customHeight="1" x14ac:dyDescent="0.3">
      <c r="A68" s="22">
        <v>22</v>
      </c>
      <c r="B68" s="23" t="s">
        <v>424</v>
      </c>
      <c r="C68" s="31" t="s">
        <v>425</v>
      </c>
      <c r="D68" s="39">
        <v>1</v>
      </c>
      <c r="E68" s="39" t="s">
        <v>0</v>
      </c>
      <c r="F68" s="25" t="s">
        <v>0</v>
      </c>
      <c r="G68" s="24" t="s">
        <v>670</v>
      </c>
      <c r="H68" s="24" t="s">
        <v>671</v>
      </c>
      <c r="I68" s="26">
        <v>1</v>
      </c>
    </row>
    <row r="69" spans="1:9" ht="14" customHeight="1" x14ac:dyDescent="0.3">
      <c r="A69" s="27">
        <v>22</v>
      </c>
      <c r="B69" s="17" t="s">
        <v>424</v>
      </c>
      <c r="C69" s="18" t="s">
        <v>425</v>
      </c>
      <c r="D69" s="40">
        <v>1</v>
      </c>
      <c r="E69" s="40" t="s">
        <v>0</v>
      </c>
      <c r="F69" s="29" t="s">
        <v>0</v>
      </c>
      <c r="G69" s="28" t="s">
        <v>672</v>
      </c>
      <c r="H69" s="28" t="s">
        <v>673</v>
      </c>
      <c r="I69" s="30">
        <v>1</v>
      </c>
    </row>
    <row r="70" spans="1:9" ht="14" customHeight="1" x14ac:dyDescent="0.3">
      <c r="A70" s="22">
        <v>22</v>
      </c>
      <c r="B70" s="23" t="s">
        <v>424</v>
      </c>
      <c r="C70" s="31" t="s">
        <v>425</v>
      </c>
      <c r="D70" s="39">
        <v>1</v>
      </c>
      <c r="E70" s="39" t="s">
        <v>0</v>
      </c>
      <c r="F70" s="25" t="s">
        <v>0</v>
      </c>
      <c r="G70" s="24" t="s">
        <v>674</v>
      </c>
      <c r="H70" s="24" t="s">
        <v>675</v>
      </c>
      <c r="I70" s="26">
        <v>1</v>
      </c>
    </row>
    <row r="71" spans="1:9" ht="14" customHeight="1" x14ac:dyDescent="0.35">
      <c r="A71" s="22">
        <v>23</v>
      </c>
      <c r="B71" s="23" t="s">
        <v>412</v>
      </c>
      <c r="C71" s="23" t="s">
        <v>413</v>
      </c>
      <c r="D71" s="39">
        <v>0</v>
      </c>
      <c r="E71" s="39" t="s">
        <v>5</v>
      </c>
      <c r="F71" s="34" t="s">
        <v>1</v>
      </c>
      <c r="G71" s="35" t="s">
        <v>634</v>
      </c>
      <c r="H71" s="24" t="s">
        <v>635</v>
      </c>
      <c r="I71" s="26">
        <v>1</v>
      </c>
    </row>
    <row r="72" spans="1:9" ht="14" customHeight="1" x14ac:dyDescent="0.35">
      <c r="A72" s="27">
        <v>23</v>
      </c>
      <c r="B72" s="17" t="s">
        <v>412</v>
      </c>
      <c r="C72" s="17" t="s">
        <v>413</v>
      </c>
      <c r="D72" s="40">
        <v>0</v>
      </c>
      <c r="E72" s="40" t="s">
        <v>5</v>
      </c>
      <c r="F72" s="32" t="s">
        <v>1</v>
      </c>
      <c r="G72" s="33" t="s">
        <v>636</v>
      </c>
      <c r="H72" s="28" t="s">
        <v>637</v>
      </c>
      <c r="I72" s="30">
        <v>1</v>
      </c>
    </row>
    <row r="73" spans="1:9" ht="14" customHeight="1" x14ac:dyDescent="0.35">
      <c r="A73" s="22">
        <v>23</v>
      </c>
      <c r="B73" s="23" t="s">
        <v>412</v>
      </c>
      <c r="C73" s="23" t="s">
        <v>413</v>
      </c>
      <c r="D73" s="39">
        <v>0</v>
      </c>
      <c r="E73" s="39" t="s">
        <v>5</v>
      </c>
      <c r="F73" s="34" t="s">
        <v>0</v>
      </c>
      <c r="G73" s="35" t="s">
        <v>638</v>
      </c>
      <c r="H73" s="24" t="s">
        <v>639</v>
      </c>
      <c r="I73" s="26">
        <v>1</v>
      </c>
    </row>
    <row r="74" spans="1:9" ht="14" customHeight="1" x14ac:dyDescent="0.35">
      <c r="A74" s="22">
        <v>24</v>
      </c>
      <c r="B74" s="23" t="s">
        <v>404</v>
      </c>
      <c r="C74" s="23" t="s">
        <v>405</v>
      </c>
      <c r="D74" s="39">
        <v>0</v>
      </c>
      <c r="E74" s="39" t="s">
        <v>5</v>
      </c>
      <c r="F74" s="34" t="s">
        <v>1</v>
      </c>
      <c r="G74" s="35" t="s">
        <v>610</v>
      </c>
      <c r="H74" s="24" t="s">
        <v>611</v>
      </c>
      <c r="I74" s="26">
        <v>1</v>
      </c>
    </row>
    <row r="75" spans="1:9" ht="14" customHeight="1" x14ac:dyDescent="0.35">
      <c r="A75" s="27">
        <v>24</v>
      </c>
      <c r="B75" s="17" t="s">
        <v>404</v>
      </c>
      <c r="C75" s="17" t="s">
        <v>405</v>
      </c>
      <c r="D75" s="40">
        <v>0</v>
      </c>
      <c r="E75" s="40" t="s">
        <v>5</v>
      </c>
      <c r="F75" s="32" t="s">
        <v>1</v>
      </c>
      <c r="G75" s="33" t="s">
        <v>612</v>
      </c>
      <c r="H75" s="28" t="s">
        <v>613</v>
      </c>
      <c r="I75" s="30">
        <v>1</v>
      </c>
    </row>
    <row r="76" spans="1:9" ht="14" customHeight="1" x14ac:dyDescent="0.35">
      <c r="A76" s="22">
        <v>24</v>
      </c>
      <c r="B76" s="23" t="s">
        <v>404</v>
      </c>
      <c r="C76" s="23" t="s">
        <v>405</v>
      </c>
      <c r="D76" s="39">
        <v>0</v>
      </c>
      <c r="E76" s="39" t="s">
        <v>5</v>
      </c>
      <c r="F76" s="34" t="s">
        <v>0</v>
      </c>
      <c r="G76" s="35" t="s">
        <v>614</v>
      </c>
      <c r="H76" s="24" t="s">
        <v>615</v>
      </c>
      <c r="I76" s="26">
        <v>1</v>
      </c>
    </row>
    <row r="77" spans="1:9" ht="14" customHeight="1" x14ac:dyDescent="0.3">
      <c r="A77" s="27">
        <v>25</v>
      </c>
      <c r="B77" s="17" t="s">
        <v>390</v>
      </c>
      <c r="C77" s="17" t="s">
        <v>391</v>
      </c>
      <c r="D77" s="40">
        <v>0</v>
      </c>
      <c r="E77" s="40" t="s">
        <v>5</v>
      </c>
      <c r="F77" s="29" t="s">
        <v>1</v>
      </c>
      <c r="G77" s="28" t="s">
        <v>571</v>
      </c>
      <c r="H77" s="28" t="s">
        <v>572</v>
      </c>
      <c r="I77" s="30">
        <v>1</v>
      </c>
    </row>
    <row r="78" spans="1:9" ht="14" customHeight="1" x14ac:dyDescent="0.3">
      <c r="A78" s="22">
        <v>25</v>
      </c>
      <c r="B78" s="23" t="s">
        <v>390</v>
      </c>
      <c r="C78" s="23" t="s">
        <v>391</v>
      </c>
      <c r="D78" s="39">
        <v>0</v>
      </c>
      <c r="E78" s="39" t="s">
        <v>5</v>
      </c>
      <c r="F78" s="25" t="s">
        <v>0</v>
      </c>
      <c r="G78" s="24" t="s">
        <v>573</v>
      </c>
      <c r="H78" s="24" t="s">
        <v>574</v>
      </c>
      <c r="I78" s="26">
        <v>1</v>
      </c>
    </row>
    <row r="79" spans="1:9" ht="14" customHeight="1" x14ac:dyDescent="0.3">
      <c r="A79" s="27">
        <v>25</v>
      </c>
      <c r="B79" s="17" t="s">
        <v>390</v>
      </c>
      <c r="C79" s="17" t="s">
        <v>391</v>
      </c>
      <c r="D79" s="40">
        <v>1</v>
      </c>
      <c r="E79" s="40" t="s">
        <v>5</v>
      </c>
      <c r="F79" s="29" t="s">
        <v>5</v>
      </c>
      <c r="G79" s="28" t="s">
        <v>88</v>
      </c>
      <c r="H79" s="28" t="s">
        <v>575</v>
      </c>
      <c r="I79" s="30">
        <v>1</v>
      </c>
    </row>
    <row r="80" spans="1:9" ht="14" customHeight="1" x14ac:dyDescent="0.35">
      <c r="A80" s="27">
        <v>26</v>
      </c>
      <c r="B80" s="17" t="s">
        <v>418</v>
      </c>
      <c r="C80" s="17" t="s">
        <v>419</v>
      </c>
      <c r="D80" s="40">
        <v>0</v>
      </c>
      <c r="E80" s="40" t="s">
        <v>1</v>
      </c>
      <c r="F80" s="32" t="s">
        <v>0</v>
      </c>
      <c r="G80" s="33" t="s">
        <v>652</v>
      </c>
      <c r="H80" s="28" t="s">
        <v>653</v>
      </c>
      <c r="I80" s="30">
        <v>1</v>
      </c>
    </row>
    <row r="81" spans="1:9" ht="14" customHeight="1" x14ac:dyDescent="0.35">
      <c r="A81" s="22">
        <v>26</v>
      </c>
      <c r="B81" s="23" t="s">
        <v>418</v>
      </c>
      <c r="C81" s="23" t="s">
        <v>419</v>
      </c>
      <c r="D81" s="39">
        <v>1</v>
      </c>
      <c r="E81" s="39" t="s">
        <v>1</v>
      </c>
      <c r="F81" s="34" t="s">
        <v>1</v>
      </c>
      <c r="G81" s="35" t="s">
        <v>654</v>
      </c>
      <c r="H81" s="24" t="s">
        <v>655</v>
      </c>
      <c r="I81" s="26">
        <v>1</v>
      </c>
    </row>
    <row r="82" spans="1:9" ht="14" customHeight="1" x14ac:dyDescent="0.35">
      <c r="A82" s="27">
        <v>26</v>
      </c>
      <c r="B82" s="17" t="s">
        <v>418</v>
      </c>
      <c r="C82" s="17" t="s">
        <v>419</v>
      </c>
      <c r="D82" s="40">
        <v>1</v>
      </c>
      <c r="E82" s="40" t="s">
        <v>1</v>
      </c>
      <c r="F82" s="32" t="s">
        <v>1</v>
      </c>
      <c r="G82" s="33" t="s">
        <v>656</v>
      </c>
      <c r="H82" s="28" t="s">
        <v>657</v>
      </c>
      <c r="I82" s="30">
        <v>1</v>
      </c>
    </row>
    <row r="83" spans="1:9" ht="14" customHeight="1" x14ac:dyDescent="0.3">
      <c r="A83" s="22">
        <v>27</v>
      </c>
      <c r="B83" s="23" t="s">
        <v>364</v>
      </c>
      <c r="C83" s="23" t="s">
        <v>365</v>
      </c>
      <c r="D83" s="39">
        <v>0</v>
      </c>
      <c r="E83" s="39" t="s">
        <v>1</v>
      </c>
      <c r="F83" s="25" t="s">
        <v>5</v>
      </c>
      <c r="G83" s="25" t="s">
        <v>493</v>
      </c>
      <c r="H83" s="24" t="s">
        <v>494</v>
      </c>
      <c r="I83" s="26">
        <v>1</v>
      </c>
    </row>
    <row r="84" spans="1:9" ht="14" customHeight="1" x14ac:dyDescent="0.3">
      <c r="A84" s="27">
        <v>27</v>
      </c>
      <c r="B84" s="17" t="s">
        <v>364</v>
      </c>
      <c r="C84" s="17" t="s">
        <v>365</v>
      </c>
      <c r="D84" s="40">
        <v>0</v>
      </c>
      <c r="E84" s="40" t="s">
        <v>1</v>
      </c>
      <c r="F84" s="29" t="s">
        <v>5</v>
      </c>
      <c r="G84" s="29" t="s">
        <v>495</v>
      </c>
      <c r="H84" s="28" t="s">
        <v>496</v>
      </c>
      <c r="I84" s="30">
        <v>1</v>
      </c>
    </row>
    <row r="85" spans="1:9" ht="14" customHeight="1" x14ac:dyDescent="0.3">
      <c r="A85" s="22">
        <v>27</v>
      </c>
      <c r="B85" s="23" t="s">
        <v>364</v>
      </c>
      <c r="C85" s="23" t="s">
        <v>365</v>
      </c>
      <c r="D85" s="39">
        <v>0</v>
      </c>
      <c r="E85" s="39" t="s">
        <v>1</v>
      </c>
      <c r="F85" s="25" t="s">
        <v>5</v>
      </c>
      <c r="G85" s="25" t="s">
        <v>497</v>
      </c>
      <c r="H85" s="24" t="s">
        <v>498</v>
      </c>
      <c r="I85" s="26">
        <v>1</v>
      </c>
    </row>
    <row r="86" spans="1:9" ht="14" customHeight="1" x14ac:dyDescent="0.35">
      <c r="A86" s="22">
        <v>28</v>
      </c>
      <c r="B86" s="23" t="s">
        <v>396</v>
      </c>
      <c r="C86" s="23" t="s">
        <v>397</v>
      </c>
      <c r="D86" s="39">
        <v>0</v>
      </c>
      <c r="E86" s="39" t="s">
        <v>0</v>
      </c>
      <c r="F86" s="34" t="s">
        <v>1</v>
      </c>
      <c r="G86" s="35" t="s">
        <v>587</v>
      </c>
      <c r="H86" s="24" t="s">
        <v>588</v>
      </c>
      <c r="I86" s="26">
        <v>0</v>
      </c>
    </row>
    <row r="87" spans="1:9" ht="14" customHeight="1" x14ac:dyDescent="0.35">
      <c r="A87" s="27">
        <v>28</v>
      </c>
      <c r="B87" s="17" t="s">
        <v>396</v>
      </c>
      <c r="C87" s="17" t="s">
        <v>397</v>
      </c>
      <c r="D87" s="40">
        <v>0</v>
      </c>
      <c r="E87" s="40" t="s">
        <v>0</v>
      </c>
      <c r="F87" s="32" t="s">
        <v>1</v>
      </c>
      <c r="G87" s="33" t="s">
        <v>589</v>
      </c>
      <c r="H87" s="28" t="s">
        <v>590</v>
      </c>
      <c r="I87" s="30">
        <v>0</v>
      </c>
    </row>
    <row r="88" spans="1:9" ht="14" customHeight="1" x14ac:dyDescent="0.35">
      <c r="A88" s="22">
        <v>28</v>
      </c>
      <c r="B88" s="23" t="s">
        <v>396</v>
      </c>
      <c r="C88" s="23" t="s">
        <v>397</v>
      </c>
      <c r="D88" s="39">
        <v>0</v>
      </c>
      <c r="E88" s="39" t="s">
        <v>0</v>
      </c>
      <c r="F88" s="34" t="s">
        <v>1</v>
      </c>
      <c r="G88" s="35" t="s">
        <v>591</v>
      </c>
      <c r="H88" s="24" t="s">
        <v>592</v>
      </c>
      <c r="I88" s="26">
        <v>1</v>
      </c>
    </row>
    <row r="89" spans="1:9" ht="14" customHeight="1" x14ac:dyDescent="0.35">
      <c r="A89" s="27">
        <v>29</v>
      </c>
      <c r="B89" s="17" t="s">
        <v>406</v>
      </c>
      <c r="C89" s="17" t="s">
        <v>407</v>
      </c>
      <c r="D89" s="40">
        <v>0</v>
      </c>
      <c r="E89" s="40" t="s">
        <v>1</v>
      </c>
      <c r="F89" s="32" t="s">
        <v>0</v>
      </c>
      <c r="G89" s="33" t="s">
        <v>616</v>
      </c>
      <c r="H89" s="28" t="s">
        <v>617</v>
      </c>
      <c r="I89" s="30">
        <v>1</v>
      </c>
    </row>
    <row r="90" spans="1:9" ht="14" customHeight="1" x14ac:dyDescent="0.35">
      <c r="A90" s="22">
        <v>29</v>
      </c>
      <c r="B90" s="23" t="s">
        <v>406</v>
      </c>
      <c r="C90" s="23" t="s">
        <v>407</v>
      </c>
      <c r="D90" s="39">
        <v>1</v>
      </c>
      <c r="E90" s="39" t="s">
        <v>1</v>
      </c>
      <c r="F90" s="34" t="s">
        <v>1</v>
      </c>
      <c r="G90" s="35" t="s">
        <v>618</v>
      </c>
      <c r="H90" s="24" t="s">
        <v>619</v>
      </c>
      <c r="I90" s="26">
        <v>1</v>
      </c>
    </row>
    <row r="91" spans="1:9" ht="14" customHeight="1" x14ac:dyDescent="0.35">
      <c r="A91" s="27">
        <v>29</v>
      </c>
      <c r="B91" s="17" t="s">
        <v>406</v>
      </c>
      <c r="C91" s="17" t="s">
        <v>407</v>
      </c>
      <c r="D91" s="40">
        <v>1</v>
      </c>
      <c r="E91" s="40" t="s">
        <v>1</v>
      </c>
      <c r="F91" s="32" t="s">
        <v>1</v>
      </c>
      <c r="G91" s="33" t="s">
        <v>620</v>
      </c>
      <c r="H91" s="28" t="s">
        <v>621</v>
      </c>
      <c r="I91" s="30">
        <v>1</v>
      </c>
    </row>
    <row r="92" spans="1:9" ht="14" customHeight="1" x14ac:dyDescent="0.35">
      <c r="A92" s="22">
        <v>31</v>
      </c>
      <c r="B92" s="31" t="s">
        <v>420</v>
      </c>
      <c r="C92" s="31" t="s">
        <v>421</v>
      </c>
      <c r="D92" s="39">
        <v>0</v>
      </c>
      <c r="E92" s="39" t="s">
        <v>1</v>
      </c>
      <c r="F92" s="34" t="s">
        <v>0</v>
      </c>
      <c r="G92" s="35" t="s">
        <v>658</v>
      </c>
      <c r="H92" s="24" t="s">
        <v>659</v>
      </c>
      <c r="I92" s="26">
        <v>1</v>
      </c>
    </row>
    <row r="93" spans="1:9" ht="14" customHeight="1" x14ac:dyDescent="0.35">
      <c r="A93" s="27">
        <v>31</v>
      </c>
      <c r="B93" s="18" t="s">
        <v>420</v>
      </c>
      <c r="C93" s="18" t="s">
        <v>421</v>
      </c>
      <c r="D93" s="40">
        <v>1</v>
      </c>
      <c r="E93" s="40" t="s">
        <v>1</v>
      </c>
      <c r="F93" s="32" t="s">
        <v>1</v>
      </c>
      <c r="G93" s="33" t="s">
        <v>660</v>
      </c>
      <c r="H93" s="28" t="s">
        <v>661</v>
      </c>
      <c r="I93" s="30">
        <v>1</v>
      </c>
    </row>
    <row r="94" spans="1:9" ht="14" customHeight="1" x14ac:dyDescent="0.35">
      <c r="A94" s="22">
        <v>31</v>
      </c>
      <c r="B94" s="31" t="s">
        <v>420</v>
      </c>
      <c r="C94" s="31" t="s">
        <v>421</v>
      </c>
      <c r="D94" s="39">
        <v>0</v>
      </c>
      <c r="E94" s="39" t="s">
        <v>1</v>
      </c>
      <c r="F94" s="34" t="s">
        <v>0</v>
      </c>
      <c r="G94" s="35" t="s">
        <v>662</v>
      </c>
      <c r="H94" s="24" t="s">
        <v>663</v>
      </c>
      <c r="I94" s="26">
        <v>1</v>
      </c>
    </row>
    <row r="95" spans="1:9" ht="14" customHeight="1" x14ac:dyDescent="0.3">
      <c r="A95" s="22">
        <v>32</v>
      </c>
      <c r="B95" s="23" t="s">
        <v>428</v>
      </c>
      <c r="C95" s="23" t="s">
        <v>429</v>
      </c>
      <c r="D95" s="39">
        <v>0</v>
      </c>
      <c r="E95" s="39" t="s">
        <v>0</v>
      </c>
      <c r="F95" s="25" t="s">
        <v>5</v>
      </c>
      <c r="G95" s="24" t="s">
        <v>682</v>
      </c>
      <c r="H95" s="24" t="s">
        <v>683</v>
      </c>
      <c r="I95" s="26">
        <v>1</v>
      </c>
    </row>
    <row r="96" spans="1:9" ht="14" customHeight="1" x14ac:dyDescent="0.3">
      <c r="A96" s="27">
        <v>32</v>
      </c>
      <c r="B96" s="17" t="s">
        <v>428</v>
      </c>
      <c r="C96" s="17" t="s">
        <v>429</v>
      </c>
      <c r="D96" s="40">
        <v>0</v>
      </c>
      <c r="E96" s="40" t="s">
        <v>0</v>
      </c>
      <c r="F96" s="29" t="s">
        <v>5</v>
      </c>
      <c r="G96" s="28" t="s">
        <v>684</v>
      </c>
      <c r="H96" s="28" t="s">
        <v>685</v>
      </c>
      <c r="I96" s="30">
        <v>1</v>
      </c>
    </row>
    <row r="97" spans="1:9" ht="14" customHeight="1" x14ac:dyDescent="0.3">
      <c r="A97" s="22">
        <v>32</v>
      </c>
      <c r="B97" s="23" t="s">
        <v>428</v>
      </c>
      <c r="C97" s="23" t="s">
        <v>429</v>
      </c>
      <c r="D97" s="39">
        <v>0</v>
      </c>
      <c r="E97" s="39" t="s">
        <v>0</v>
      </c>
      <c r="F97" s="25" t="s">
        <v>1</v>
      </c>
      <c r="G97" s="24" t="s">
        <v>686</v>
      </c>
      <c r="H97" s="24" t="s">
        <v>687</v>
      </c>
      <c r="I97" s="26">
        <v>1</v>
      </c>
    </row>
    <row r="98" spans="1:9" ht="14" customHeight="1" x14ac:dyDescent="0.35">
      <c r="A98" s="27">
        <v>33</v>
      </c>
      <c r="B98" s="18" t="s">
        <v>422</v>
      </c>
      <c r="C98" s="18" t="s">
        <v>423</v>
      </c>
      <c r="D98" s="40">
        <v>0</v>
      </c>
      <c r="E98" s="40" t="s">
        <v>1</v>
      </c>
      <c r="F98" s="32" t="s">
        <v>0</v>
      </c>
      <c r="G98" s="33" t="s">
        <v>664</v>
      </c>
      <c r="H98" s="28" t="s">
        <v>665</v>
      </c>
      <c r="I98" s="30">
        <v>1</v>
      </c>
    </row>
    <row r="99" spans="1:9" ht="14" customHeight="1" x14ac:dyDescent="0.35">
      <c r="A99" s="22">
        <v>33</v>
      </c>
      <c r="B99" s="31" t="s">
        <v>422</v>
      </c>
      <c r="C99" s="31" t="s">
        <v>423</v>
      </c>
      <c r="D99" s="39">
        <v>1</v>
      </c>
      <c r="E99" s="39" t="s">
        <v>1</v>
      </c>
      <c r="F99" s="34" t="s">
        <v>1</v>
      </c>
      <c r="G99" s="35" t="s">
        <v>666</v>
      </c>
      <c r="H99" s="24" t="s">
        <v>667</v>
      </c>
      <c r="I99" s="26">
        <v>1</v>
      </c>
    </row>
    <row r="100" spans="1:9" ht="14" customHeight="1" x14ac:dyDescent="0.35">
      <c r="A100" s="27">
        <v>33</v>
      </c>
      <c r="B100" s="18" t="s">
        <v>422</v>
      </c>
      <c r="C100" s="18" t="s">
        <v>423</v>
      </c>
      <c r="D100" s="40">
        <v>0</v>
      </c>
      <c r="E100" s="40" t="s">
        <v>1</v>
      </c>
      <c r="F100" s="32" t="s">
        <v>5</v>
      </c>
      <c r="G100" s="33" t="s">
        <v>668</v>
      </c>
      <c r="H100" s="28" t="s">
        <v>669</v>
      </c>
      <c r="I100" s="30">
        <v>1</v>
      </c>
    </row>
    <row r="101" spans="1:9" ht="14" customHeight="1" x14ac:dyDescent="0.3">
      <c r="A101" s="27">
        <v>34</v>
      </c>
      <c r="B101" s="18" t="s">
        <v>430</v>
      </c>
      <c r="C101" s="18" t="s">
        <v>431</v>
      </c>
      <c r="D101" s="40">
        <v>0</v>
      </c>
      <c r="E101" s="40" t="s">
        <v>1</v>
      </c>
      <c r="F101" s="29" t="s">
        <v>5</v>
      </c>
      <c r="G101" s="28" t="s">
        <v>688</v>
      </c>
      <c r="H101" s="28" t="s">
        <v>689</v>
      </c>
      <c r="I101" s="30">
        <v>1</v>
      </c>
    </row>
    <row r="102" spans="1:9" ht="14" customHeight="1" x14ac:dyDescent="0.3">
      <c r="A102" s="22">
        <v>34</v>
      </c>
      <c r="B102" s="31" t="s">
        <v>430</v>
      </c>
      <c r="C102" s="31" t="s">
        <v>431</v>
      </c>
      <c r="D102" s="39">
        <v>1</v>
      </c>
      <c r="E102" s="39" t="s">
        <v>1</v>
      </c>
      <c r="F102" s="25" t="s">
        <v>1</v>
      </c>
      <c r="G102" s="24" t="s">
        <v>690</v>
      </c>
      <c r="H102" s="24" t="s">
        <v>691</v>
      </c>
      <c r="I102" s="26">
        <v>1</v>
      </c>
    </row>
    <row r="103" spans="1:9" ht="14" customHeight="1" x14ac:dyDescent="0.3">
      <c r="A103" s="27">
        <v>34</v>
      </c>
      <c r="B103" s="18" t="s">
        <v>430</v>
      </c>
      <c r="C103" s="18" t="s">
        <v>431</v>
      </c>
      <c r="D103" s="40">
        <v>0</v>
      </c>
      <c r="E103" s="40" t="s">
        <v>1</v>
      </c>
      <c r="F103" s="29" t="s">
        <v>5</v>
      </c>
      <c r="G103" s="28" t="s">
        <v>692</v>
      </c>
      <c r="H103" s="28" t="s">
        <v>693</v>
      </c>
      <c r="I103" s="30">
        <v>1</v>
      </c>
    </row>
    <row r="104" spans="1:9" ht="14" customHeight="1" x14ac:dyDescent="0.3">
      <c r="A104" s="22">
        <v>35</v>
      </c>
      <c r="B104" s="23" t="s">
        <v>432</v>
      </c>
      <c r="C104" s="23" t="s">
        <v>433</v>
      </c>
      <c r="D104" s="39">
        <v>0</v>
      </c>
      <c r="E104" s="39" t="s">
        <v>5</v>
      </c>
      <c r="F104" s="25" t="s">
        <v>1</v>
      </c>
      <c r="G104" s="24" t="s">
        <v>694</v>
      </c>
      <c r="H104" s="24" t="s">
        <v>695</v>
      </c>
      <c r="I104" s="26">
        <v>1</v>
      </c>
    </row>
    <row r="105" spans="1:9" ht="14" customHeight="1" x14ac:dyDescent="0.3">
      <c r="A105" s="27">
        <v>35</v>
      </c>
      <c r="B105" s="17" t="s">
        <v>432</v>
      </c>
      <c r="C105" s="17" t="s">
        <v>433</v>
      </c>
      <c r="D105" s="40">
        <v>0</v>
      </c>
      <c r="E105" s="40" t="s">
        <v>5</v>
      </c>
      <c r="F105" s="29" t="s">
        <v>1</v>
      </c>
      <c r="G105" s="28" t="s">
        <v>696</v>
      </c>
      <c r="H105" s="28" t="s">
        <v>697</v>
      </c>
      <c r="I105" s="30">
        <v>0</v>
      </c>
    </row>
    <row r="106" spans="1:9" ht="14" customHeight="1" x14ac:dyDescent="0.3">
      <c r="A106" s="22">
        <v>35</v>
      </c>
      <c r="B106" s="23" t="s">
        <v>432</v>
      </c>
      <c r="C106" s="23" t="s">
        <v>433</v>
      </c>
      <c r="D106" s="39">
        <v>0</v>
      </c>
      <c r="E106" s="39" t="s">
        <v>5</v>
      </c>
      <c r="F106" s="25" t="s">
        <v>0</v>
      </c>
      <c r="G106" s="24" t="s">
        <v>698</v>
      </c>
      <c r="H106" s="24" t="s">
        <v>699</v>
      </c>
      <c r="I106" s="26">
        <v>1</v>
      </c>
    </row>
    <row r="107" spans="1:9" ht="14" customHeight="1" x14ac:dyDescent="0.3">
      <c r="A107" s="27">
        <v>36</v>
      </c>
      <c r="B107" s="17" t="s">
        <v>434</v>
      </c>
      <c r="C107" s="17" t="s">
        <v>435</v>
      </c>
      <c r="D107" s="40">
        <v>1</v>
      </c>
      <c r="E107" s="40" t="s">
        <v>1</v>
      </c>
      <c r="F107" s="29" t="s">
        <v>1</v>
      </c>
      <c r="G107" s="28" t="s">
        <v>700</v>
      </c>
      <c r="H107" s="28" t="s">
        <v>701</v>
      </c>
      <c r="I107" s="30">
        <v>1</v>
      </c>
    </row>
    <row r="108" spans="1:9" ht="14" customHeight="1" x14ac:dyDescent="0.3">
      <c r="A108" s="22">
        <v>36</v>
      </c>
      <c r="B108" s="23" t="s">
        <v>434</v>
      </c>
      <c r="C108" s="23" t="s">
        <v>435</v>
      </c>
      <c r="D108" s="39">
        <v>0</v>
      </c>
      <c r="E108" s="39" t="s">
        <v>1</v>
      </c>
      <c r="F108" s="25" t="s">
        <v>0</v>
      </c>
      <c r="G108" s="24" t="s">
        <v>702</v>
      </c>
      <c r="H108" s="24" t="s">
        <v>703</v>
      </c>
      <c r="I108" s="26">
        <v>1</v>
      </c>
    </row>
    <row r="109" spans="1:9" ht="14" customHeight="1" x14ac:dyDescent="0.3">
      <c r="A109" s="27">
        <v>36</v>
      </c>
      <c r="B109" s="17" t="s">
        <v>434</v>
      </c>
      <c r="C109" s="17" t="s">
        <v>435</v>
      </c>
      <c r="D109" s="40">
        <v>0</v>
      </c>
      <c r="E109" s="40" t="s">
        <v>1</v>
      </c>
      <c r="F109" s="29" t="s">
        <v>0</v>
      </c>
      <c r="G109" s="28" t="s">
        <v>704</v>
      </c>
      <c r="H109" s="28" t="s">
        <v>705</v>
      </c>
      <c r="I109" s="30">
        <v>1</v>
      </c>
    </row>
    <row r="110" spans="1:9" ht="14" customHeight="1" x14ac:dyDescent="0.3">
      <c r="A110" s="22">
        <v>37</v>
      </c>
      <c r="B110" s="23" t="s">
        <v>436</v>
      </c>
      <c r="C110" s="23" t="s">
        <v>437</v>
      </c>
      <c r="D110" s="39">
        <v>0</v>
      </c>
      <c r="E110" s="39" t="s">
        <v>5</v>
      </c>
      <c r="F110" s="25" t="s">
        <v>0</v>
      </c>
      <c r="G110" s="24" t="s">
        <v>706</v>
      </c>
      <c r="H110" s="24" t="s">
        <v>707</v>
      </c>
      <c r="I110" s="26">
        <v>1</v>
      </c>
    </row>
    <row r="111" spans="1:9" ht="14" customHeight="1" x14ac:dyDescent="0.3">
      <c r="A111" s="27">
        <v>37</v>
      </c>
      <c r="B111" s="17" t="s">
        <v>436</v>
      </c>
      <c r="C111" s="17" t="s">
        <v>437</v>
      </c>
      <c r="D111" s="40">
        <v>0</v>
      </c>
      <c r="E111" s="40" t="s">
        <v>5</v>
      </c>
      <c r="F111" s="29" t="s">
        <v>1</v>
      </c>
      <c r="G111" s="28" t="s">
        <v>708</v>
      </c>
      <c r="H111" s="28" t="s">
        <v>709</v>
      </c>
      <c r="I111" s="30">
        <v>0</v>
      </c>
    </row>
    <row r="112" spans="1:9" ht="14" customHeight="1" x14ac:dyDescent="0.3">
      <c r="A112" s="22">
        <v>37</v>
      </c>
      <c r="B112" s="23" t="s">
        <v>436</v>
      </c>
      <c r="C112" s="23" t="s">
        <v>437</v>
      </c>
      <c r="D112" s="39">
        <v>0</v>
      </c>
      <c r="E112" s="39" t="s">
        <v>5</v>
      </c>
      <c r="F112" s="25" t="s">
        <v>1</v>
      </c>
      <c r="G112" s="24" t="s">
        <v>710</v>
      </c>
      <c r="H112" s="24" t="s">
        <v>711</v>
      </c>
      <c r="I112" s="26">
        <v>1</v>
      </c>
    </row>
    <row r="113" spans="1:9" ht="14" customHeight="1" x14ac:dyDescent="0.3">
      <c r="A113" s="27">
        <v>38</v>
      </c>
      <c r="B113" s="17" t="s">
        <v>438</v>
      </c>
      <c r="C113" s="17" t="s">
        <v>439</v>
      </c>
      <c r="D113" s="40">
        <v>1</v>
      </c>
      <c r="E113" s="40" t="s">
        <v>5</v>
      </c>
      <c r="F113" s="29" t="s">
        <v>5</v>
      </c>
      <c r="G113" s="28" t="s">
        <v>712</v>
      </c>
      <c r="H113" s="28" t="s">
        <v>713</v>
      </c>
      <c r="I113" s="30">
        <v>1</v>
      </c>
    </row>
    <row r="114" spans="1:9" ht="14" customHeight="1" x14ac:dyDescent="0.3">
      <c r="A114" s="22">
        <v>38</v>
      </c>
      <c r="B114" s="23" t="s">
        <v>438</v>
      </c>
      <c r="C114" s="23" t="s">
        <v>439</v>
      </c>
      <c r="D114" s="39">
        <v>0</v>
      </c>
      <c r="E114" s="39" t="s">
        <v>5</v>
      </c>
      <c r="F114" s="25" t="s">
        <v>0</v>
      </c>
      <c r="G114" s="24" t="s">
        <v>714</v>
      </c>
      <c r="H114" s="24" t="s">
        <v>715</v>
      </c>
      <c r="I114" s="26">
        <v>1</v>
      </c>
    </row>
    <row r="115" spans="1:9" ht="14" customHeight="1" x14ac:dyDescent="0.3">
      <c r="A115" s="27">
        <v>38</v>
      </c>
      <c r="B115" s="17" t="s">
        <v>438</v>
      </c>
      <c r="C115" s="17" t="s">
        <v>439</v>
      </c>
      <c r="D115" s="40">
        <v>1</v>
      </c>
      <c r="E115" s="40" t="s">
        <v>5</v>
      </c>
      <c r="F115" s="29" t="s">
        <v>5</v>
      </c>
      <c r="G115" s="28" t="s">
        <v>716</v>
      </c>
      <c r="H115" s="28" t="s">
        <v>717</v>
      </c>
      <c r="I115" s="30">
        <v>1</v>
      </c>
    </row>
    <row r="116" spans="1:9" ht="14" customHeight="1" x14ac:dyDescent="0.3">
      <c r="A116" s="22">
        <v>39</v>
      </c>
      <c r="B116" s="23" t="s">
        <v>440</v>
      </c>
      <c r="C116" s="23" t="s">
        <v>441</v>
      </c>
      <c r="D116" s="39">
        <v>1</v>
      </c>
      <c r="E116" s="39" t="s">
        <v>1</v>
      </c>
      <c r="F116" s="25" t="s">
        <v>1</v>
      </c>
      <c r="G116" s="24" t="s">
        <v>718</v>
      </c>
      <c r="H116" s="24" t="s">
        <v>719</v>
      </c>
      <c r="I116" s="26">
        <v>1</v>
      </c>
    </row>
    <row r="117" spans="1:9" ht="14" customHeight="1" x14ac:dyDescent="0.3">
      <c r="A117" s="27">
        <v>39</v>
      </c>
      <c r="B117" s="17" t="s">
        <v>440</v>
      </c>
      <c r="C117" s="17" t="s">
        <v>441</v>
      </c>
      <c r="D117" s="40">
        <v>0</v>
      </c>
      <c r="E117" s="40" t="s">
        <v>1</v>
      </c>
      <c r="F117" s="29" t="s">
        <v>0</v>
      </c>
      <c r="G117" s="28" t="s">
        <v>720</v>
      </c>
      <c r="H117" s="28" t="s">
        <v>721</v>
      </c>
      <c r="I117" s="30">
        <v>1</v>
      </c>
    </row>
    <row r="118" spans="1:9" ht="14" customHeight="1" x14ac:dyDescent="0.3">
      <c r="A118" s="22">
        <v>39</v>
      </c>
      <c r="B118" s="23" t="s">
        <v>440</v>
      </c>
      <c r="C118" s="23" t="s">
        <v>441</v>
      </c>
      <c r="D118" s="39">
        <v>1</v>
      </c>
      <c r="E118" s="39" t="s">
        <v>1</v>
      </c>
      <c r="F118" s="25" t="s">
        <v>1</v>
      </c>
      <c r="G118" s="24" t="s">
        <v>722</v>
      </c>
      <c r="H118" s="24" t="s">
        <v>723</v>
      </c>
      <c r="I118" s="26">
        <v>1</v>
      </c>
    </row>
    <row r="119" spans="1:9" ht="14" customHeight="1" x14ac:dyDescent="0.3">
      <c r="A119" s="22">
        <v>40</v>
      </c>
      <c r="B119" s="23" t="s">
        <v>452</v>
      </c>
      <c r="C119" s="23" t="s">
        <v>453</v>
      </c>
      <c r="D119" s="39">
        <v>0</v>
      </c>
      <c r="E119" s="39" t="s">
        <v>0</v>
      </c>
      <c r="F119" s="25" t="s">
        <v>5</v>
      </c>
      <c r="G119" s="24" t="s">
        <v>754</v>
      </c>
      <c r="H119" s="24" t="s">
        <v>755</v>
      </c>
      <c r="I119" s="26">
        <v>1</v>
      </c>
    </row>
    <row r="120" spans="1:9" ht="14" customHeight="1" x14ac:dyDescent="0.3">
      <c r="A120" s="27">
        <v>40</v>
      </c>
      <c r="B120" s="17" t="s">
        <v>452</v>
      </c>
      <c r="C120" s="17" t="s">
        <v>453</v>
      </c>
      <c r="D120" s="40">
        <v>0</v>
      </c>
      <c r="E120" s="40" t="s">
        <v>0</v>
      </c>
      <c r="F120" s="29" t="s">
        <v>5</v>
      </c>
      <c r="G120" s="28" t="s">
        <v>756</v>
      </c>
      <c r="H120" s="28" t="s">
        <v>757</v>
      </c>
      <c r="I120" s="30">
        <v>1</v>
      </c>
    </row>
    <row r="121" spans="1:9" ht="14" customHeight="1" x14ac:dyDescent="0.3">
      <c r="A121" s="22">
        <v>40</v>
      </c>
      <c r="B121" s="23" t="s">
        <v>452</v>
      </c>
      <c r="C121" s="23" t="s">
        <v>453</v>
      </c>
      <c r="D121" s="39">
        <v>0</v>
      </c>
      <c r="E121" s="39" t="s">
        <v>0</v>
      </c>
      <c r="F121" s="25" t="s">
        <v>1</v>
      </c>
      <c r="G121" s="24" t="s">
        <v>758</v>
      </c>
      <c r="H121" s="24" t="s">
        <v>759</v>
      </c>
      <c r="I121" s="26">
        <v>1</v>
      </c>
    </row>
    <row r="122" spans="1:9" ht="14" customHeight="1" x14ac:dyDescent="0.3">
      <c r="A122" s="27">
        <v>41</v>
      </c>
      <c r="B122" s="17" t="s">
        <v>442</v>
      </c>
      <c r="C122" s="17" t="s">
        <v>443</v>
      </c>
      <c r="D122" s="40">
        <v>0</v>
      </c>
      <c r="E122" s="40" t="s">
        <v>1</v>
      </c>
      <c r="F122" s="29" t="s">
        <v>5</v>
      </c>
      <c r="G122" s="28" t="s">
        <v>724</v>
      </c>
      <c r="H122" s="28" t="s">
        <v>725</v>
      </c>
      <c r="I122" s="30">
        <v>1</v>
      </c>
    </row>
    <row r="123" spans="1:9" ht="14" customHeight="1" x14ac:dyDescent="0.3">
      <c r="A123" s="22">
        <v>41</v>
      </c>
      <c r="B123" s="23" t="s">
        <v>442</v>
      </c>
      <c r="C123" s="23" t="s">
        <v>443</v>
      </c>
      <c r="D123" s="39">
        <v>1</v>
      </c>
      <c r="E123" s="39" t="s">
        <v>1</v>
      </c>
      <c r="F123" s="25" t="s">
        <v>1</v>
      </c>
      <c r="G123" s="24" t="s">
        <v>726</v>
      </c>
      <c r="H123" s="24" t="s">
        <v>727</v>
      </c>
      <c r="I123" s="26">
        <v>1</v>
      </c>
    </row>
    <row r="124" spans="1:9" ht="14" customHeight="1" x14ac:dyDescent="0.3">
      <c r="A124" s="27">
        <v>41</v>
      </c>
      <c r="B124" s="17" t="s">
        <v>442</v>
      </c>
      <c r="C124" s="17" t="s">
        <v>443</v>
      </c>
      <c r="D124" s="40">
        <v>1</v>
      </c>
      <c r="E124" s="40" t="s">
        <v>1</v>
      </c>
      <c r="F124" s="29" t="s">
        <v>1</v>
      </c>
      <c r="G124" s="28" t="s">
        <v>728</v>
      </c>
      <c r="H124" s="28" t="s">
        <v>729</v>
      </c>
      <c r="I124" s="30">
        <v>1</v>
      </c>
    </row>
    <row r="125" spans="1:9" ht="14" customHeight="1" x14ac:dyDescent="0.3">
      <c r="A125" s="27">
        <v>42</v>
      </c>
      <c r="B125" s="17" t="s">
        <v>446</v>
      </c>
      <c r="C125" s="17" t="s">
        <v>447</v>
      </c>
      <c r="D125" s="40">
        <v>0</v>
      </c>
      <c r="E125" s="40" t="s">
        <v>0</v>
      </c>
      <c r="F125" s="29" t="s">
        <v>5</v>
      </c>
      <c r="G125" s="28" t="s">
        <v>736</v>
      </c>
      <c r="H125" s="28" t="s">
        <v>737</v>
      </c>
      <c r="I125" s="30">
        <v>1</v>
      </c>
    </row>
    <row r="126" spans="1:9" ht="14" customHeight="1" x14ac:dyDescent="0.3">
      <c r="A126" s="22">
        <v>42</v>
      </c>
      <c r="B126" s="23" t="s">
        <v>446</v>
      </c>
      <c r="C126" s="23" t="s">
        <v>447</v>
      </c>
      <c r="D126" s="39">
        <v>1</v>
      </c>
      <c r="E126" s="39" t="s">
        <v>0</v>
      </c>
      <c r="F126" s="25" t="s">
        <v>0</v>
      </c>
      <c r="G126" s="24" t="s">
        <v>738</v>
      </c>
      <c r="H126" s="24" t="s">
        <v>739</v>
      </c>
      <c r="I126" s="26">
        <v>1</v>
      </c>
    </row>
    <row r="127" spans="1:9" ht="14" customHeight="1" x14ac:dyDescent="0.3">
      <c r="A127" s="27">
        <v>42</v>
      </c>
      <c r="B127" s="17" t="s">
        <v>446</v>
      </c>
      <c r="C127" s="17" t="s">
        <v>447</v>
      </c>
      <c r="D127" s="40">
        <v>1</v>
      </c>
      <c r="E127" s="40" t="s">
        <v>0</v>
      </c>
      <c r="F127" s="29" t="s">
        <v>0</v>
      </c>
      <c r="G127" s="28" t="s">
        <v>740</v>
      </c>
      <c r="H127" s="28" t="s">
        <v>741</v>
      </c>
      <c r="I127" s="30">
        <v>1</v>
      </c>
    </row>
    <row r="128" spans="1:9" ht="14" customHeight="1" x14ac:dyDescent="0.3">
      <c r="A128" s="22">
        <v>43</v>
      </c>
      <c r="B128" s="23" t="s">
        <v>448</v>
      </c>
      <c r="C128" s="23" t="s">
        <v>449</v>
      </c>
      <c r="D128" s="39">
        <v>1</v>
      </c>
      <c r="E128" s="39" t="s">
        <v>5</v>
      </c>
      <c r="F128" s="25" t="s">
        <v>5</v>
      </c>
      <c r="G128" s="24" t="s">
        <v>742</v>
      </c>
      <c r="H128" s="24" t="s">
        <v>743</v>
      </c>
      <c r="I128" s="26">
        <v>1</v>
      </c>
    </row>
    <row r="129" spans="1:9" ht="14" customHeight="1" x14ac:dyDescent="0.3">
      <c r="A129" s="27">
        <v>43</v>
      </c>
      <c r="B129" s="17" t="s">
        <v>448</v>
      </c>
      <c r="C129" s="17" t="s">
        <v>449</v>
      </c>
      <c r="D129" s="40">
        <v>0</v>
      </c>
      <c r="E129" s="40" t="s">
        <v>5</v>
      </c>
      <c r="F129" s="29" t="s">
        <v>1</v>
      </c>
      <c r="G129" s="28" t="s">
        <v>744</v>
      </c>
      <c r="H129" s="28" t="s">
        <v>745</v>
      </c>
      <c r="I129" s="30">
        <v>0</v>
      </c>
    </row>
    <row r="130" spans="1:9" ht="14" customHeight="1" x14ac:dyDescent="0.3">
      <c r="A130" s="22">
        <v>43</v>
      </c>
      <c r="B130" s="23" t="s">
        <v>448</v>
      </c>
      <c r="C130" s="23" t="s">
        <v>449</v>
      </c>
      <c r="D130" s="39">
        <v>1</v>
      </c>
      <c r="E130" s="39" t="s">
        <v>5</v>
      </c>
      <c r="F130" s="25" t="s">
        <v>5</v>
      </c>
      <c r="G130" s="24" t="s">
        <v>746</v>
      </c>
      <c r="H130" s="24" t="s">
        <v>747</v>
      </c>
      <c r="I130" s="26">
        <v>1</v>
      </c>
    </row>
    <row r="131" spans="1:9" ht="14" customHeight="1" x14ac:dyDescent="0.3">
      <c r="A131" s="22">
        <v>44</v>
      </c>
      <c r="B131" s="23" t="s">
        <v>444</v>
      </c>
      <c r="C131" s="23" t="s">
        <v>445</v>
      </c>
      <c r="D131" s="39">
        <v>1</v>
      </c>
      <c r="E131" s="39" t="s">
        <v>5</v>
      </c>
      <c r="F131" s="25" t="s">
        <v>5</v>
      </c>
      <c r="G131" s="24" t="s">
        <v>730</v>
      </c>
      <c r="H131" s="24" t="s">
        <v>731</v>
      </c>
      <c r="I131" s="26">
        <v>1</v>
      </c>
    </row>
    <row r="132" spans="1:9" ht="14" customHeight="1" x14ac:dyDescent="0.3">
      <c r="A132" s="27">
        <v>44</v>
      </c>
      <c r="B132" s="17" t="s">
        <v>444</v>
      </c>
      <c r="C132" s="17" t="s">
        <v>445</v>
      </c>
      <c r="D132" s="40">
        <v>0</v>
      </c>
      <c r="E132" s="40" t="s">
        <v>5</v>
      </c>
      <c r="F132" s="29" t="s">
        <v>1</v>
      </c>
      <c r="G132" s="28" t="s">
        <v>732</v>
      </c>
      <c r="H132" s="28" t="s">
        <v>733</v>
      </c>
      <c r="I132" s="30">
        <v>1</v>
      </c>
    </row>
    <row r="133" spans="1:9" ht="14" customHeight="1" x14ac:dyDescent="0.3">
      <c r="A133" s="22">
        <v>44</v>
      </c>
      <c r="B133" s="23" t="s">
        <v>444</v>
      </c>
      <c r="C133" s="23" t="s">
        <v>445</v>
      </c>
      <c r="D133" s="39">
        <v>0</v>
      </c>
      <c r="E133" s="39" t="s">
        <v>5</v>
      </c>
      <c r="F133" s="25" t="s">
        <v>0</v>
      </c>
      <c r="G133" s="24" t="s">
        <v>734</v>
      </c>
      <c r="H133" s="24" t="s">
        <v>735</v>
      </c>
      <c r="I133" s="26">
        <v>1</v>
      </c>
    </row>
    <row r="134" spans="1:9" ht="14" customHeight="1" x14ac:dyDescent="0.3">
      <c r="A134" s="22">
        <v>45</v>
      </c>
      <c r="B134" s="23" t="s">
        <v>456</v>
      </c>
      <c r="C134" s="31" t="s">
        <v>457</v>
      </c>
      <c r="D134" s="39">
        <v>0</v>
      </c>
      <c r="E134" s="39" t="s">
        <v>0</v>
      </c>
      <c r="F134" s="25" t="s">
        <v>1</v>
      </c>
      <c r="G134" s="24" t="s">
        <v>766</v>
      </c>
      <c r="H134" s="24" t="s">
        <v>767</v>
      </c>
      <c r="I134" s="26">
        <v>0</v>
      </c>
    </row>
    <row r="135" spans="1:9" ht="14" customHeight="1" x14ac:dyDescent="0.3">
      <c r="A135" s="27">
        <v>45</v>
      </c>
      <c r="B135" s="17" t="s">
        <v>456</v>
      </c>
      <c r="C135" s="18" t="s">
        <v>457</v>
      </c>
      <c r="D135" s="40">
        <v>0</v>
      </c>
      <c r="E135" s="40" t="s">
        <v>0</v>
      </c>
      <c r="F135" s="29" t="s">
        <v>5</v>
      </c>
      <c r="G135" s="28" t="s">
        <v>768</v>
      </c>
      <c r="H135" s="28" t="s">
        <v>769</v>
      </c>
      <c r="I135" s="30">
        <v>1</v>
      </c>
    </row>
    <row r="136" spans="1:9" ht="14" customHeight="1" x14ac:dyDescent="0.3">
      <c r="A136" s="22">
        <v>45</v>
      </c>
      <c r="B136" s="23" t="s">
        <v>456</v>
      </c>
      <c r="C136" s="31" t="s">
        <v>457</v>
      </c>
      <c r="D136" s="39">
        <v>0</v>
      </c>
      <c r="E136" s="39" t="s">
        <v>0</v>
      </c>
      <c r="F136" s="25" t="s">
        <v>1</v>
      </c>
      <c r="G136" s="24" t="s">
        <v>770</v>
      </c>
      <c r="H136" s="24" t="s">
        <v>771</v>
      </c>
      <c r="I136" s="26">
        <v>1</v>
      </c>
    </row>
    <row r="137" spans="1:9" ht="14" customHeight="1" x14ac:dyDescent="0.3">
      <c r="A137" s="27">
        <v>46</v>
      </c>
      <c r="B137" s="17" t="s">
        <v>450</v>
      </c>
      <c r="C137" s="17" t="s">
        <v>451</v>
      </c>
      <c r="D137" s="40">
        <v>0</v>
      </c>
      <c r="E137" s="40" t="s">
        <v>0</v>
      </c>
      <c r="F137" s="29" t="s">
        <v>5</v>
      </c>
      <c r="G137" s="28" t="s">
        <v>748</v>
      </c>
      <c r="H137" s="28" t="s">
        <v>749</v>
      </c>
      <c r="I137" s="30">
        <v>1</v>
      </c>
    </row>
    <row r="138" spans="1:9" ht="14" customHeight="1" x14ac:dyDescent="0.3">
      <c r="A138" s="22">
        <v>46</v>
      </c>
      <c r="B138" s="23" t="s">
        <v>450</v>
      </c>
      <c r="C138" s="23" t="s">
        <v>451</v>
      </c>
      <c r="D138" s="39">
        <v>0</v>
      </c>
      <c r="E138" s="39" t="s">
        <v>0</v>
      </c>
      <c r="F138" s="25" t="s">
        <v>1</v>
      </c>
      <c r="G138" s="24" t="s">
        <v>750</v>
      </c>
      <c r="H138" s="24" t="s">
        <v>751</v>
      </c>
      <c r="I138" s="26">
        <v>1</v>
      </c>
    </row>
    <row r="139" spans="1:9" ht="14" customHeight="1" x14ac:dyDescent="0.3">
      <c r="A139" s="27">
        <v>46</v>
      </c>
      <c r="B139" s="17" t="s">
        <v>450</v>
      </c>
      <c r="C139" s="17" t="s">
        <v>451</v>
      </c>
      <c r="D139" s="40">
        <v>0</v>
      </c>
      <c r="E139" s="40" t="s">
        <v>0</v>
      </c>
      <c r="F139" s="29" t="s">
        <v>1</v>
      </c>
      <c r="G139" s="28" t="s">
        <v>752</v>
      </c>
      <c r="H139" s="28" t="s">
        <v>753</v>
      </c>
      <c r="I139" s="30">
        <v>1</v>
      </c>
    </row>
    <row r="140" spans="1:9" ht="14" customHeight="1" x14ac:dyDescent="0.3">
      <c r="A140" s="27">
        <v>47</v>
      </c>
      <c r="B140" s="17" t="s">
        <v>454</v>
      </c>
      <c r="C140" s="17" t="s">
        <v>455</v>
      </c>
      <c r="D140" s="40">
        <v>0</v>
      </c>
      <c r="E140" s="40" t="s">
        <v>5</v>
      </c>
      <c r="F140" s="29" t="s">
        <v>0</v>
      </c>
      <c r="G140" s="28" t="s">
        <v>760</v>
      </c>
      <c r="H140" s="28" t="s">
        <v>761</v>
      </c>
      <c r="I140" s="30">
        <v>1</v>
      </c>
    </row>
    <row r="141" spans="1:9" ht="14" customHeight="1" x14ac:dyDescent="0.3">
      <c r="A141" s="22">
        <v>47</v>
      </c>
      <c r="B141" s="23" t="s">
        <v>454</v>
      </c>
      <c r="C141" s="23" t="s">
        <v>455</v>
      </c>
      <c r="D141" s="39">
        <v>0</v>
      </c>
      <c r="E141" s="39" t="s">
        <v>5</v>
      </c>
      <c r="F141" s="25" t="s">
        <v>0</v>
      </c>
      <c r="G141" s="24" t="s">
        <v>762</v>
      </c>
      <c r="H141" s="24" t="s">
        <v>763</v>
      </c>
      <c r="I141" s="26">
        <v>1</v>
      </c>
    </row>
    <row r="142" spans="1:9" ht="14" customHeight="1" x14ac:dyDescent="0.3">
      <c r="A142" s="27">
        <v>47</v>
      </c>
      <c r="B142" s="17" t="s">
        <v>454</v>
      </c>
      <c r="C142" s="17" t="s">
        <v>455</v>
      </c>
      <c r="D142" s="40">
        <v>0</v>
      </c>
      <c r="E142" s="40" t="s">
        <v>5</v>
      </c>
      <c r="F142" s="29" t="s">
        <v>1</v>
      </c>
      <c r="G142" s="28" t="s">
        <v>764</v>
      </c>
      <c r="H142" s="28" t="s">
        <v>765</v>
      </c>
      <c r="I142" s="30">
        <v>1</v>
      </c>
    </row>
    <row r="143" spans="1:9" ht="14" customHeight="1" x14ac:dyDescent="0.3">
      <c r="A143" s="27">
        <v>48</v>
      </c>
      <c r="B143" s="17" t="s">
        <v>458</v>
      </c>
      <c r="C143" s="17" t="s">
        <v>459</v>
      </c>
      <c r="D143" s="40">
        <v>0</v>
      </c>
      <c r="E143" s="40" t="s">
        <v>5</v>
      </c>
      <c r="F143" s="29" t="s">
        <v>0</v>
      </c>
      <c r="G143" s="28" t="s">
        <v>772</v>
      </c>
      <c r="H143" s="28" t="s">
        <v>773</v>
      </c>
      <c r="I143" s="30">
        <v>1</v>
      </c>
    </row>
    <row r="144" spans="1:9" ht="14" customHeight="1" x14ac:dyDescent="0.3">
      <c r="A144" s="22">
        <v>48</v>
      </c>
      <c r="B144" s="23" t="s">
        <v>458</v>
      </c>
      <c r="C144" s="23" t="s">
        <v>459</v>
      </c>
      <c r="D144" s="39">
        <v>0</v>
      </c>
      <c r="E144" s="39" t="s">
        <v>5</v>
      </c>
      <c r="F144" s="25" t="s">
        <v>1</v>
      </c>
      <c r="G144" s="24" t="s">
        <v>774</v>
      </c>
      <c r="H144" s="24" t="s">
        <v>775</v>
      </c>
      <c r="I144" s="26">
        <v>0</v>
      </c>
    </row>
    <row r="145" spans="1:9" ht="14" customHeight="1" x14ac:dyDescent="0.3">
      <c r="A145" s="27">
        <v>48</v>
      </c>
      <c r="B145" s="17" t="s">
        <v>458</v>
      </c>
      <c r="C145" s="17" t="s">
        <v>459</v>
      </c>
      <c r="D145" s="40">
        <v>0</v>
      </c>
      <c r="E145" s="40" t="s">
        <v>5</v>
      </c>
      <c r="F145" s="29" t="s">
        <v>1</v>
      </c>
      <c r="G145" s="28" t="s">
        <v>776</v>
      </c>
      <c r="H145" s="28" t="s">
        <v>777</v>
      </c>
      <c r="I145" s="30">
        <v>1</v>
      </c>
    </row>
    <row r="146" spans="1:9" ht="14" customHeight="1" x14ac:dyDescent="0.3">
      <c r="A146" s="22">
        <v>49</v>
      </c>
      <c r="B146" s="23" t="s">
        <v>460</v>
      </c>
      <c r="C146" s="23" t="s">
        <v>461</v>
      </c>
      <c r="D146" s="39">
        <v>0</v>
      </c>
      <c r="E146" s="39" t="s">
        <v>1</v>
      </c>
      <c r="F146" s="25" t="s">
        <v>0</v>
      </c>
      <c r="G146" s="24" t="s">
        <v>778</v>
      </c>
      <c r="H146" s="24" t="s">
        <v>779</v>
      </c>
      <c r="I146" s="26">
        <v>1</v>
      </c>
    </row>
    <row r="147" spans="1:9" ht="14" customHeight="1" x14ac:dyDescent="0.3">
      <c r="A147" s="27">
        <v>49</v>
      </c>
      <c r="B147" s="17" t="s">
        <v>460</v>
      </c>
      <c r="C147" s="17" t="s">
        <v>461</v>
      </c>
      <c r="D147" s="40">
        <v>0</v>
      </c>
      <c r="E147" s="40" t="s">
        <v>1</v>
      </c>
      <c r="F147" s="29" t="s">
        <v>5</v>
      </c>
      <c r="G147" s="28" t="s">
        <v>780</v>
      </c>
      <c r="H147" s="28" t="s">
        <v>781</v>
      </c>
      <c r="I147" s="30">
        <v>1</v>
      </c>
    </row>
    <row r="148" spans="1:9" ht="14" customHeight="1" x14ac:dyDescent="0.3">
      <c r="A148" s="22">
        <v>49</v>
      </c>
      <c r="B148" s="23" t="s">
        <v>460</v>
      </c>
      <c r="C148" s="23" t="s">
        <v>461</v>
      </c>
      <c r="D148" s="39">
        <v>0</v>
      </c>
      <c r="E148" s="39" t="s">
        <v>1</v>
      </c>
      <c r="F148" s="25" t="s">
        <v>0</v>
      </c>
      <c r="G148" s="24" t="s">
        <v>782</v>
      </c>
      <c r="H148" s="24" t="s">
        <v>783</v>
      </c>
      <c r="I148" s="26">
        <v>1</v>
      </c>
    </row>
    <row r="149" spans="1:9" ht="14" customHeight="1" x14ac:dyDescent="0.3">
      <c r="A149" s="27">
        <v>50</v>
      </c>
      <c r="B149" s="17" t="s">
        <v>462</v>
      </c>
      <c r="C149" s="17" t="s">
        <v>463</v>
      </c>
      <c r="D149" s="40">
        <v>0</v>
      </c>
      <c r="E149" s="40" t="s">
        <v>5</v>
      </c>
      <c r="F149" s="29" t="s">
        <v>1</v>
      </c>
      <c r="G149" s="28" t="s">
        <v>784</v>
      </c>
      <c r="H149" s="28" t="s">
        <v>785</v>
      </c>
      <c r="I149" s="30">
        <v>0</v>
      </c>
    </row>
    <row r="150" spans="1:9" ht="14" customHeight="1" x14ac:dyDescent="0.3">
      <c r="A150" s="22">
        <v>50</v>
      </c>
      <c r="B150" s="23" t="s">
        <v>462</v>
      </c>
      <c r="C150" s="23" t="s">
        <v>463</v>
      </c>
      <c r="D150" s="39">
        <v>0</v>
      </c>
      <c r="E150" s="39" t="s">
        <v>5</v>
      </c>
      <c r="F150" s="25" t="s">
        <v>0</v>
      </c>
      <c r="G150" s="24" t="s">
        <v>786</v>
      </c>
      <c r="H150" s="24" t="s">
        <v>787</v>
      </c>
      <c r="I150" s="26">
        <v>1</v>
      </c>
    </row>
    <row r="151" spans="1:9" ht="14" customHeight="1" x14ac:dyDescent="0.3">
      <c r="A151" s="27">
        <v>50</v>
      </c>
      <c r="B151" s="17" t="s">
        <v>462</v>
      </c>
      <c r="C151" s="17" t="s">
        <v>463</v>
      </c>
      <c r="D151" s="40">
        <v>0</v>
      </c>
      <c r="E151" s="40" t="s">
        <v>5</v>
      </c>
      <c r="F151" s="29" t="s">
        <v>1</v>
      </c>
      <c r="G151" s="28" t="s">
        <v>788</v>
      </c>
      <c r="H151" s="28" t="s">
        <v>789</v>
      </c>
      <c r="I151" s="30">
        <v>1</v>
      </c>
    </row>
    <row r="152" spans="1:9" ht="14" customHeight="1" x14ac:dyDescent="0.3">
      <c r="A152" s="22">
        <v>51</v>
      </c>
      <c r="B152" s="23" t="s">
        <v>464</v>
      </c>
      <c r="C152" s="23" t="s">
        <v>465</v>
      </c>
      <c r="D152" s="39">
        <v>0</v>
      </c>
      <c r="E152" s="39" t="s">
        <v>0</v>
      </c>
      <c r="F152" s="25" t="s">
        <v>1</v>
      </c>
      <c r="G152" s="24" t="s">
        <v>790</v>
      </c>
      <c r="H152" s="24" t="s">
        <v>791</v>
      </c>
      <c r="I152" s="26">
        <v>1</v>
      </c>
    </row>
    <row r="153" spans="1:9" ht="14" customHeight="1" x14ac:dyDescent="0.3">
      <c r="A153" s="27">
        <v>51</v>
      </c>
      <c r="B153" s="17" t="s">
        <v>464</v>
      </c>
      <c r="C153" s="17" t="s">
        <v>465</v>
      </c>
      <c r="D153" s="40">
        <v>0</v>
      </c>
      <c r="E153" s="40" t="s">
        <v>0</v>
      </c>
      <c r="F153" s="29" t="s">
        <v>5</v>
      </c>
      <c r="G153" s="28" t="s">
        <v>792</v>
      </c>
      <c r="H153" s="28" t="s">
        <v>793</v>
      </c>
      <c r="I153" s="30">
        <v>1</v>
      </c>
    </row>
    <row r="154" spans="1:9" ht="14" customHeight="1" x14ac:dyDescent="0.3">
      <c r="A154" s="22">
        <v>51</v>
      </c>
      <c r="B154" s="23" t="s">
        <v>464</v>
      </c>
      <c r="C154" s="23" t="s">
        <v>465</v>
      </c>
      <c r="D154" s="39">
        <v>0</v>
      </c>
      <c r="E154" s="39" t="s">
        <v>0</v>
      </c>
      <c r="F154" s="25" t="s">
        <v>1</v>
      </c>
      <c r="G154" s="24" t="s">
        <v>794</v>
      </c>
      <c r="H154" s="24" t="s">
        <v>795</v>
      </c>
      <c r="I154" s="26">
        <v>1</v>
      </c>
    </row>
    <row r="155" spans="1:9" ht="14" customHeight="1" x14ac:dyDescent="0.3">
      <c r="A155" s="27">
        <v>52</v>
      </c>
      <c r="B155" s="17" t="s">
        <v>466</v>
      </c>
      <c r="C155" s="17" t="s">
        <v>467</v>
      </c>
      <c r="D155" s="40">
        <v>0</v>
      </c>
      <c r="E155" s="40" t="s">
        <v>0</v>
      </c>
      <c r="F155" s="29" t="s">
        <v>1</v>
      </c>
      <c r="G155" s="28" t="s">
        <v>796</v>
      </c>
      <c r="H155" s="28" t="s">
        <v>797</v>
      </c>
      <c r="I155" s="30">
        <v>1</v>
      </c>
    </row>
    <row r="156" spans="1:9" ht="14" customHeight="1" x14ac:dyDescent="0.3">
      <c r="A156" s="22">
        <v>52</v>
      </c>
      <c r="B156" s="23" t="s">
        <v>466</v>
      </c>
      <c r="C156" s="23" t="s">
        <v>467</v>
      </c>
      <c r="D156" s="39">
        <v>0</v>
      </c>
      <c r="E156" s="39" t="s">
        <v>0</v>
      </c>
      <c r="F156" s="25" t="s">
        <v>5</v>
      </c>
      <c r="G156" s="24" t="s">
        <v>798</v>
      </c>
      <c r="H156" s="24" t="s">
        <v>799</v>
      </c>
      <c r="I156" s="26">
        <v>1</v>
      </c>
    </row>
    <row r="157" spans="1:9" ht="14" customHeight="1" x14ac:dyDescent="0.3">
      <c r="A157" s="27">
        <v>52</v>
      </c>
      <c r="B157" s="17" t="s">
        <v>466</v>
      </c>
      <c r="C157" s="17" t="s">
        <v>467</v>
      </c>
      <c r="D157" s="40">
        <v>0</v>
      </c>
      <c r="E157" s="40" t="s">
        <v>0</v>
      </c>
      <c r="F157" s="29" t="s">
        <v>5</v>
      </c>
      <c r="G157" s="28" t="s">
        <v>800</v>
      </c>
      <c r="H157" s="28" t="s">
        <v>801</v>
      </c>
      <c r="I157" s="30">
        <v>1</v>
      </c>
    </row>
    <row r="158" spans="1:9" ht="14" customHeight="1" x14ac:dyDescent="0.3">
      <c r="A158" s="22">
        <v>53</v>
      </c>
      <c r="B158" s="23" t="s">
        <v>472</v>
      </c>
      <c r="C158" s="23" t="s">
        <v>473</v>
      </c>
      <c r="D158" s="39">
        <v>1</v>
      </c>
      <c r="E158" s="39" t="s">
        <v>1</v>
      </c>
      <c r="F158" s="25" t="s">
        <v>1</v>
      </c>
      <c r="G158" s="24" t="s">
        <v>814</v>
      </c>
      <c r="H158" s="24" t="s">
        <v>815</v>
      </c>
      <c r="I158" s="26">
        <v>1</v>
      </c>
    </row>
    <row r="159" spans="1:9" ht="14" customHeight="1" x14ac:dyDescent="0.3">
      <c r="A159" s="27">
        <v>53</v>
      </c>
      <c r="B159" s="17" t="s">
        <v>472</v>
      </c>
      <c r="C159" s="17" t="s">
        <v>473</v>
      </c>
      <c r="D159" s="40">
        <v>1</v>
      </c>
      <c r="E159" s="40" t="s">
        <v>1</v>
      </c>
      <c r="F159" s="29" t="s">
        <v>1</v>
      </c>
      <c r="G159" s="28" t="s">
        <v>816</v>
      </c>
      <c r="H159" s="28" t="s">
        <v>817</v>
      </c>
      <c r="I159" s="30">
        <v>1</v>
      </c>
    </row>
    <row r="160" spans="1:9" ht="14" customHeight="1" x14ac:dyDescent="0.3">
      <c r="A160" s="22">
        <v>53</v>
      </c>
      <c r="B160" s="23" t="s">
        <v>472</v>
      </c>
      <c r="C160" s="23" t="s">
        <v>473</v>
      </c>
      <c r="D160" s="39">
        <v>1</v>
      </c>
      <c r="E160" s="39" t="s">
        <v>1</v>
      </c>
      <c r="F160" s="25" t="s">
        <v>1</v>
      </c>
      <c r="G160" s="24" t="s">
        <v>818</v>
      </c>
      <c r="H160" s="24" t="s">
        <v>819</v>
      </c>
      <c r="I160" s="26">
        <v>1</v>
      </c>
    </row>
    <row r="161" spans="1:9" ht="14" customHeight="1" x14ac:dyDescent="0.3">
      <c r="A161" s="27">
        <v>54</v>
      </c>
      <c r="B161" s="18" t="s">
        <v>470</v>
      </c>
      <c r="C161" s="17" t="s">
        <v>471</v>
      </c>
      <c r="D161" s="40">
        <v>0</v>
      </c>
      <c r="E161" s="40" t="s">
        <v>1</v>
      </c>
      <c r="F161" s="29" t="s">
        <v>5</v>
      </c>
      <c r="G161" s="28" t="s">
        <v>808</v>
      </c>
      <c r="H161" s="28" t="s">
        <v>809</v>
      </c>
      <c r="I161" s="30">
        <v>1</v>
      </c>
    </row>
    <row r="162" spans="1:9" ht="14" customHeight="1" x14ac:dyDescent="0.3">
      <c r="A162" s="22">
        <v>54</v>
      </c>
      <c r="B162" s="31" t="s">
        <v>470</v>
      </c>
      <c r="C162" s="23" t="s">
        <v>471</v>
      </c>
      <c r="D162" s="39">
        <v>1</v>
      </c>
      <c r="E162" s="39" t="s">
        <v>1</v>
      </c>
      <c r="F162" s="25" t="s">
        <v>1</v>
      </c>
      <c r="G162" s="24" t="s">
        <v>810</v>
      </c>
      <c r="H162" s="24" t="s">
        <v>811</v>
      </c>
      <c r="I162" s="26">
        <v>1</v>
      </c>
    </row>
    <row r="163" spans="1:9" ht="14" customHeight="1" x14ac:dyDescent="0.3">
      <c r="A163" s="27">
        <v>54</v>
      </c>
      <c r="B163" s="18" t="s">
        <v>470</v>
      </c>
      <c r="C163" s="17" t="s">
        <v>471</v>
      </c>
      <c r="D163" s="40">
        <v>0</v>
      </c>
      <c r="E163" s="40" t="s">
        <v>1</v>
      </c>
      <c r="F163" s="29" t="s">
        <v>5</v>
      </c>
      <c r="G163" s="28" t="s">
        <v>812</v>
      </c>
      <c r="H163" s="28" t="s">
        <v>813</v>
      </c>
      <c r="I163" s="30">
        <v>1</v>
      </c>
    </row>
    <row r="164" spans="1:9" ht="14" customHeight="1" x14ac:dyDescent="0.3">
      <c r="A164" s="22">
        <v>55</v>
      </c>
      <c r="B164" s="23" t="s">
        <v>476</v>
      </c>
      <c r="C164" s="23" t="s">
        <v>477</v>
      </c>
      <c r="D164" s="39">
        <v>1</v>
      </c>
      <c r="E164" s="39" t="s">
        <v>1</v>
      </c>
      <c r="F164" s="25" t="s">
        <v>1</v>
      </c>
      <c r="G164" s="24" t="s">
        <v>826</v>
      </c>
      <c r="H164" s="24" t="s">
        <v>827</v>
      </c>
      <c r="I164" s="26">
        <v>0</v>
      </c>
    </row>
    <row r="165" spans="1:9" ht="14" customHeight="1" x14ac:dyDescent="0.3">
      <c r="A165" s="27">
        <v>55</v>
      </c>
      <c r="B165" s="17" t="s">
        <v>476</v>
      </c>
      <c r="C165" s="17" t="s">
        <v>477</v>
      </c>
      <c r="D165" s="40">
        <v>0</v>
      </c>
      <c r="E165" s="40" t="s">
        <v>1</v>
      </c>
      <c r="F165" s="29" t="s">
        <v>0</v>
      </c>
      <c r="G165" s="28" t="s">
        <v>828</v>
      </c>
      <c r="H165" s="28" t="s">
        <v>829</v>
      </c>
      <c r="I165" s="30">
        <v>1</v>
      </c>
    </row>
    <row r="166" spans="1:9" ht="14" customHeight="1" x14ac:dyDescent="0.3">
      <c r="A166" s="22">
        <v>55</v>
      </c>
      <c r="B166" s="23" t="s">
        <v>476</v>
      </c>
      <c r="C166" s="23" t="s">
        <v>477</v>
      </c>
      <c r="D166" s="39">
        <v>1</v>
      </c>
      <c r="E166" s="39" t="s">
        <v>1</v>
      </c>
      <c r="F166" s="25" t="s">
        <v>1</v>
      </c>
      <c r="G166" s="24" t="s">
        <v>830</v>
      </c>
      <c r="H166" s="24" t="s">
        <v>831</v>
      </c>
      <c r="I166" s="26">
        <v>1</v>
      </c>
    </row>
    <row r="167" spans="1:9" ht="14" customHeight="1" x14ac:dyDescent="0.3">
      <c r="A167" s="27">
        <v>56</v>
      </c>
      <c r="B167" s="17" t="s">
        <v>474</v>
      </c>
      <c r="C167" s="17" t="s">
        <v>475</v>
      </c>
      <c r="D167" s="40">
        <v>0</v>
      </c>
      <c r="E167" s="40" t="s">
        <v>0</v>
      </c>
      <c r="F167" s="29" t="s">
        <v>1</v>
      </c>
      <c r="G167" s="28" t="s">
        <v>820</v>
      </c>
      <c r="H167" s="28" t="s">
        <v>821</v>
      </c>
      <c r="I167" s="30">
        <v>1</v>
      </c>
    </row>
    <row r="168" spans="1:9" ht="14" customHeight="1" x14ac:dyDescent="0.3">
      <c r="A168" s="22">
        <v>56</v>
      </c>
      <c r="B168" s="23" t="s">
        <v>474</v>
      </c>
      <c r="C168" s="23" t="s">
        <v>475</v>
      </c>
      <c r="D168" s="39">
        <v>0</v>
      </c>
      <c r="E168" s="39" t="s">
        <v>0</v>
      </c>
      <c r="F168" s="25" t="s">
        <v>1</v>
      </c>
      <c r="G168" s="24" t="s">
        <v>822</v>
      </c>
      <c r="H168" s="24" t="s">
        <v>823</v>
      </c>
      <c r="I168" s="26">
        <v>1</v>
      </c>
    </row>
    <row r="169" spans="1:9" ht="14" customHeight="1" x14ac:dyDescent="0.3">
      <c r="A169" s="27">
        <v>56</v>
      </c>
      <c r="B169" s="17" t="s">
        <v>474</v>
      </c>
      <c r="C169" s="17" t="s">
        <v>475</v>
      </c>
      <c r="D169" s="40">
        <v>0</v>
      </c>
      <c r="E169" s="40" t="s">
        <v>0</v>
      </c>
      <c r="F169" s="29" t="s">
        <v>1</v>
      </c>
      <c r="G169" s="28" t="s">
        <v>824</v>
      </c>
      <c r="H169" s="28" t="s">
        <v>825</v>
      </c>
      <c r="I169" s="30">
        <v>1</v>
      </c>
    </row>
    <row r="170" spans="1:9" ht="14" customHeight="1" x14ac:dyDescent="0.3">
      <c r="A170" s="22">
        <v>57</v>
      </c>
      <c r="B170" s="31" t="s">
        <v>468</v>
      </c>
      <c r="C170" s="31" t="s">
        <v>469</v>
      </c>
      <c r="D170" s="39">
        <v>1</v>
      </c>
      <c r="E170" s="39" t="s">
        <v>0</v>
      </c>
      <c r="F170" s="25" t="s">
        <v>0</v>
      </c>
      <c r="G170" s="24" t="s">
        <v>802</v>
      </c>
      <c r="H170" s="24" t="s">
        <v>803</v>
      </c>
      <c r="I170" s="26">
        <v>1</v>
      </c>
    </row>
    <row r="171" spans="1:9" ht="14" customHeight="1" x14ac:dyDescent="0.3">
      <c r="A171" s="27">
        <v>57</v>
      </c>
      <c r="B171" s="18" t="s">
        <v>468</v>
      </c>
      <c r="C171" s="18" t="s">
        <v>469</v>
      </c>
      <c r="D171" s="40">
        <v>1</v>
      </c>
      <c r="E171" s="40" t="s">
        <v>0</v>
      </c>
      <c r="F171" s="29" t="s">
        <v>0</v>
      </c>
      <c r="G171" s="28" t="s">
        <v>804</v>
      </c>
      <c r="H171" s="28" t="s">
        <v>805</v>
      </c>
      <c r="I171" s="30">
        <v>1</v>
      </c>
    </row>
    <row r="172" spans="1:9" ht="14" customHeight="1" x14ac:dyDescent="0.3">
      <c r="A172" s="22">
        <v>57</v>
      </c>
      <c r="B172" s="31" t="s">
        <v>468</v>
      </c>
      <c r="C172" s="31" t="s">
        <v>469</v>
      </c>
      <c r="D172" s="39">
        <v>1</v>
      </c>
      <c r="E172" s="39" t="s">
        <v>0</v>
      </c>
      <c r="F172" s="25" t="s">
        <v>0</v>
      </c>
      <c r="G172" s="24" t="s">
        <v>806</v>
      </c>
      <c r="H172" s="24" t="s">
        <v>807</v>
      </c>
      <c r="I172" s="26">
        <v>1</v>
      </c>
    </row>
    <row r="173" spans="1:9" ht="14" customHeight="1" x14ac:dyDescent="0.3">
      <c r="A173" s="27">
        <v>58</v>
      </c>
      <c r="B173" s="17" t="s">
        <v>478</v>
      </c>
      <c r="C173" s="17" t="s">
        <v>479</v>
      </c>
      <c r="D173" s="40">
        <v>0</v>
      </c>
      <c r="E173" s="40" t="s">
        <v>5</v>
      </c>
      <c r="F173" s="29" t="s">
        <v>0</v>
      </c>
      <c r="G173" s="28" t="s">
        <v>832</v>
      </c>
      <c r="H173" s="28" t="s">
        <v>833</v>
      </c>
      <c r="I173" s="30">
        <v>1</v>
      </c>
    </row>
    <row r="174" spans="1:9" ht="14" customHeight="1" x14ac:dyDescent="0.3">
      <c r="A174" s="22">
        <v>58</v>
      </c>
      <c r="B174" s="23" t="s">
        <v>478</v>
      </c>
      <c r="C174" s="23" t="s">
        <v>479</v>
      </c>
      <c r="D174" s="39">
        <v>0</v>
      </c>
      <c r="E174" s="39" t="s">
        <v>5</v>
      </c>
      <c r="F174" s="25" t="s">
        <v>0</v>
      </c>
      <c r="G174" s="24" t="s">
        <v>834</v>
      </c>
      <c r="H174" s="24" t="s">
        <v>835</v>
      </c>
      <c r="I174" s="26">
        <v>1</v>
      </c>
    </row>
    <row r="175" spans="1:9" ht="14" customHeight="1" x14ac:dyDescent="0.3">
      <c r="A175" s="27">
        <v>58</v>
      </c>
      <c r="B175" s="17" t="s">
        <v>478</v>
      </c>
      <c r="C175" s="17" t="s">
        <v>479</v>
      </c>
      <c r="D175" s="40">
        <v>0</v>
      </c>
      <c r="E175" s="40" t="s">
        <v>5</v>
      </c>
      <c r="F175" s="29" t="s">
        <v>1</v>
      </c>
      <c r="G175" s="28" t="s">
        <v>836</v>
      </c>
      <c r="H175" s="28" t="s">
        <v>837</v>
      </c>
      <c r="I175" s="30">
        <v>1</v>
      </c>
    </row>
    <row r="176" spans="1:9" ht="14" customHeight="1" x14ac:dyDescent="0.3">
      <c r="A176" s="22">
        <v>59</v>
      </c>
      <c r="B176" s="23" t="s">
        <v>480</v>
      </c>
      <c r="C176" s="31" t="s">
        <v>481</v>
      </c>
      <c r="D176" s="39">
        <v>0</v>
      </c>
      <c r="E176" s="39" t="s">
        <v>0</v>
      </c>
      <c r="F176" s="25" t="s">
        <v>1</v>
      </c>
      <c r="G176" s="24" t="s">
        <v>838</v>
      </c>
      <c r="H176" s="24" t="s">
        <v>839</v>
      </c>
      <c r="I176" s="26">
        <v>1</v>
      </c>
    </row>
    <row r="177" spans="1:9" ht="14" customHeight="1" x14ac:dyDescent="0.3">
      <c r="A177" s="27">
        <v>59</v>
      </c>
      <c r="B177" s="17" t="s">
        <v>480</v>
      </c>
      <c r="C177" s="18" t="s">
        <v>481</v>
      </c>
      <c r="D177" s="40">
        <v>0</v>
      </c>
      <c r="E177" s="40" t="s">
        <v>0</v>
      </c>
      <c r="F177" s="29" t="s">
        <v>5</v>
      </c>
      <c r="G177" s="28" t="s">
        <v>840</v>
      </c>
      <c r="H177" s="28" t="s">
        <v>841</v>
      </c>
      <c r="I177" s="30">
        <v>1</v>
      </c>
    </row>
    <row r="178" spans="1:9" ht="14" customHeight="1" x14ac:dyDescent="0.3">
      <c r="A178" s="22">
        <v>59</v>
      </c>
      <c r="B178" s="23" t="s">
        <v>480</v>
      </c>
      <c r="C178" s="31" t="s">
        <v>481</v>
      </c>
      <c r="D178" s="39">
        <v>0</v>
      </c>
      <c r="E178" s="39" t="s">
        <v>0</v>
      </c>
      <c r="F178" s="25" t="s">
        <v>1</v>
      </c>
      <c r="G178" s="24" t="s">
        <v>842</v>
      </c>
      <c r="H178" s="24" t="s">
        <v>843</v>
      </c>
      <c r="I178" s="26">
        <v>1</v>
      </c>
    </row>
    <row r="179" spans="1:9" ht="14" customHeight="1" x14ac:dyDescent="0.3">
      <c r="A179" s="27">
        <v>60</v>
      </c>
      <c r="B179" s="17" t="s">
        <v>482</v>
      </c>
      <c r="C179" s="17" t="s">
        <v>483</v>
      </c>
      <c r="D179" s="40">
        <v>0</v>
      </c>
      <c r="E179" s="40" t="s">
        <v>5</v>
      </c>
      <c r="F179" s="29" t="s">
        <v>1</v>
      </c>
      <c r="G179" s="28" t="s">
        <v>844</v>
      </c>
      <c r="H179" s="28" t="s">
        <v>845</v>
      </c>
      <c r="I179" s="30">
        <v>1</v>
      </c>
    </row>
    <row r="180" spans="1:9" ht="14" customHeight="1" x14ac:dyDescent="0.3">
      <c r="A180" s="22">
        <v>60</v>
      </c>
      <c r="B180" s="23" t="s">
        <v>482</v>
      </c>
      <c r="C180" s="23" t="s">
        <v>483</v>
      </c>
      <c r="D180" s="39">
        <v>0</v>
      </c>
      <c r="E180" s="39" t="s">
        <v>5</v>
      </c>
      <c r="F180" s="25" t="s">
        <v>1</v>
      </c>
      <c r="G180" s="24" t="s">
        <v>846</v>
      </c>
      <c r="H180" s="24" t="s">
        <v>847</v>
      </c>
      <c r="I180" s="26">
        <v>0</v>
      </c>
    </row>
    <row r="181" spans="1:9" ht="14" customHeight="1" x14ac:dyDescent="0.3">
      <c r="A181" s="36">
        <v>60</v>
      </c>
      <c r="B181" s="37" t="s">
        <v>482</v>
      </c>
      <c r="C181" s="37" t="s">
        <v>483</v>
      </c>
      <c r="D181" s="41">
        <v>0</v>
      </c>
      <c r="E181" s="41" t="s">
        <v>5</v>
      </c>
      <c r="F181" s="38" t="s">
        <v>1</v>
      </c>
      <c r="G181" s="19" t="s">
        <v>848</v>
      </c>
      <c r="H181" s="19" t="s">
        <v>849</v>
      </c>
      <c r="I181" s="20">
        <v>1</v>
      </c>
    </row>
    <row r="182" spans="1:9" ht="14" customHeight="1" x14ac:dyDescent="0.3">
      <c r="D182" s="10"/>
    </row>
    <row r="183" spans="1:9" ht="14" customHeight="1" x14ac:dyDescent="0.3">
      <c r="D183" s="10"/>
    </row>
    <row r="184" spans="1:9" ht="14" customHeight="1" x14ac:dyDescent="0.3">
      <c r="D184" s="10"/>
    </row>
    <row r="185" spans="1:9" ht="14" customHeight="1" x14ac:dyDescent="0.3">
      <c r="D185" s="10"/>
    </row>
    <row r="186" spans="1:9" ht="14" customHeight="1" x14ac:dyDescent="0.3">
      <c r="D186" s="10"/>
    </row>
    <row r="187" spans="1:9" ht="14" customHeight="1" x14ac:dyDescent="0.3">
      <c r="D187" s="10"/>
    </row>
    <row r="188" spans="1:9" ht="14" customHeight="1" x14ac:dyDescent="0.3">
      <c r="D188" s="10"/>
    </row>
    <row r="189" spans="1:9" ht="14" customHeight="1" x14ac:dyDescent="0.3">
      <c r="D189" s="10"/>
    </row>
    <row r="190" spans="1:9" ht="14" customHeight="1" x14ac:dyDescent="0.3">
      <c r="D190" s="10"/>
    </row>
    <row r="191" spans="1:9" ht="14" customHeight="1" x14ac:dyDescent="0.3">
      <c r="D191" s="10"/>
    </row>
    <row r="192" spans="1:9" ht="14" customHeight="1" x14ac:dyDescent="0.3">
      <c r="D192" s="10"/>
    </row>
    <row r="193" spans="4:4" ht="14" customHeight="1" x14ac:dyDescent="0.3">
      <c r="D193" s="10"/>
    </row>
    <row r="194" spans="4:4" ht="14" customHeight="1" x14ac:dyDescent="0.3">
      <c r="D194" s="10"/>
    </row>
    <row r="195" spans="4:4" ht="14" customHeight="1" x14ac:dyDescent="0.3">
      <c r="D195" s="10"/>
    </row>
    <row r="196" spans="4:4" ht="14" customHeight="1" x14ac:dyDescent="0.3">
      <c r="D196" s="10"/>
    </row>
    <row r="197" spans="4:4" ht="14" customHeight="1" x14ac:dyDescent="0.3">
      <c r="D197" s="10"/>
    </row>
    <row r="198" spans="4:4" ht="14" customHeight="1" x14ac:dyDescent="0.3">
      <c r="D198" s="10"/>
    </row>
    <row r="199" spans="4:4" ht="14" customHeight="1" x14ac:dyDescent="0.3">
      <c r="D199" s="10"/>
    </row>
    <row r="200" spans="4:4" ht="14" customHeight="1" x14ac:dyDescent="0.3">
      <c r="D200" s="10"/>
    </row>
    <row r="201" spans="4:4" ht="14" customHeight="1" x14ac:dyDescent="0.3">
      <c r="D201" s="10"/>
    </row>
    <row r="202" spans="4:4" ht="14" customHeight="1" x14ac:dyDescent="0.3">
      <c r="D202" s="10"/>
    </row>
    <row r="203" spans="4:4" ht="14" customHeight="1" x14ac:dyDescent="0.3">
      <c r="D203" s="10"/>
    </row>
    <row r="204" spans="4:4" ht="14" customHeight="1" x14ac:dyDescent="0.3">
      <c r="D204" s="10"/>
    </row>
    <row r="205" spans="4:4" ht="14" customHeight="1" x14ac:dyDescent="0.3">
      <c r="D205" s="10"/>
    </row>
    <row r="206" spans="4:4" ht="14" customHeight="1" x14ac:dyDescent="0.3">
      <c r="D206" s="10"/>
    </row>
    <row r="207" spans="4:4" ht="14" customHeight="1" x14ac:dyDescent="0.3">
      <c r="D207" s="10"/>
    </row>
    <row r="208" spans="4:4" ht="14" customHeight="1" x14ac:dyDescent="0.3">
      <c r="D208" s="10"/>
    </row>
    <row r="209" spans="4:4" ht="14" customHeight="1" x14ac:dyDescent="0.3">
      <c r="D209" s="10"/>
    </row>
    <row r="210" spans="4:4" ht="14" customHeight="1" x14ac:dyDescent="0.3">
      <c r="D210" s="10"/>
    </row>
    <row r="211" spans="4:4" ht="14" customHeight="1" x14ac:dyDescent="0.3">
      <c r="D211" s="10"/>
    </row>
    <row r="212" spans="4:4" ht="14" customHeight="1" x14ac:dyDescent="0.3">
      <c r="D212" s="10"/>
    </row>
    <row r="213" spans="4:4" ht="14" customHeight="1" x14ac:dyDescent="0.3">
      <c r="D213" s="10"/>
    </row>
    <row r="214" spans="4:4" ht="14" customHeight="1" x14ac:dyDescent="0.3">
      <c r="D214" s="10"/>
    </row>
    <row r="215" spans="4:4" ht="14" customHeight="1" x14ac:dyDescent="0.3">
      <c r="D215" s="10"/>
    </row>
    <row r="216" spans="4:4" ht="14" customHeight="1" x14ac:dyDescent="0.3">
      <c r="D216" s="10"/>
    </row>
    <row r="217" spans="4:4" ht="14" customHeight="1" x14ac:dyDescent="0.3">
      <c r="D217" s="10"/>
    </row>
    <row r="218" spans="4:4" ht="14" customHeight="1" x14ac:dyDescent="0.3">
      <c r="D218" s="10"/>
    </row>
    <row r="219" spans="4:4" ht="14" customHeight="1" x14ac:dyDescent="0.3">
      <c r="D219" s="10"/>
    </row>
    <row r="220" spans="4:4" ht="14" customHeight="1" x14ac:dyDescent="0.3">
      <c r="D220" s="10"/>
    </row>
    <row r="221" spans="4:4" ht="14" customHeight="1" x14ac:dyDescent="0.3">
      <c r="D221" s="10"/>
    </row>
    <row r="222" spans="4:4" ht="14" customHeight="1" x14ac:dyDescent="0.3">
      <c r="D222" s="10"/>
    </row>
    <row r="223" spans="4:4" ht="14" customHeight="1" x14ac:dyDescent="0.3">
      <c r="D223" s="10"/>
    </row>
    <row r="224" spans="4:4" ht="14" customHeight="1" x14ac:dyDescent="0.3">
      <c r="D224" s="10"/>
    </row>
    <row r="225" spans="4:4" ht="14" customHeight="1" x14ac:dyDescent="0.3">
      <c r="D225" s="10"/>
    </row>
    <row r="226" spans="4:4" ht="14" customHeight="1" x14ac:dyDescent="0.3">
      <c r="D226" s="10"/>
    </row>
    <row r="227" spans="4:4" ht="14" customHeight="1" x14ac:dyDescent="0.3">
      <c r="D227" s="10"/>
    </row>
    <row r="228" spans="4:4" ht="14" customHeight="1" x14ac:dyDescent="0.3">
      <c r="D228" s="10"/>
    </row>
    <row r="229" spans="4:4" ht="14" customHeight="1" x14ac:dyDescent="0.3">
      <c r="D229" s="10"/>
    </row>
    <row r="230" spans="4:4" ht="14" customHeight="1" x14ac:dyDescent="0.3">
      <c r="D230" s="10"/>
    </row>
    <row r="231" spans="4:4" ht="14" customHeight="1" x14ac:dyDescent="0.3">
      <c r="D231" s="10"/>
    </row>
    <row r="232" spans="4:4" ht="14" customHeight="1" x14ac:dyDescent="0.3">
      <c r="D232" s="10"/>
    </row>
    <row r="233" spans="4:4" ht="14" customHeight="1" x14ac:dyDescent="0.3">
      <c r="D233" s="10"/>
    </row>
    <row r="234" spans="4:4" ht="14" customHeight="1" x14ac:dyDescent="0.3">
      <c r="D234" s="10"/>
    </row>
    <row r="235" spans="4:4" ht="14" customHeight="1" x14ac:dyDescent="0.3">
      <c r="D235" s="10"/>
    </row>
    <row r="236" spans="4:4" ht="14" customHeight="1" x14ac:dyDescent="0.3">
      <c r="D236" s="10"/>
    </row>
    <row r="237" spans="4:4" ht="14" customHeight="1" x14ac:dyDescent="0.3">
      <c r="D237" s="10"/>
    </row>
    <row r="238" spans="4:4" ht="14" customHeight="1" x14ac:dyDescent="0.3">
      <c r="D238" s="10"/>
    </row>
    <row r="239" spans="4:4" ht="14" customHeight="1" x14ac:dyDescent="0.3">
      <c r="D239" s="10"/>
    </row>
    <row r="240" spans="4:4" ht="14" customHeight="1" x14ac:dyDescent="0.3">
      <c r="D240" s="10"/>
    </row>
    <row r="241" spans="4:4" ht="14" customHeight="1" x14ac:dyDescent="0.3">
      <c r="D241" s="10"/>
    </row>
    <row r="242" spans="4:4" ht="14" customHeight="1" x14ac:dyDescent="0.3">
      <c r="D242" s="10"/>
    </row>
    <row r="243" spans="4:4" ht="14" customHeight="1" x14ac:dyDescent="0.3">
      <c r="D243" s="10"/>
    </row>
    <row r="244" spans="4:4" ht="14" customHeight="1" x14ac:dyDescent="0.3">
      <c r="D244" s="10"/>
    </row>
    <row r="245" spans="4:4" ht="14" customHeight="1" x14ac:dyDescent="0.3">
      <c r="D245" s="10"/>
    </row>
    <row r="246" spans="4:4" ht="14" customHeight="1" x14ac:dyDescent="0.3">
      <c r="D246" s="10"/>
    </row>
    <row r="247" spans="4:4" ht="14" customHeight="1" x14ac:dyDescent="0.3">
      <c r="D247" s="10"/>
    </row>
    <row r="248" spans="4:4" ht="14" customHeight="1" x14ac:dyDescent="0.3">
      <c r="D248" s="10"/>
    </row>
    <row r="249" spans="4:4" ht="14" customHeight="1" x14ac:dyDescent="0.3">
      <c r="D249" s="10"/>
    </row>
    <row r="250" spans="4:4" ht="14" customHeight="1" x14ac:dyDescent="0.3">
      <c r="D250" s="10"/>
    </row>
    <row r="251" spans="4:4" ht="14" customHeight="1" x14ac:dyDescent="0.3">
      <c r="D251" s="10"/>
    </row>
    <row r="252" spans="4:4" ht="14" customHeight="1" x14ac:dyDescent="0.3">
      <c r="D252" s="10"/>
    </row>
    <row r="253" spans="4:4" ht="14" customHeight="1" x14ac:dyDescent="0.3">
      <c r="D253" s="10"/>
    </row>
    <row r="254" spans="4:4" ht="14" customHeight="1" x14ac:dyDescent="0.3">
      <c r="D254" s="10"/>
    </row>
    <row r="255" spans="4:4" ht="14" customHeight="1" x14ac:dyDescent="0.3">
      <c r="D255" s="10"/>
    </row>
    <row r="256" spans="4:4" ht="14" customHeight="1" x14ac:dyDescent="0.3">
      <c r="D256" s="10"/>
    </row>
    <row r="257" spans="4:4" ht="14" customHeight="1" x14ac:dyDescent="0.3">
      <c r="D257" s="10"/>
    </row>
    <row r="258" spans="4:4" ht="14" customHeight="1" x14ac:dyDescent="0.3">
      <c r="D258" s="10"/>
    </row>
    <row r="259" spans="4:4" ht="14" customHeight="1" x14ac:dyDescent="0.3">
      <c r="D259" s="10"/>
    </row>
    <row r="260" spans="4:4" ht="14" customHeight="1" x14ac:dyDescent="0.3">
      <c r="D260" s="10"/>
    </row>
    <row r="261" spans="4:4" ht="14" customHeight="1" x14ac:dyDescent="0.3">
      <c r="D261" s="10"/>
    </row>
    <row r="262" spans="4:4" ht="14" customHeight="1" x14ac:dyDescent="0.3">
      <c r="D262" s="10"/>
    </row>
    <row r="263" spans="4:4" ht="14" customHeight="1" x14ac:dyDescent="0.3">
      <c r="D263" s="10"/>
    </row>
    <row r="264" spans="4:4" ht="14" customHeight="1" x14ac:dyDescent="0.3">
      <c r="D264" s="10"/>
    </row>
    <row r="265" spans="4:4" ht="14" customHeight="1" x14ac:dyDescent="0.3">
      <c r="D265" s="10"/>
    </row>
    <row r="266" spans="4:4" ht="14" customHeight="1" x14ac:dyDescent="0.3">
      <c r="D266" s="10"/>
    </row>
    <row r="267" spans="4:4" ht="14" customHeight="1" x14ac:dyDescent="0.3">
      <c r="D267" s="10"/>
    </row>
    <row r="268" spans="4:4" ht="14" customHeight="1" x14ac:dyDescent="0.3">
      <c r="D268" s="10"/>
    </row>
    <row r="269" spans="4:4" ht="14" customHeight="1" x14ac:dyDescent="0.3">
      <c r="D269" s="10"/>
    </row>
    <row r="270" spans="4:4" ht="14" customHeight="1" x14ac:dyDescent="0.3">
      <c r="D270" s="10"/>
    </row>
    <row r="271" spans="4:4" ht="14" customHeight="1" x14ac:dyDescent="0.3">
      <c r="D271" s="10"/>
    </row>
    <row r="272" spans="4:4" ht="14" customHeight="1" x14ac:dyDescent="0.3">
      <c r="D272" s="10"/>
    </row>
    <row r="273" spans="4:4" ht="14" customHeight="1" x14ac:dyDescent="0.3">
      <c r="D273" s="10"/>
    </row>
    <row r="274" spans="4:4" ht="14" customHeight="1" x14ac:dyDescent="0.3">
      <c r="D274" s="10"/>
    </row>
    <row r="275" spans="4:4" ht="14" customHeight="1" x14ac:dyDescent="0.3">
      <c r="D275" s="10"/>
    </row>
    <row r="276" spans="4:4" ht="14" customHeight="1" x14ac:dyDescent="0.3">
      <c r="D276" s="10"/>
    </row>
    <row r="277" spans="4:4" ht="14" customHeight="1" x14ac:dyDescent="0.3">
      <c r="D277" s="10"/>
    </row>
    <row r="278" spans="4:4" ht="14" customHeight="1" x14ac:dyDescent="0.3">
      <c r="D278" s="10"/>
    </row>
    <row r="279" spans="4:4" ht="14" customHeight="1" x14ac:dyDescent="0.3">
      <c r="D279" s="10"/>
    </row>
    <row r="280" spans="4:4" ht="14" customHeight="1" x14ac:dyDescent="0.3">
      <c r="D280" s="10"/>
    </row>
    <row r="281" spans="4:4" ht="14" customHeight="1" x14ac:dyDescent="0.3">
      <c r="D281" s="10"/>
    </row>
    <row r="282" spans="4:4" ht="14" customHeight="1" x14ac:dyDescent="0.3">
      <c r="D282" s="10"/>
    </row>
    <row r="283" spans="4:4" ht="14" customHeight="1" x14ac:dyDescent="0.3">
      <c r="D283" s="10"/>
    </row>
    <row r="284" spans="4:4" ht="14" customHeight="1" x14ac:dyDescent="0.3">
      <c r="D284" s="10"/>
    </row>
    <row r="285" spans="4:4" ht="14" customHeight="1" x14ac:dyDescent="0.3">
      <c r="D285" s="10"/>
    </row>
    <row r="286" spans="4:4" ht="14" customHeight="1" x14ac:dyDescent="0.3">
      <c r="D286" s="10"/>
    </row>
    <row r="287" spans="4:4" ht="14" customHeight="1" x14ac:dyDescent="0.3">
      <c r="D287" s="10"/>
    </row>
    <row r="288" spans="4:4" ht="14" customHeight="1" x14ac:dyDescent="0.3">
      <c r="D288" s="10"/>
    </row>
    <row r="289" spans="4:4" ht="14" customHeight="1" x14ac:dyDescent="0.3">
      <c r="D289" s="10"/>
    </row>
    <row r="290" spans="4:4" ht="14" customHeight="1" x14ac:dyDescent="0.3">
      <c r="D290" s="10"/>
    </row>
    <row r="291" spans="4:4" ht="14" customHeight="1" x14ac:dyDescent="0.3">
      <c r="D291" s="10"/>
    </row>
    <row r="292" spans="4:4" ht="14" customHeight="1" x14ac:dyDescent="0.3">
      <c r="D292" s="10"/>
    </row>
    <row r="293" spans="4:4" ht="14" customHeight="1" x14ac:dyDescent="0.3">
      <c r="D293" s="10"/>
    </row>
    <row r="294" spans="4:4" ht="14" customHeight="1" x14ac:dyDescent="0.3">
      <c r="D294" s="10"/>
    </row>
    <row r="295" spans="4:4" ht="14" customHeight="1" x14ac:dyDescent="0.3">
      <c r="D295" s="10"/>
    </row>
    <row r="296" spans="4:4" ht="14" customHeight="1" x14ac:dyDescent="0.3">
      <c r="D296" s="10"/>
    </row>
    <row r="297" spans="4:4" ht="14" customHeight="1" x14ac:dyDescent="0.3">
      <c r="D297" s="10"/>
    </row>
    <row r="298" spans="4:4" ht="14" customHeight="1" x14ac:dyDescent="0.3">
      <c r="D298" s="10"/>
    </row>
    <row r="299" spans="4:4" ht="14" customHeight="1" x14ac:dyDescent="0.3">
      <c r="D299" s="10"/>
    </row>
    <row r="300" spans="4:4" ht="14" customHeight="1" x14ac:dyDescent="0.3">
      <c r="D300" s="10"/>
    </row>
    <row r="301" spans="4:4" ht="14" customHeight="1" x14ac:dyDescent="0.3">
      <c r="D301" s="10"/>
    </row>
    <row r="302" spans="4:4" ht="14" customHeight="1" x14ac:dyDescent="0.3">
      <c r="D302" s="10"/>
    </row>
    <row r="303" spans="4:4" ht="14" customHeight="1" x14ac:dyDescent="0.3">
      <c r="D303" s="10"/>
    </row>
    <row r="304" spans="4:4" ht="14" customHeight="1" x14ac:dyDescent="0.3">
      <c r="D304" s="10"/>
    </row>
    <row r="305" spans="4:4" ht="14" customHeight="1" x14ac:dyDescent="0.3">
      <c r="D305" s="10"/>
    </row>
    <row r="306" spans="4:4" ht="14" customHeight="1" x14ac:dyDescent="0.3">
      <c r="D306" s="10"/>
    </row>
    <row r="307" spans="4:4" ht="14" customHeight="1" x14ac:dyDescent="0.3">
      <c r="D307" s="10"/>
    </row>
    <row r="308" spans="4:4" ht="14" customHeight="1" x14ac:dyDescent="0.3">
      <c r="D308" s="10"/>
    </row>
    <row r="309" spans="4:4" ht="14" customHeight="1" x14ac:dyDescent="0.3">
      <c r="D309" s="10"/>
    </row>
    <row r="310" spans="4:4" ht="14" customHeight="1" x14ac:dyDescent="0.3">
      <c r="D310" s="10"/>
    </row>
    <row r="311" spans="4:4" ht="14" customHeight="1" x14ac:dyDescent="0.3">
      <c r="D311" s="10"/>
    </row>
    <row r="312" spans="4:4" ht="14" customHeight="1" x14ac:dyDescent="0.3">
      <c r="D312" s="10"/>
    </row>
    <row r="313" spans="4:4" ht="14" customHeight="1" x14ac:dyDescent="0.3">
      <c r="D313" s="10"/>
    </row>
    <row r="314" spans="4:4" ht="14" customHeight="1" x14ac:dyDescent="0.3">
      <c r="D314" s="10"/>
    </row>
    <row r="315" spans="4:4" ht="14" customHeight="1" x14ac:dyDescent="0.3">
      <c r="D315" s="10"/>
    </row>
    <row r="316" spans="4:4" ht="14" customHeight="1" x14ac:dyDescent="0.3">
      <c r="D316" s="10"/>
    </row>
    <row r="317" spans="4:4" ht="14" customHeight="1" x14ac:dyDescent="0.3">
      <c r="D317" s="10"/>
    </row>
    <row r="318" spans="4:4" ht="14" customHeight="1" x14ac:dyDescent="0.3">
      <c r="D318" s="10"/>
    </row>
    <row r="319" spans="4:4" ht="14" customHeight="1" x14ac:dyDescent="0.3">
      <c r="D319" s="10"/>
    </row>
    <row r="320" spans="4:4" ht="14" customHeight="1" x14ac:dyDescent="0.3">
      <c r="D320" s="10"/>
    </row>
    <row r="321" spans="4:4" ht="14" customHeight="1" x14ac:dyDescent="0.3">
      <c r="D321" s="10"/>
    </row>
    <row r="322" spans="4:4" ht="14" customHeight="1" x14ac:dyDescent="0.3">
      <c r="D322" s="10"/>
    </row>
    <row r="323" spans="4:4" ht="14" customHeight="1" x14ac:dyDescent="0.3">
      <c r="D323" s="10"/>
    </row>
    <row r="324" spans="4:4" ht="14" customHeight="1" x14ac:dyDescent="0.3">
      <c r="D324" s="10"/>
    </row>
    <row r="325" spans="4:4" ht="14" customHeight="1" x14ac:dyDescent="0.3">
      <c r="D325" s="10"/>
    </row>
    <row r="326" spans="4:4" ht="14" customHeight="1" x14ac:dyDescent="0.3">
      <c r="D326" s="10"/>
    </row>
    <row r="327" spans="4:4" ht="14" customHeight="1" x14ac:dyDescent="0.3">
      <c r="D327" s="10"/>
    </row>
    <row r="328" spans="4:4" ht="14" customHeight="1" x14ac:dyDescent="0.3">
      <c r="D328" s="10"/>
    </row>
    <row r="329" spans="4:4" ht="14" customHeight="1" x14ac:dyDescent="0.3">
      <c r="D329" s="10"/>
    </row>
    <row r="330" spans="4:4" ht="14" customHeight="1" x14ac:dyDescent="0.3">
      <c r="D330" s="10"/>
    </row>
    <row r="331" spans="4:4" ht="14" customHeight="1" x14ac:dyDescent="0.3">
      <c r="D331" s="10"/>
    </row>
    <row r="332" spans="4:4" ht="14" customHeight="1" x14ac:dyDescent="0.3">
      <c r="D332" s="10"/>
    </row>
    <row r="333" spans="4:4" ht="14" customHeight="1" x14ac:dyDescent="0.3">
      <c r="D333" s="10"/>
    </row>
    <row r="334" spans="4:4" ht="14" customHeight="1" x14ac:dyDescent="0.3">
      <c r="D334" s="10"/>
    </row>
    <row r="335" spans="4:4" ht="14" customHeight="1" x14ac:dyDescent="0.3">
      <c r="D335" s="10"/>
    </row>
    <row r="336" spans="4:4" ht="14" customHeight="1" x14ac:dyDescent="0.3">
      <c r="D336" s="10"/>
    </row>
    <row r="337" spans="4:4" ht="14" customHeight="1" x14ac:dyDescent="0.3">
      <c r="D337" s="10"/>
    </row>
    <row r="338" spans="4:4" ht="14" customHeight="1" x14ac:dyDescent="0.3">
      <c r="D338" s="10"/>
    </row>
    <row r="339" spans="4:4" ht="14" customHeight="1" x14ac:dyDescent="0.3">
      <c r="D339" s="10"/>
    </row>
    <row r="340" spans="4:4" ht="14" customHeight="1" x14ac:dyDescent="0.3">
      <c r="D340" s="10"/>
    </row>
    <row r="341" spans="4:4" ht="14" customHeight="1" x14ac:dyDescent="0.3">
      <c r="D341" s="10"/>
    </row>
    <row r="342" spans="4:4" ht="14" customHeight="1" x14ac:dyDescent="0.3">
      <c r="D342" s="10"/>
    </row>
    <row r="343" spans="4:4" ht="14" customHeight="1" x14ac:dyDescent="0.3">
      <c r="D343" s="10"/>
    </row>
    <row r="344" spans="4:4" ht="14" customHeight="1" x14ac:dyDescent="0.3">
      <c r="D344" s="10"/>
    </row>
    <row r="345" spans="4:4" ht="14" customHeight="1" x14ac:dyDescent="0.3">
      <c r="D345" s="10"/>
    </row>
    <row r="346" spans="4:4" ht="14" customHeight="1" x14ac:dyDescent="0.3">
      <c r="D346" s="10"/>
    </row>
    <row r="347" spans="4:4" ht="14" customHeight="1" x14ac:dyDescent="0.3">
      <c r="D347" s="10"/>
    </row>
    <row r="348" spans="4:4" ht="14" customHeight="1" x14ac:dyDescent="0.3">
      <c r="D348" s="10"/>
    </row>
    <row r="349" spans="4:4" ht="14" customHeight="1" x14ac:dyDescent="0.3">
      <c r="D349" s="10"/>
    </row>
    <row r="350" spans="4:4" ht="14" customHeight="1" x14ac:dyDescent="0.3">
      <c r="D350" s="10"/>
    </row>
    <row r="351" spans="4:4" ht="14" customHeight="1" x14ac:dyDescent="0.3">
      <c r="D351" s="10"/>
    </row>
    <row r="352" spans="4:4" ht="14" customHeight="1" x14ac:dyDescent="0.3">
      <c r="D352" s="10"/>
    </row>
    <row r="353" spans="4:4" ht="14" customHeight="1" x14ac:dyDescent="0.3">
      <c r="D353" s="10"/>
    </row>
    <row r="354" spans="4:4" ht="14" customHeight="1" x14ac:dyDescent="0.3">
      <c r="D354" s="10"/>
    </row>
    <row r="355" spans="4:4" ht="14" customHeight="1" x14ac:dyDescent="0.3">
      <c r="D355" s="10"/>
    </row>
    <row r="356" spans="4:4" ht="14" customHeight="1" x14ac:dyDescent="0.3">
      <c r="D356" s="10"/>
    </row>
    <row r="357" spans="4:4" ht="14" customHeight="1" x14ac:dyDescent="0.3">
      <c r="D357" s="10"/>
    </row>
    <row r="358" spans="4:4" ht="14" customHeight="1" x14ac:dyDescent="0.3">
      <c r="D358" s="10"/>
    </row>
    <row r="359" spans="4:4" ht="14" customHeight="1" x14ac:dyDescent="0.3">
      <c r="D359" s="10"/>
    </row>
    <row r="360" spans="4:4" ht="14" customHeight="1" x14ac:dyDescent="0.3">
      <c r="D360" s="10"/>
    </row>
  </sheetData>
  <sortState xmlns:xlrd2="http://schemas.microsoft.com/office/spreadsheetml/2017/richdata2" ref="A2:I181">
    <sortCondition ref="A12:A18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5D97E-C8F0-4CA0-88EC-22E94A493F15}">
  <sheetPr codeName="Worksheet______12"/>
  <dimension ref="A1:I181"/>
  <sheetViews>
    <sheetView topLeftCell="A56" zoomScale="80" zoomScaleNormal="80" workbookViewId="0">
      <selection activeCell="A69" sqref="A69"/>
    </sheetView>
  </sheetViews>
  <sheetFormatPr defaultRowHeight="13.5" customHeight="1" x14ac:dyDescent="0.3"/>
  <cols>
    <col min="5" max="5" width="12" customWidth="1"/>
    <col min="6" max="6" width="13.83203125" customWidth="1"/>
    <col min="7" max="7" width="8.83203125" customWidth="1"/>
  </cols>
  <sheetData>
    <row r="1" spans="1:9" ht="13.5" customHeight="1" x14ac:dyDescent="0.3">
      <c r="A1" s="15" t="s">
        <v>356</v>
      </c>
      <c r="B1" s="15" t="s">
        <v>357</v>
      </c>
      <c r="C1" s="15" t="s">
        <v>358</v>
      </c>
      <c r="D1" s="15" t="s">
        <v>62</v>
      </c>
      <c r="E1" s="13" t="s">
        <v>63</v>
      </c>
      <c r="F1" s="13" t="s">
        <v>64</v>
      </c>
      <c r="G1" s="13" t="s">
        <v>29</v>
      </c>
      <c r="H1" s="13" t="s">
        <v>30</v>
      </c>
      <c r="I1" s="21" t="s">
        <v>1906</v>
      </c>
    </row>
    <row r="2" spans="1:9" ht="13.5" customHeight="1" x14ac:dyDescent="0.3">
      <c r="A2" s="22">
        <v>1</v>
      </c>
      <c r="B2" s="31" t="s">
        <v>384</v>
      </c>
      <c r="C2" s="23" t="s">
        <v>385</v>
      </c>
      <c r="D2" s="24">
        <f t="shared" ref="D2:D33" si="0">IF(E2=F2, 1, 0)</f>
        <v>0</v>
      </c>
      <c r="E2" s="24" t="s">
        <v>5</v>
      </c>
      <c r="F2" s="25" t="s">
        <v>0</v>
      </c>
      <c r="G2" s="24" t="s">
        <v>910</v>
      </c>
      <c r="H2" s="24" t="s">
        <v>911</v>
      </c>
      <c r="I2" s="26">
        <v>1</v>
      </c>
    </row>
    <row r="3" spans="1:9" ht="13.5" customHeight="1" x14ac:dyDescent="0.3">
      <c r="A3" s="27">
        <v>1</v>
      </c>
      <c r="B3" s="18" t="s">
        <v>384</v>
      </c>
      <c r="C3" s="17" t="s">
        <v>385</v>
      </c>
      <c r="D3" s="28">
        <f t="shared" si="0"/>
        <v>0</v>
      </c>
      <c r="E3" s="28" t="s">
        <v>5</v>
      </c>
      <c r="F3" s="29" t="s">
        <v>0</v>
      </c>
      <c r="G3" s="28" t="s">
        <v>912</v>
      </c>
      <c r="H3" s="28" t="s">
        <v>913</v>
      </c>
      <c r="I3" s="30">
        <v>1</v>
      </c>
    </row>
    <row r="4" spans="1:9" ht="13.5" customHeight="1" x14ac:dyDescent="0.3">
      <c r="A4" s="22">
        <v>1</v>
      </c>
      <c r="B4" s="31" t="s">
        <v>384</v>
      </c>
      <c r="C4" s="23" t="s">
        <v>385</v>
      </c>
      <c r="D4" s="24">
        <f t="shared" si="0"/>
        <v>0</v>
      </c>
      <c r="E4" s="24" t="s">
        <v>5</v>
      </c>
      <c r="F4" s="25" t="s">
        <v>0</v>
      </c>
      <c r="G4" s="24" t="s">
        <v>914</v>
      </c>
      <c r="H4" s="24" t="s">
        <v>915</v>
      </c>
      <c r="I4" s="26">
        <v>1</v>
      </c>
    </row>
    <row r="5" spans="1:9" ht="13.5" customHeight="1" x14ac:dyDescent="0.35">
      <c r="A5" s="27">
        <v>2</v>
      </c>
      <c r="B5" s="17" t="s">
        <v>402</v>
      </c>
      <c r="C5" s="17" t="s">
        <v>403</v>
      </c>
      <c r="D5" s="28">
        <f t="shared" si="0"/>
        <v>0</v>
      </c>
      <c r="E5" s="28" t="s">
        <v>0</v>
      </c>
      <c r="F5" s="32" t="s">
        <v>1</v>
      </c>
      <c r="G5" s="33" t="s">
        <v>958</v>
      </c>
      <c r="H5" s="28" t="s">
        <v>959</v>
      </c>
      <c r="I5" s="30">
        <v>0</v>
      </c>
    </row>
    <row r="6" spans="1:9" ht="13.5" customHeight="1" x14ac:dyDescent="0.35">
      <c r="A6" s="22">
        <v>2</v>
      </c>
      <c r="B6" s="23" t="s">
        <v>402</v>
      </c>
      <c r="C6" s="23" t="s">
        <v>403</v>
      </c>
      <c r="D6" s="24">
        <f t="shared" si="0"/>
        <v>0</v>
      </c>
      <c r="E6" s="24" t="s">
        <v>0</v>
      </c>
      <c r="F6" s="34" t="s">
        <v>5</v>
      </c>
      <c r="G6" s="35" t="s">
        <v>960</v>
      </c>
      <c r="H6" s="24" t="s">
        <v>961</v>
      </c>
      <c r="I6" s="26">
        <v>1</v>
      </c>
    </row>
    <row r="7" spans="1:9" ht="13.5" customHeight="1" x14ac:dyDescent="0.35">
      <c r="A7" s="27">
        <v>2</v>
      </c>
      <c r="B7" s="17" t="s">
        <v>402</v>
      </c>
      <c r="C7" s="17" t="s">
        <v>403</v>
      </c>
      <c r="D7" s="28">
        <f t="shared" si="0"/>
        <v>1</v>
      </c>
      <c r="E7" s="28" t="s">
        <v>0</v>
      </c>
      <c r="F7" s="32" t="s">
        <v>0</v>
      </c>
      <c r="G7" s="33" t="s">
        <v>962</v>
      </c>
      <c r="H7" s="28" t="s">
        <v>963</v>
      </c>
      <c r="I7" s="30">
        <v>1</v>
      </c>
    </row>
    <row r="8" spans="1:9" ht="13.5" customHeight="1" x14ac:dyDescent="0.35">
      <c r="A8" s="22">
        <v>3</v>
      </c>
      <c r="B8" s="23" t="s">
        <v>408</v>
      </c>
      <c r="C8" s="23" t="s">
        <v>409</v>
      </c>
      <c r="D8" s="24">
        <f t="shared" si="0"/>
        <v>0</v>
      </c>
      <c r="E8" s="24" t="s">
        <v>5</v>
      </c>
      <c r="F8" s="34" t="s">
        <v>0</v>
      </c>
      <c r="G8" s="35" t="s">
        <v>975</v>
      </c>
      <c r="H8" s="24" t="s">
        <v>976</v>
      </c>
      <c r="I8" s="26">
        <v>1</v>
      </c>
    </row>
    <row r="9" spans="1:9" ht="13.5" customHeight="1" x14ac:dyDescent="0.35">
      <c r="A9" s="27">
        <v>3</v>
      </c>
      <c r="B9" s="17" t="s">
        <v>408</v>
      </c>
      <c r="C9" s="17" t="s">
        <v>409</v>
      </c>
      <c r="D9" s="28">
        <f t="shared" si="0"/>
        <v>0</v>
      </c>
      <c r="E9" s="28" t="s">
        <v>5</v>
      </c>
      <c r="F9" s="32" t="s">
        <v>1</v>
      </c>
      <c r="G9" s="33" t="s">
        <v>977</v>
      </c>
      <c r="H9" s="28" t="s">
        <v>978</v>
      </c>
      <c r="I9" s="30">
        <v>0</v>
      </c>
    </row>
    <row r="10" spans="1:9" ht="13.5" customHeight="1" x14ac:dyDescent="0.35">
      <c r="A10" s="22">
        <v>3</v>
      </c>
      <c r="B10" s="23" t="s">
        <v>408</v>
      </c>
      <c r="C10" s="23" t="s">
        <v>409</v>
      </c>
      <c r="D10" s="24">
        <f t="shared" si="0"/>
        <v>0</v>
      </c>
      <c r="E10" s="24" t="s">
        <v>5</v>
      </c>
      <c r="F10" s="34" t="s">
        <v>0</v>
      </c>
      <c r="G10" s="35" t="s">
        <v>979</v>
      </c>
      <c r="H10" s="24" t="s">
        <v>980</v>
      </c>
      <c r="I10" s="26">
        <v>1</v>
      </c>
    </row>
    <row r="11" spans="1:9" ht="13.5" customHeight="1" x14ac:dyDescent="0.3">
      <c r="A11" s="27">
        <v>4</v>
      </c>
      <c r="B11" s="17" t="s">
        <v>378</v>
      </c>
      <c r="C11" s="17" t="s">
        <v>379</v>
      </c>
      <c r="D11" s="28">
        <f t="shared" si="0"/>
        <v>1</v>
      </c>
      <c r="E11" s="28" t="s">
        <v>1</v>
      </c>
      <c r="F11" s="29" t="s">
        <v>1</v>
      </c>
      <c r="G11" s="28" t="s">
        <v>892</v>
      </c>
      <c r="H11" s="28" t="s">
        <v>893</v>
      </c>
      <c r="I11" s="30">
        <v>1</v>
      </c>
    </row>
    <row r="12" spans="1:9" ht="13.5" customHeight="1" x14ac:dyDescent="0.3">
      <c r="A12" s="22">
        <v>4</v>
      </c>
      <c r="B12" s="23" t="s">
        <v>378</v>
      </c>
      <c r="C12" s="23" t="s">
        <v>379</v>
      </c>
      <c r="D12" s="24">
        <f t="shared" si="0"/>
        <v>0</v>
      </c>
      <c r="E12" s="24" t="s">
        <v>1</v>
      </c>
      <c r="F12" s="25" t="s">
        <v>5</v>
      </c>
      <c r="G12" s="24" t="s">
        <v>894</v>
      </c>
      <c r="H12" s="24" t="s">
        <v>895</v>
      </c>
      <c r="I12" s="26">
        <v>1</v>
      </c>
    </row>
    <row r="13" spans="1:9" ht="13.5" customHeight="1" x14ac:dyDescent="0.3">
      <c r="A13" s="27">
        <v>4</v>
      </c>
      <c r="B13" s="17" t="s">
        <v>378</v>
      </c>
      <c r="C13" s="17" t="s">
        <v>379</v>
      </c>
      <c r="D13" s="28">
        <f t="shared" si="0"/>
        <v>0</v>
      </c>
      <c r="E13" s="28" t="s">
        <v>1</v>
      </c>
      <c r="F13" s="29" t="s">
        <v>0</v>
      </c>
      <c r="G13" s="28" t="s">
        <v>896</v>
      </c>
      <c r="H13" s="28" t="s">
        <v>897</v>
      </c>
      <c r="I13" s="30">
        <v>1</v>
      </c>
    </row>
    <row r="14" spans="1:9" ht="13.5" customHeight="1" x14ac:dyDescent="0.3">
      <c r="A14" s="22">
        <v>5</v>
      </c>
      <c r="B14" s="31" t="s">
        <v>380</v>
      </c>
      <c r="C14" s="31" t="s">
        <v>381</v>
      </c>
      <c r="D14" s="24">
        <f t="shared" si="0"/>
        <v>1</v>
      </c>
      <c r="E14" s="24" t="s">
        <v>1</v>
      </c>
      <c r="F14" s="25" t="s">
        <v>1</v>
      </c>
      <c r="G14" s="24" t="s">
        <v>898</v>
      </c>
      <c r="H14" s="24" t="s">
        <v>899</v>
      </c>
      <c r="I14" s="26">
        <v>1</v>
      </c>
    </row>
    <row r="15" spans="1:9" ht="13.5" customHeight="1" x14ac:dyDescent="0.3">
      <c r="A15" s="27">
        <v>5</v>
      </c>
      <c r="B15" s="18" t="s">
        <v>380</v>
      </c>
      <c r="C15" s="18" t="s">
        <v>381</v>
      </c>
      <c r="D15" s="28">
        <f t="shared" si="0"/>
        <v>0</v>
      </c>
      <c r="E15" s="28" t="s">
        <v>1</v>
      </c>
      <c r="F15" s="29" t="s">
        <v>5</v>
      </c>
      <c r="G15" s="28" t="s">
        <v>900</v>
      </c>
      <c r="H15" s="28" t="s">
        <v>901</v>
      </c>
      <c r="I15" s="30">
        <v>1</v>
      </c>
    </row>
    <row r="16" spans="1:9" ht="13.5" customHeight="1" x14ac:dyDescent="0.3">
      <c r="A16" s="22">
        <v>5</v>
      </c>
      <c r="B16" s="31" t="s">
        <v>380</v>
      </c>
      <c r="C16" s="31" t="s">
        <v>381</v>
      </c>
      <c r="D16" s="24">
        <f t="shared" si="0"/>
        <v>0</v>
      </c>
      <c r="E16" s="24" t="s">
        <v>1</v>
      </c>
      <c r="F16" s="25" t="s">
        <v>0</v>
      </c>
      <c r="G16" s="24" t="s">
        <v>902</v>
      </c>
      <c r="H16" s="24" t="s">
        <v>903</v>
      </c>
      <c r="I16" s="26">
        <v>1</v>
      </c>
    </row>
    <row r="17" spans="1:9" ht="13.5" customHeight="1" x14ac:dyDescent="0.35">
      <c r="A17" s="27">
        <v>6</v>
      </c>
      <c r="B17" s="18" t="s">
        <v>394</v>
      </c>
      <c r="C17" s="18" t="s">
        <v>395</v>
      </c>
      <c r="D17" s="28">
        <f t="shared" si="0"/>
        <v>0</v>
      </c>
      <c r="E17" s="28" t="s">
        <v>5</v>
      </c>
      <c r="F17" s="32" t="s">
        <v>0</v>
      </c>
      <c r="G17" s="33" t="s">
        <v>936</v>
      </c>
      <c r="H17" s="28" t="s">
        <v>937</v>
      </c>
      <c r="I17" s="30">
        <v>1</v>
      </c>
    </row>
    <row r="18" spans="1:9" ht="13.5" customHeight="1" x14ac:dyDescent="0.35">
      <c r="A18" s="22">
        <v>6</v>
      </c>
      <c r="B18" s="31" t="s">
        <v>394</v>
      </c>
      <c r="C18" s="31" t="s">
        <v>395</v>
      </c>
      <c r="D18" s="24">
        <f t="shared" si="0"/>
        <v>0</v>
      </c>
      <c r="E18" s="24" t="s">
        <v>5</v>
      </c>
      <c r="F18" s="34" t="s">
        <v>1</v>
      </c>
      <c r="G18" s="35" t="s">
        <v>938</v>
      </c>
      <c r="H18" s="24" t="s">
        <v>939</v>
      </c>
      <c r="I18" s="26">
        <v>0</v>
      </c>
    </row>
    <row r="19" spans="1:9" ht="13.5" customHeight="1" x14ac:dyDescent="0.35">
      <c r="A19" s="27">
        <v>6</v>
      </c>
      <c r="B19" s="18" t="s">
        <v>394</v>
      </c>
      <c r="C19" s="18" t="s">
        <v>395</v>
      </c>
      <c r="D19" s="28">
        <f t="shared" si="0"/>
        <v>0</v>
      </c>
      <c r="E19" s="28" t="s">
        <v>5</v>
      </c>
      <c r="F19" s="32" t="s">
        <v>0</v>
      </c>
      <c r="G19" s="33" t="s">
        <v>940</v>
      </c>
      <c r="H19" s="28" t="s">
        <v>941</v>
      </c>
      <c r="I19" s="30">
        <v>1</v>
      </c>
    </row>
    <row r="20" spans="1:9" ht="13.5" customHeight="1" x14ac:dyDescent="0.3">
      <c r="A20" s="22">
        <v>7</v>
      </c>
      <c r="B20" s="23" t="s">
        <v>368</v>
      </c>
      <c r="C20" s="23" t="s">
        <v>369</v>
      </c>
      <c r="D20" s="24">
        <f t="shared" si="0"/>
        <v>1</v>
      </c>
      <c r="E20" s="24" t="s">
        <v>1</v>
      </c>
      <c r="F20" s="25" t="s">
        <v>1</v>
      </c>
      <c r="G20" s="24" t="s">
        <v>862</v>
      </c>
      <c r="H20" s="24" t="s">
        <v>863</v>
      </c>
      <c r="I20" s="26">
        <v>1</v>
      </c>
    </row>
    <row r="21" spans="1:9" ht="13.5" customHeight="1" x14ac:dyDescent="0.3">
      <c r="A21" s="27">
        <v>7</v>
      </c>
      <c r="B21" s="17" t="s">
        <v>368</v>
      </c>
      <c r="C21" s="17" t="s">
        <v>369</v>
      </c>
      <c r="D21" s="28">
        <f t="shared" si="0"/>
        <v>0</v>
      </c>
      <c r="E21" s="28" t="s">
        <v>1</v>
      </c>
      <c r="F21" s="29" t="s">
        <v>5</v>
      </c>
      <c r="G21" s="28" t="s">
        <v>864</v>
      </c>
      <c r="H21" s="28" t="s">
        <v>865</v>
      </c>
      <c r="I21" s="30">
        <v>1</v>
      </c>
    </row>
    <row r="22" spans="1:9" ht="13.5" customHeight="1" x14ac:dyDescent="0.3">
      <c r="A22" s="22">
        <v>7</v>
      </c>
      <c r="B22" s="23" t="s">
        <v>368</v>
      </c>
      <c r="C22" s="23" t="s">
        <v>369</v>
      </c>
      <c r="D22" s="24">
        <f t="shared" si="0"/>
        <v>1</v>
      </c>
      <c r="E22" s="24" t="s">
        <v>1</v>
      </c>
      <c r="F22" s="25" t="s">
        <v>1</v>
      </c>
      <c r="G22" s="24" t="s">
        <v>866</v>
      </c>
      <c r="H22" s="24" t="s">
        <v>867</v>
      </c>
      <c r="I22" s="26">
        <v>1</v>
      </c>
    </row>
    <row r="23" spans="1:9" ht="13.5" customHeight="1" x14ac:dyDescent="0.3">
      <c r="A23" s="22">
        <v>8</v>
      </c>
      <c r="B23" s="23" t="s">
        <v>372</v>
      </c>
      <c r="C23" s="23" t="s">
        <v>373</v>
      </c>
      <c r="D23" s="24">
        <f t="shared" si="0"/>
        <v>0</v>
      </c>
      <c r="E23" s="24" t="s">
        <v>5</v>
      </c>
      <c r="F23" s="25" t="s">
        <v>1</v>
      </c>
      <c r="G23" s="24" t="s">
        <v>874</v>
      </c>
      <c r="H23" s="24" t="s">
        <v>875</v>
      </c>
      <c r="I23" s="26">
        <v>1</v>
      </c>
    </row>
    <row r="24" spans="1:9" ht="13.5" customHeight="1" x14ac:dyDescent="0.3">
      <c r="A24" s="27">
        <v>8</v>
      </c>
      <c r="B24" s="17" t="s">
        <v>372</v>
      </c>
      <c r="C24" s="17" t="s">
        <v>373</v>
      </c>
      <c r="D24" s="28">
        <f t="shared" si="0"/>
        <v>1</v>
      </c>
      <c r="E24" s="28" t="s">
        <v>5</v>
      </c>
      <c r="F24" s="29" t="s">
        <v>5</v>
      </c>
      <c r="G24" s="28" t="s">
        <v>876</v>
      </c>
      <c r="H24" s="28" t="s">
        <v>877</v>
      </c>
      <c r="I24" s="30">
        <v>1</v>
      </c>
    </row>
    <row r="25" spans="1:9" ht="13.5" customHeight="1" x14ac:dyDescent="0.3">
      <c r="A25" s="22">
        <v>8</v>
      </c>
      <c r="B25" s="23" t="s">
        <v>372</v>
      </c>
      <c r="C25" s="23" t="s">
        <v>373</v>
      </c>
      <c r="D25" s="24">
        <f t="shared" si="0"/>
        <v>0</v>
      </c>
      <c r="E25" s="24" t="s">
        <v>5</v>
      </c>
      <c r="F25" s="25" t="s">
        <v>1</v>
      </c>
      <c r="G25" s="24" t="s">
        <v>878</v>
      </c>
      <c r="H25" s="24" t="s">
        <v>879</v>
      </c>
      <c r="I25" s="26">
        <v>1</v>
      </c>
    </row>
    <row r="26" spans="1:9" ht="13.5" customHeight="1" x14ac:dyDescent="0.35">
      <c r="A26" s="27">
        <v>9</v>
      </c>
      <c r="B26" s="17" t="s">
        <v>410</v>
      </c>
      <c r="C26" s="17" t="s">
        <v>411</v>
      </c>
      <c r="D26" s="28">
        <f t="shared" si="0"/>
        <v>1</v>
      </c>
      <c r="E26" s="28" t="s">
        <v>0</v>
      </c>
      <c r="F26" s="32" t="s">
        <v>0</v>
      </c>
      <c r="G26" s="33" t="s">
        <v>981</v>
      </c>
      <c r="H26" s="28" t="s">
        <v>982</v>
      </c>
      <c r="I26" s="30">
        <v>1</v>
      </c>
    </row>
    <row r="27" spans="1:9" ht="13.5" customHeight="1" x14ac:dyDescent="0.35">
      <c r="A27" s="22">
        <v>9</v>
      </c>
      <c r="B27" s="23" t="s">
        <v>410</v>
      </c>
      <c r="C27" s="23" t="s">
        <v>411</v>
      </c>
      <c r="D27" s="24">
        <f t="shared" si="0"/>
        <v>0</v>
      </c>
      <c r="E27" s="24" t="s">
        <v>0</v>
      </c>
      <c r="F27" s="34" t="s">
        <v>1</v>
      </c>
      <c r="G27" s="35" t="s">
        <v>983</v>
      </c>
      <c r="H27" s="24" t="s">
        <v>984</v>
      </c>
      <c r="I27" s="26">
        <v>1</v>
      </c>
    </row>
    <row r="28" spans="1:9" ht="13.5" customHeight="1" x14ac:dyDescent="0.35">
      <c r="A28" s="27">
        <v>9</v>
      </c>
      <c r="B28" s="17" t="s">
        <v>410</v>
      </c>
      <c r="C28" s="17" t="s">
        <v>411</v>
      </c>
      <c r="D28" s="28">
        <f t="shared" si="0"/>
        <v>1</v>
      </c>
      <c r="E28" s="28" t="s">
        <v>0</v>
      </c>
      <c r="F28" s="32" t="s">
        <v>0</v>
      </c>
      <c r="G28" s="33" t="s">
        <v>985</v>
      </c>
      <c r="H28" s="28" t="s">
        <v>986</v>
      </c>
      <c r="I28" s="30">
        <v>1</v>
      </c>
    </row>
    <row r="29" spans="1:9" ht="13.5" customHeight="1" x14ac:dyDescent="0.3">
      <c r="A29" s="22">
        <v>10</v>
      </c>
      <c r="B29" s="23" t="s">
        <v>392</v>
      </c>
      <c r="C29" s="23" t="s">
        <v>393</v>
      </c>
      <c r="D29" s="24">
        <f t="shared" si="0"/>
        <v>0</v>
      </c>
      <c r="E29" s="24" t="s">
        <v>0</v>
      </c>
      <c r="F29" s="25" t="s">
        <v>1</v>
      </c>
      <c r="G29" s="24" t="s">
        <v>931</v>
      </c>
      <c r="H29" s="24" t="s">
        <v>932</v>
      </c>
      <c r="I29" s="26">
        <v>1</v>
      </c>
    </row>
    <row r="30" spans="1:9" ht="13.5" customHeight="1" x14ac:dyDescent="0.3">
      <c r="A30" s="27">
        <v>10</v>
      </c>
      <c r="B30" s="17" t="s">
        <v>392</v>
      </c>
      <c r="C30" s="17" t="s">
        <v>393</v>
      </c>
      <c r="D30" s="28">
        <f t="shared" si="0"/>
        <v>1</v>
      </c>
      <c r="E30" s="28" t="s">
        <v>0</v>
      </c>
      <c r="F30" s="29" t="s">
        <v>0</v>
      </c>
      <c r="G30" s="28" t="s">
        <v>933</v>
      </c>
      <c r="H30" s="28" t="s">
        <v>934</v>
      </c>
      <c r="I30" s="30">
        <v>1</v>
      </c>
    </row>
    <row r="31" spans="1:9" ht="13.5" customHeight="1" x14ac:dyDescent="0.3">
      <c r="A31" s="22">
        <v>10</v>
      </c>
      <c r="B31" s="23" t="s">
        <v>392</v>
      </c>
      <c r="C31" s="23" t="s">
        <v>393</v>
      </c>
      <c r="D31" s="24">
        <f t="shared" si="0"/>
        <v>1</v>
      </c>
      <c r="E31" s="24" t="s">
        <v>0</v>
      </c>
      <c r="F31" s="25" t="s">
        <v>0</v>
      </c>
      <c r="G31" s="24" t="s">
        <v>88</v>
      </c>
      <c r="H31" s="24" t="s">
        <v>935</v>
      </c>
      <c r="I31" s="26">
        <v>1</v>
      </c>
    </row>
    <row r="32" spans="1:9" ht="13.5" customHeight="1" x14ac:dyDescent="0.3">
      <c r="A32" s="27">
        <v>11</v>
      </c>
      <c r="B32" s="17" t="s">
        <v>366</v>
      </c>
      <c r="C32" s="17" t="s">
        <v>367</v>
      </c>
      <c r="D32" s="28">
        <f t="shared" si="0"/>
        <v>0</v>
      </c>
      <c r="E32" s="28" t="s">
        <v>0</v>
      </c>
      <c r="F32" s="29" t="s">
        <v>1</v>
      </c>
      <c r="G32" s="28" t="s">
        <v>856</v>
      </c>
      <c r="H32" s="28" t="s">
        <v>857</v>
      </c>
      <c r="I32" s="30">
        <v>1</v>
      </c>
    </row>
    <row r="33" spans="1:9" ht="13.5" customHeight="1" x14ac:dyDescent="0.3">
      <c r="A33" s="22">
        <v>11</v>
      </c>
      <c r="B33" s="23" t="s">
        <v>366</v>
      </c>
      <c r="C33" s="23" t="s">
        <v>367</v>
      </c>
      <c r="D33" s="24">
        <f t="shared" si="0"/>
        <v>1</v>
      </c>
      <c r="E33" s="24" t="s">
        <v>0</v>
      </c>
      <c r="F33" s="25" t="s">
        <v>0</v>
      </c>
      <c r="G33" s="24" t="s">
        <v>858</v>
      </c>
      <c r="H33" s="24" t="s">
        <v>859</v>
      </c>
      <c r="I33" s="26">
        <v>1</v>
      </c>
    </row>
    <row r="34" spans="1:9" ht="13.5" customHeight="1" x14ac:dyDescent="0.3">
      <c r="A34" s="27">
        <v>11</v>
      </c>
      <c r="B34" s="17" t="s">
        <v>366</v>
      </c>
      <c r="C34" s="17" t="s">
        <v>367</v>
      </c>
      <c r="D34" s="28">
        <f t="shared" ref="D34:D65" si="1">IF(E34=F34, 1, 0)</f>
        <v>1</v>
      </c>
      <c r="E34" s="28" t="s">
        <v>0</v>
      </c>
      <c r="F34" s="29" t="s">
        <v>0</v>
      </c>
      <c r="G34" s="28" t="s">
        <v>860</v>
      </c>
      <c r="H34" s="28" t="s">
        <v>861</v>
      </c>
      <c r="I34" s="30">
        <v>1</v>
      </c>
    </row>
    <row r="35" spans="1:9" ht="13.5" customHeight="1" x14ac:dyDescent="0.3">
      <c r="A35" s="44">
        <v>12</v>
      </c>
      <c r="B35" s="17" t="s">
        <v>382</v>
      </c>
      <c r="C35" s="18" t="s">
        <v>383</v>
      </c>
      <c r="D35" s="28">
        <f t="shared" si="1"/>
        <v>1</v>
      </c>
      <c r="E35" s="28" t="s">
        <v>0</v>
      </c>
      <c r="F35" s="29" t="s">
        <v>0</v>
      </c>
      <c r="G35" s="28" t="s">
        <v>904</v>
      </c>
      <c r="H35" s="28" t="s">
        <v>905</v>
      </c>
      <c r="I35" s="30">
        <v>1</v>
      </c>
    </row>
    <row r="36" spans="1:9" ht="13.5" customHeight="1" x14ac:dyDescent="0.3">
      <c r="A36" s="50">
        <v>12</v>
      </c>
      <c r="B36" s="23" t="s">
        <v>382</v>
      </c>
      <c r="C36" s="31" t="s">
        <v>383</v>
      </c>
      <c r="D36" s="24">
        <f t="shared" si="1"/>
        <v>1</v>
      </c>
      <c r="E36" s="24" t="s">
        <v>0</v>
      </c>
      <c r="F36" s="25" t="s">
        <v>0</v>
      </c>
      <c r="G36" s="24" t="s">
        <v>906</v>
      </c>
      <c r="H36" s="24" t="s">
        <v>907</v>
      </c>
      <c r="I36" s="26">
        <v>1</v>
      </c>
    </row>
    <row r="37" spans="1:9" ht="13.5" customHeight="1" x14ac:dyDescent="0.3">
      <c r="A37" s="44">
        <v>12</v>
      </c>
      <c r="B37" s="17" t="s">
        <v>382</v>
      </c>
      <c r="C37" s="18" t="s">
        <v>383</v>
      </c>
      <c r="D37" s="28">
        <f t="shared" si="1"/>
        <v>1</v>
      </c>
      <c r="E37" s="28" t="s">
        <v>0</v>
      </c>
      <c r="F37" s="29" t="s">
        <v>0</v>
      </c>
      <c r="G37" s="28" t="s">
        <v>908</v>
      </c>
      <c r="H37" s="28" t="s">
        <v>909</v>
      </c>
      <c r="I37" s="30">
        <v>1</v>
      </c>
    </row>
    <row r="38" spans="1:9" ht="13.5" customHeight="1" x14ac:dyDescent="0.3">
      <c r="A38" s="27">
        <v>13</v>
      </c>
      <c r="B38" s="17" t="s">
        <v>374</v>
      </c>
      <c r="C38" s="17" t="s">
        <v>375</v>
      </c>
      <c r="D38" s="28">
        <f t="shared" si="1"/>
        <v>0</v>
      </c>
      <c r="E38" s="28" t="s">
        <v>0</v>
      </c>
      <c r="F38" s="29" t="s">
        <v>1</v>
      </c>
      <c r="G38" s="28" t="s">
        <v>880</v>
      </c>
      <c r="H38" s="28" t="s">
        <v>881</v>
      </c>
      <c r="I38" s="30">
        <v>1</v>
      </c>
    </row>
    <row r="39" spans="1:9" ht="13.5" customHeight="1" x14ac:dyDescent="0.3">
      <c r="A39" s="22">
        <v>13</v>
      </c>
      <c r="B39" s="23" t="s">
        <v>374</v>
      </c>
      <c r="C39" s="23" t="s">
        <v>375</v>
      </c>
      <c r="D39" s="24">
        <f t="shared" si="1"/>
        <v>1</v>
      </c>
      <c r="E39" s="24" t="s">
        <v>0</v>
      </c>
      <c r="F39" s="25" t="s">
        <v>0</v>
      </c>
      <c r="G39" s="24" t="s">
        <v>882</v>
      </c>
      <c r="H39" s="24" t="s">
        <v>883</v>
      </c>
      <c r="I39" s="26">
        <v>1</v>
      </c>
    </row>
    <row r="40" spans="1:9" ht="13.5" customHeight="1" x14ac:dyDescent="0.3">
      <c r="A40" s="27">
        <v>13</v>
      </c>
      <c r="B40" s="17" t="s">
        <v>374</v>
      </c>
      <c r="C40" s="17" t="s">
        <v>375</v>
      </c>
      <c r="D40" s="28">
        <f t="shared" si="1"/>
        <v>0</v>
      </c>
      <c r="E40" s="28" t="s">
        <v>0</v>
      </c>
      <c r="F40" s="29" t="s">
        <v>1</v>
      </c>
      <c r="G40" s="28" t="s">
        <v>884</v>
      </c>
      <c r="H40" s="28" t="s">
        <v>885</v>
      </c>
      <c r="I40" s="30">
        <v>1</v>
      </c>
    </row>
    <row r="41" spans="1:9" ht="13.5" customHeight="1" x14ac:dyDescent="0.3">
      <c r="A41" s="22">
        <v>14</v>
      </c>
      <c r="B41" s="23" t="s">
        <v>376</v>
      </c>
      <c r="C41" s="23" t="s">
        <v>377</v>
      </c>
      <c r="D41" s="24">
        <f t="shared" si="1"/>
        <v>0</v>
      </c>
      <c r="E41" s="24" t="s">
        <v>0</v>
      </c>
      <c r="F41" s="25" t="s">
        <v>1</v>
      </c>
      <c r="G41" s="24" t="s">
        <v>886</v>
      </c>
      <c r="H41" s="24" t="s">
        <v>887</v>
      </c>
      <c r="I41" s="26">
        <v>1</v>
      </c>
    </row>
    <row r="42" spans="1:9" ht="13.5" customHeight="1" x14ac:dyDescent="0.3">
      <c r="A42" s="27">
        <v>14</v>
      </c>
      <c r="B42" s="17" t="s">
        <v>376</v>
      </c>
      <c r="C42" s="17" t="s">
        <v>377</v>
      </c>
      <c r="D42" s="28">
        <f t="shared" si="1"/>
        <v>1</v>
      </c>
      <c r="E42" s="28" t="s">
        <v>0</v>
      </c>
      <c r="F42" s="29" t="s">
        <v>0</v>
      </c>
      <c r="G42" s="28" t="s">
        <v>888</v>
      </c>
      <c r="H42" s="28" t="s">
        <v>889</v>
      </c>
      <c r="I42" s="30">
        <v>1</v>
      </c>
    </row>
    <row r="43" spans="1:9" ht="13.5" customHeight="1" x14ac:dyDescent="0.3">
      <c r="A43" s="22">
        <v>14</v>
      </c>
      <c r="B43" s="23" t="s">
        <v>376</v>
      </c>
      <c r="C43" s="23" t="s">
        <v>377</v>
      </c>
      <c r="D43" s="24">
        <f t="shared" si="1"/>
        <v>1</v>
      </c>
      <c r="E43" s="24" t="s">
        <v>0</v>
      </c>
      <c r="F43" s="25" t="s">
        <v>0</v>
      </c>
      <c r="G43" s="24" t="s">
        <v>890</v>
      </c>
      <c r="H43" s="24" t="s">
        <v>891</v>
      </c>
      <c r="I43" s="26">
        <v>1</v>
      </c>
    </row>
    <row r="44" spans="1:9" ht="13.5" customHeight="1" x14ac:dyDescent="0.3">
      <c r="A44" s="22">
        <v>15</v>
      </c>
      <c r="B44" s="23" t="s">
        <v>388</v>
      </c>
      <c r="C44" s="23" t="s">
        <v>389</v>
      </c>
      <c r="D44" s="24">
        <f t="shared" si="1"/>
        <v>0</v>
      </c>
      <c r="E44" s="24" t="s">
        <v>1</v>
      </c>
      <c r="F44" s="25" t="s">
        <v>0</v>
      </c>
      <c r="G44" s="24" t="s">
        <v>921</v>
      </c>
      <c r="H44" s="24" t="s">
        <v>922</v>
      </c>
      <c r="I44" s="26">
        <v>1</v>
      </c>
    </row>
    <row r="45" spans="1:9" ht="13.5" customHeight="1" x14ac:dyDescent="0.3">
      <c r="A45" s="27">
        <v>15</v>
      </c>
      <c r="B45" s="17" t="s">
        <v>388</v>
      </c>
      <c r="C45" s="17" t="s">
        <v>389</v>
      </c>
      <c r="D45" s="28">
        <f t="shared" si="1"/>
        <v>1</v>
      </c>
      <c r="E45" s="28" t="s">
        <v>1</v>
      </c>
      <c r="F45" s="29" t="s">
        <v>1</v>
      </c>
      <c r="G45" s="28" t="s">
        <v>923</v>
      </c>
      <c r="H45" s="28" t="s">
        <v>924</v>
      </c>
      <c r="I45" s="30">
        <v>1</v>
      </c>
    </row>
    <row r="46" spans="1:9" ht="13.5" customHeight="1" x14ac:dyDescent="0.3">
      <c r="A46" s="22">
        <v>15</v>
      </c>
      <c r="B46" s="23" t="s">
        <v>388</v>
      </c>
      <c r="C46" s="23" t="s">
        <v>389</v>
      </c>
      <c r="D46" s="24">
        <f t="shared" si="1"/>
        <v>0</v>
      </c>
      <c r="E46" s="24" t="s">
        <v>1</v>
      </c>
      <c r="F46" s="25" t="s">
        <v>0</v>
      </c>
      <c r="G46" s="24" t="s">
        <v>925</v>
      </c>
      <c r="H46" s="24" t="s">
        <v>926</v>
      </c>
      <c r="I46" s="26">
        <v>1</v>
      </c>
    </row>
    <row r="47" spans="1:9" ht="13.5" customHeight="1" x14ac:dyDescent="0.35">
      <c r="A47" s="27">
        <v>16</v>
      </c>
      <c r="B47" s="18" t="s">
        <v>414</v>
      </c>
      <c r="C47" s="17" t="s">
        <v>415</v>
      </c>
      <c r="D47" s="28">
        <f t="shared" si="1"/>
        <v>1</v>
      </c>
      <c r="E47" s="28" t="s">
        <v>0</v>
      </c>
      <c r="F47" s="32" t="s">
        <v>0</v>
      </c>
      <c r="G47" s="33" t="s">
        <v>993</v>
      </c>
      <c r="H47" s="28" t="s">
        <v>994</v>
      </c>
      <c r="I47" s="30">
        <v>1</v>
      </c>
    </row>
    <row r="48" spans="1:9" ht="13.5" customHeight="1" x14ac:dyDescent="0.35">
      <c r="A48" s="22">
        <v>16</v>
      </c>
      <c r="B48" s="31" t="s">
        <v>414</v>
      </c>
      <c r="C48" s="23" t="s">
        <v>415</v>
      </c>
      <c r="D48" s="24">
        <f t="shared" si="1"/>
        <v>0</v>
      </c>
      <c r="E48" s="24" t="s">
        <v>0</v>
      </c>
      <c r="F48" s="34" t="s">
        <v>5</v>
      </c>
      <c r="G48" s="35" t="s">
        <v>995</v>
      </c>
      <c r="H48" s="24" t="s">
        <v>996</v>
      </c>
      <c r="I48" s="26">
        <v>1</v>
      </c>
    </row>
    <row r="49" spans="1:9" ht="13.5" customHeight="1" x14ac:dyDescent="0.35">
      <c r="A49" s="27">
        <v>16</v>
      </c>
      <c r="B49" s="18" t="s">
        <v>414</v>
      </c>
      <c r="C49" s="17" t="s">
        <v>415</v>
      </c>
      <c r="D49" s="28">
        <f t="shared" si="1"/>
        <v>1</v>
      </c>
      <c r="E49" s="28" t="s">
        <v>0</v>
      </c>
      <c r="F49" s="32" t="s">
        <v>0</v>
      </c>
      <c r="G49" s="33" t="s">
        <v>997</v>
      </c>
      <c r="H49" s="28" t="s">
        <v>998</v>
      </c>
      <c r="I49" s="30">
        <v>1</v>
      </c>
    </row>
    <row r="50" spans="1:9" ht="13.5" customHeight="1" x14ac:dyDescent="0.3">
      <c r="A50" s="49">
        <v>17</v>
      </c>
      <c r="B50" s="18" t="s">
        <v>386</v>
      </c>
      <c r="C50" s="18" t="s">
        <v>387</v>
      </c>
      <c r="D50" s="28">
        <f t="shared" si="1"/>
        <v>0</v>
      </c>
      <c r="E50" s="28" t="s">
        <v>1</v>
      </c>
      <c r="F50" s="29" t="s">
        <v>0</v>
      </c>
      <c r="G50" s="28" t="s">
        <v>916</v>
      </c>
      <c r="H50" s="28" t="s">
        <v>917</v>
      </c>
      <c r="I50" s="30">
        <v>1</v>
      </c>
    </row>
    <row r="51" spans="1:9" ht="13.5" customHeight="1" x14ac:dyDescent="0.3">
      <c r="A51" s="49">
        <v>17</v>
      </c>
      <c r="B51" s="31" t="s">
        <v>386</v>
      </c>
      <c r="C51" s="31" t="s">
        <v>387</v>
      </c>
      <c r="D51" s="24">
        <f t="shared" si="1"/>
        <v>0</v>
      </c>
      <c r="E51" s="24" t="s">
        <v>1</v>
      </c>
      <c r="F51" s="25" t="s">
        <v>5</v>
      </c>
      <c r="G51" s="24" t="s">
        <v>1910</v>
      </c>
      <c r="H51" s="24" t="s">
        <v>918</v>
      </c>
      <c r="I51" s="26">
        <v>1</v>
      </c>
    </row>
    <row r="52" spans="1:9" ht="13.5" customHeight="1" x14ac:dyDescent="0.3">
      <c r="A52" s="49">
        <v>17</v>
      </c>
      <c r="B52" s="18" t="s">
        <v>386</v>
      </c>
      <c r="C52" s="18" t="s">
        <v>387</v>
      </c>
      <c r="D52" s="28">
        <f t="shared" si="1"/>
        <v>0</v>
      </c>
      <c r="E52" s="28" t="s">
        <v>1</v>
      </c>
      <c r="F52" s="29" t="s">
        <v>0</v>
      </c>
      <c r="G52" s="28" t="s">
        <v>919</v>
      </c>
      <c r="H52" s="28" t="s">
        <v>920</v>
      </c>
      <c r="I52" s="30">
        <v>1</v>
      </c>
    </row>
    <row r="53" spans="1:9" ht="13.5" customHeight="1" x14ac:dyDescent="0.3">
      <c r="A53" s="27">
        <v>18</v>
      </c>
      <c r="B53" s="17" t="s">
        <v>370</v>
      </c>
      <c r="C53" s="17" t="s">
        <v>371</v>
      </c>
      <c r="D53" s="28">
        <f t="shared" si="1"/>
        <v>1</v>
      </c>
      <c r="E53" s="28" t="s">
        <v>1</v>
      </c>
      <c r="F53" s="29" t="s">
        <v>1</v>
      </c>
      <c r="G53" s="28" t="s">
        <v>868</v>
      </c>
      <c r="H53" s="28" t="s">
        <v>869</v>
      </c>
      <c r="I53" s="30">
        <v>1</v>
      </c>
    </row>
    <row r="54" spans="1:9" ht="13.5" customHeight="1" x14ac:dyDescent="0.3">
      <c r="A54" s="22">
        <v>18</v>
      </c>
      <c r="B54" s="23" t="s">
        <v>370</v>
      </c>
      <c r="C54" s="23" t="s">
        <v>371</v>
      </c>
      <c r="D54" s="24">
        <f t="shared" si="1"/>
        <v>0</v>
      </c>
      <c r="E54" s="24" t="s">
        <v>1</v>
      </c>
      <c r="F54" s="25" t="s">
        <v>5</v>
      </c>
      <c r="G54" s="24" t="s">
        <v>870</v>
      </c>
      <c r="H54" s="24" t="s">
        <v>871</v>
      </c>
      <c r="I54" s="26">
        <v>1</v>
      </c>
    </row>
    <row r="55" spans="1:9" ht="13.5" customHeight="1" x14ac:dyDescent="0.3">
      <c r="A55" s="27">
        <v>18</v>
      </c>
      <c r="B55" s="17" t="s">
        <v>370</v>
      </c>
      <c r="C55" s="17" t="s">
        <v>371</v>
      </c>
      <c r="D55" s="28">
        <f t="shared" si="1"/>
        <v>1</v>
      </c>
      <c r="E55" s="28" t="s">
        <v>1</v>
      </c>
      <c r="F55" s="29" t="s">
        <v>1</v>
      </c>
      <c r="G55" s="28" t="s">
        <v>872</v>
      </c>
      <c r="H55" s="28" t="s">
        <v>873</v>
      </c>
      <c r="I55" s="30">
        <v>1</v>
      </c>
    </row>
    <row r="56" spans="1:9" ht="13.5" customHeight="1" x14ac:dyDescent="0.3">
      <c r="A56" s="27">
        <v>19</v>
      </c>
      <c r="B56" s="18" t="s">
        <v>426</v>
      </c>
      <c r="C56" s="18" t="s">
        <v>427</v>
      </c>
      <c r="D56" s="28">
        <f t="shared" si="1"/>
        <v>0</v>
      </c>
      <c r="E56" s="28" t="s">
        <v>1</v>
      </c>
      <c r="F56" s="29" t="s">
        <v>0</v>
      </c>
      <c r="G56" s="28" t="s">
        <v>1029</v>
      </c>
      <c r="H56" s="28" t="s">
        <v>1030</v>
      </c>
      <c r="I56" s="30">
        <v>1</v>
      </c>
    </row>
    <row r="57" spans="1:9" ht="13.5" customHeight="1" x14ac:dyDescent="0.3">
      <c r="A57" s="22">
        <v>19</v>
      </c>
      <c r="B57" s="31" t="s">
        <v>426</v>
      </c>
      <c r="C57" s="31" t="s">
        <v>427</v>
      </c>
      <c r="D57" s="24">
        <f t="shared" si="1"/>
        <v>0</v>
      </c>
      <c r="E57" s="24" t="s">
        <v>1</v>
      </c>
      <c r="F57" s="25" t="s">
        <v>0</v>
      </c>
      <c r="G57" s="24" t="s">
        <v>1031</v>
      </c>
      <c r="H57" s="24" t="s">
        <v>1032</v>
      </c>
      <c r="I57" s="26">
        <v>1</v>
      </c>
    </row>
    <row r="58" spans="1:9" ht="13.5" customHeight="1" x14ac:dyDescent="0.3">
      <c r="A58" s="27">
        <v>19</v>
      </c>
      <c r="B58" s="18" t="s">
        <v>426</v>
      </c>
      <c r="C58" s="18" t="s">
        <v>427</v>
      </c>
      <c r="D58" s="28">
        <f t="shared" si="1"/>
        <v>1</v>
      </c>
      <c r="E58" s="28" t="s">
        <v>1</v>
      </c>
      <c r="F58" s="29" t="s">
        <v>1</v>
      </c>
      <c r="G58" s="28" t="s">
        <v>1033</v>
      </c>
      <c r="H58" s="28" t="s">
        <v>1034</v>
      </c>
      <c r="I58" s="30">
        <v>1</v>
      </c>
    </row>
    <row r="59" spans="1:9" ht="13.5" customHeight="1" x14ac:dyDescent="0.35">
      <c r="A59" s="27">
        <v>20</v>
      </c>
      <c r="B59" s="17" t="s">
        <v>398</v>
      </c>
      <c r="C59" s="17" t="s">
        <v>399</v>
      </c>
      <c r="D59" s="28">
        <f t="shared" si="1"/>
        <v>0</v>
      </c>
      <c r="E59" s="28" t="s">
        <v>5</v>
      </c>
      <c r="F59" s="32" t="s">
        <v>0</v>
      </c>
      <c r="G59" s="33" t="s">
        <v>947</v>
      </c>
      <c r="H59" s="28" t="s">
        <v>948</v>
      </c>
      <c r="I59" s="30">
        <v>1</v>
      </c>
    </row>
    <row r="60" spans="1:9" ht="13.5" customHeight="1" x14ac:dyDescent="0.35">
      <c r="A60" s="22">
        <v>20</v>
      </c>
      <c r="B60" s="23" t="s">
        <v>398</v>
      </c>
      <c r="C60" s="23" t="s">
        <v>399</v>
      </c>
      <c r="D60" s="24">
        <f t="shared" si="1"/>
        <v>0</v>
      </c>
      <c r="E60" s="24" t="s">
        <v>5</v>
      </c>
      <c r="F60" s="34" t="s">
        <v>1</v>
      </c>
      <c r="G60" s="35" t="s">
        <v>1914</v>
      </c>
      <c r="H60" s="24" t="s">
        <v>949</v>
      </c>
      <c r="I60" s="26">
        <v>1</v>
      </c>
    </row>
    <row r="61" spans="1:9" ht="13.5" customHeight="1" x14ac:dyDescent="0.35">
      <c r="A61" s="27">
        <v>20</v>
      </c>
      <c r="B61" s="17" t="s">
        <v>398</v>
      </c>
      <c r="C61" s="17" t="s">
        <v>399</v>
      </c>
      <c r="D61" s="28">
        <f t="shared" si="1"/>
        <v>0</v>
      </c>
      <c r="E61" s="28" t="s">
        <v>5</v>
      </c>
      <c r="F61" s="32" t="s">
        <v>0</v>
      </c>
      <c r="G61" s="33" t="s">
        <v>950</v>
      </c>
      <c r="H61" s="28" t="s">
        <v>951</v>
      </c>
      <c r="I61" s="30">
        <v>1</v>
      </c>
    </row>
    <row r="62" spans="1:9" ht="13.5" customHeight="1" x14ac:dyDescent="0.35">
      <c r="A62" s="22">
        <v>21</v>
      </c>
      <c r="B62" s="23" t="s">
        <v>416</v>
      </c>
      <c r="C62" s="23" t="s">
        <v>417</v>
      </c>
      <c r="D62" s="24">
        <f t="shared" si="1"/>
        <v>1</v>
      </c>
      <c r="E62" s="24" t="s">
        <v>5</v>
      </c>
      <c r="F62" s="34" t="s">
        <v>5</v>
      </c>
      <c r="G62" s="35" t="s">
        <v>999</v>
      </c>
      <c r="H62" s="24" t="s">
        <v>1000</v>
      </c>
      <c r="I62" s="26">
        <v>1</v>
      </c>
    </row>
    <row r="63" spans="1:9" ht="13.5" customHeight="1" x14ac:dyDescent="0.35">
      <c r="A63" s="27">
        <v>21</v>
      </c>
      <c r="B63" s="17" t="s">
        <v>416</v>
      </c>
      <c r="C63" s="17" t="s">
        <v>417</v>
      </c>
      <c r="D63" s="28">
        <f t="shared" si="1"/>
        <v>1</v>
      </c>
      <c r="E63" s="28" t="s">
        <v>5</v>
      </c>
      <c r="F63" s="32" t="s">
        <v>5</v>
      </c>
      <c r="G63" s="33" t="s">
        <v>1001</v>
      </c>
      <c r="H63" s="28" t="s">
        <v>1002</v>
      </c>
      <c r="I63" s="30">
        <v>1</v>
      </c>
    </row>
    <row r="64" spans="1:9" ht="13.5" customHeight="1" x14ac:dyDescent="0.35">
      <c r="A64" s="22">
        <v>21</v>
      </c>
      <c r="B64" s="23" t="s">
        <v>416</v>
      </c>
      <c r="C64" s="23" t="s">
        <v>417</v>
      </c>
      <c r="D64" s="24">
        <f t="shared" si="1"/>
        <v>0</v>
      </c>
      <c r="E64" s="24" t="s">
        <v>5</v>
      </c>
      <c r="F64" s="34" t="s">
        <v>1</v>
      </c>
      <c r="G64" s="35" t="s">
        <v>1003</v>
      </c>
      <c r="H64" s="24" t="s">
        <v>1004</v>
      </c>
      <c r="I64" s="26">
        <v>1</v>
      </c>
    </row>
    <row r="65" spans="1:9" ht="13.5" customHeight="1" x14ac:dyDescent="0.3">
      <c r="A65" s="22">
        <v>22</v>
      </c>
      <c r="B65" s="23" t="s">
        <v>424</v>
      </c>
      <c r="C65" s="31" t="s">
        <v>425</v>
      </c>
      <c r="D65" s="24">
        <f t="shared" si="1"/>
        <v>1</v>
      </c>
      <c r="E65" s="24" t="s">
        <v>0</v>
      </c>
      <c r="F65" s="25" t="s">
        <v>0</v>
      </c>
      <c r="G65" s="24" t="s">
        <v>1023</v>
      </c>
      <c r="H65" s="24" t="s">
        <v>1024</v>
      </c>
      <c r="I65" s="26">
        <v>1</v>
      </c>
    </row>
    <row r="66" spans="1:9" ht="13.5" customHeight="1" x14ac:dyDescent="0.3">
      <c r="A66" s="27">
        <v>22</v>
      </c>
      <c r="B66" s="17" t="s">
        <v>424</v>
      </c>
      <c r="C66" s="18" t="s">
        <v>425</v>
      </c>
      <c r="D66" s="28">
        <f t="shared" ref="D66:D97" si="2">IF(E66=F66, 1, 0)</f>
        <v>0</v>
      </c>
      <c r="E66" s="28" t="s">
        <v>0</v>
      </c>
      <c r="F66" s="29" t="s">
        <v>1</v>
      </c>
      <c r="G66" s="28" t="s">
        <v>1025</v>
      </c>
      <c r="H66" s="28" t="s">
        <v>1026</v>
      </c>
      <c r="I66" s="30">
        <v>1</v>
      </c>
    </row>
    <row r="67" spans="1:9" ht="13.5" customHeight="1" x14ac:dyDescent="0.3">
      <c r="A67" s="22">
        <v>22</v>
      </c>
      <c r="B67" s="23" t="s">
        <v>424</v>
      </c>
      <c r="C67" s="31" t="s">
        <v>425</v>
      </c>
      <c r="D67" s="24">
        <f t="shared" si="2"/>
        <v>1</v>
      </c>
      <c r="E67" s="24" t="s">
        <v>0</v>
      </c>
      <c r="F67" s="25" t="s">
        <v>0</v>
      </c>
      <c r="G67" s="24" t="s">
        <v>1027</v>
      </c>
      <c r="H67" s="24" t="s">
        <v>1028</v>
      </c>
      <c r="I67" s="26">
        <v>1</v>
      </c>
    </row>
    <row r="68" spans="1:9" ht="13.5" customHeight="1" x14ac:dyDescent="0.35">
      <c r="A68" s="22">
        <v>23</v>
      </c>
      <c r="B68" s="23" t="s">
        <v>412</v>
      </c>
      <c r="C68" s="23" t="s">
        <v>413</v>
      </c>
      <c r="D68" s="24">
        <f t="shared" si="2"/>
        <v>0</v>
      </c>
      <c r="E68" s="24" t="s">
        <v>1</v>
      </c>
      <c r="F68" s="34" t="s">
        <v>5</v>
      </c>
      <c r="G68" s="35" t="s">
        <v>987</v>
      </c>
      <c r="H68" s="24" t="s">
        <v>988</v>
      </c>
      <c r="I68" s="26">
        <v>1</v>
      </c>
    </row>
    <row r="69" spans="1:9" ht="13.5" customHeight="1" x14ac:dyDescent="0.35">
      <c r="A69" s="27">
        <v>23</v>
      </c>
      <c r="B69" s="17" t="s">
        <v>412</v>
      </c>
      <c r="C69" s="17" t="s">
        <v>413</v>
      </c>
      <c r="D69" s="28">
        <f t="shared" si="2"/>
        <v>0</v>
      </c>
      <c r="E69" s="28" t="s">
        <v>1</v>
      </c>
      <c r="F69" s="32" t="s">
        <v>5</v>
      </c>
      <c r="G69" s="33" t="s">
        <v>989</v>
      </c>
      <c r="H69" s="28" t="s">
        <v>990</v>
      </c>
      <c r="I69" s="30">
        <v>1</v>
      </c>
    </row>
    <row r="70" spans="1:9" ht="13.5" customHeight="1" x14ac:dyDescent="0.35">
      <c r="A70" s="22">
        <v>23</v>
      </c>
      <c r="B70" s="23" t="s">
        <v>412</v>
      </c>
      <c r="C70" s="23" t="s">
        <v>413</v>
      </c>
      <c r="D70" s="24">
        <f t="shared" si="2"/>
        <v>0</v>
      </c>
      <c r="E70" s="24" t="s">
        <v>1</v>
      </c>
      <c r="F70" s="34" t="s">
        <v>0</v>
      </c>
      <c r="G70" s="35" t="s">
        <v>991</v>
      </c>
      <c r="H70" s="24" t="s">
        <v>992</v>
      </c>
      <c r="I70" s="26">
        <v>1</v>
      </c>
    </row>
    <row r="71" spans="1:9" ht="13.5" customHeight="1" x14ac:dyDescent="0.35">
      <c r="A71" s="22">
        <v>24</v>
      </c>
      <c r="B71" s="23" t="s">
        <v>404</v>
      </c>
      <c r="C71" s="23" t="s">
        <v>405</v>
      </c>
      <c r="D71" s="24">
        <f t="shared" si="2"/>
        <v>0</v>
      </c>
      <c r="E71" s="24" t="s">
        <v>5</v>
      </c>
      <c r="F71" s="34" t="s">
        <v>0</v>
      </c>
      <c r="G71" s="35" t="s">
        <v>964</v>
      </c>
      <c r="H71" s="24" t="s">
        <v>965</v>
      </c>
      <c r="I71" s="26">
        <v>1</v>
      </c>
    </row>
    <row r="72" spans="1:9" ht="13.5" customHeight="1" x14ac:dyDescent="0.35">
      <c r="A72" s="27">
        <v>24</v>
      </c>
      <c r="B72" s="17" t="s">
        <v>404</v>
      </c>
      <c r="C72" s="17" t="s">
        <v>405</v>
      </c>
      <c r="D72" s="28">
        <f t="shared" si="2"/>
        <v>0</v>
      </c>
      <c r="E72" s="28" t="s">
        <v>5</v>
      </c>
      <c r="F72" s="32" t="s">
        <v>1</v>
      </c>
      <c r="G72" s="33" t="s">
        <v>966</v>
      </c>
      <c r="H72" s="28" t="s">
        <v>967</v>
      </c>
      <c r="I72" s="30">
        <v>1</v>
      </c>
    </row>
    <row r="73" spans="1:9" ht="13.5" customHeight="1" x14ac:dyDescent="0.35">
      <c r="A73" s="22">
        <v>24</v>
      </c>
      <c r="B73" s="23" t="s">
        <v>404</v>
      </c>
      <c r="C73" s="23" t="s">
        <v>405</v>
      </c>
      <c r="D73" s="24">
        <f t="shared" si="2"/>
        <v>0</v>
      </c>
      <c r="E73" s="24" t="s">
        <v>5</v>
      </c>
      <c r="F73" s="34" t="s">
        <v>0</v>
      </c>
      <c r="G73" s="35" t="s">
        <v>968</v>
      </c>
      <c r="H73" s="24" t="s">
        <v>969</v>
      </c>
      <c r="I73" s="26">
        <v>1</v>
      </c>
    </row>
    <row r="74" spans="1:9" ht="13.5" customHeight="1" x14ac:dyDescent="0.3">
      <c r="A74" s="27">
        <v>25</v>
      </c>
      <c r="B74" s="17" t="s">
        <v>390</v>
      </c>
      <c r="C74" s="17" t="s">
        <v>391</v>
      </c>
      <c r="D74" s="28">
        <f t="shared" si="2"/>
        <v>0</v>
      </c>
      <c r="E74" s="28" t="s">
        <v>0</v>
      </c>
      <c r="F74" s="29" t="s">
        <v>1</v>
      </c>
      <c r="G74" s="28" t="s">
        <v>927</v>
      </c>
      <c r="H74" s="28" t="s">
        <v>928</v>
      </c>
      <c r="I74" s="30">
        <v>1</v>
      </c>
    </row>
    <row r="75" spans="1:9" ht="13.5" customHeight="1" x14ac:dyDescent="0.3">
      <c r="A75" s="22">
        <v>25</v>
      </c>
      <c r="B75" s="23" t="s">
        <v>390</v>
      </c>
      <c r="C75" s="23" t="s">
        <v>391</v>
      </c>
      <c r="D75" s="24">
        <f t="shared" si="2"/>
        <v>0</v>
      </c>
      <c r="E75" s="24" t="s">
        <v>0</v>
      </c>
      <c r="F75" s="25" t="s">
        <v>1</v>
      </c>
      <c r="G75" s="24" t="s">
        <v>1913</v>
      </c>
      <c r="H75" s="24" t="s">
        <v>929</v>
      </c>
      <c r="I75" s="26">
        <v>1</v>
      </c>
    </row>
    <row r="76" spans="1:9" ht="13.5" customHeight="1" x14ac:dyDescent="0.3">
      <c r="A76" s="27">
        <v>25</v>
      </c>
      <c r="B76" s="17" t="s">
        <v>390</v>
      </c>
      <c r="C76" s="17" t="s">
        <v>391</v>
      </c>
      <c r="D76" s="28">
        <f t="shared" si="2"/>
        <v>0</v>
      </c>
      <c r="E76" s="28" t="s">
        <v>0</v>
      </c>
      <c r="F76" s="29" t="s">
        <v>1</v>
      </c>
      <c r="G76" s="28" t="s">
        <v>88</v>
      </c>
      <c r="H76" s="28" t="s">
        <v>930</v>
      </c>
      <c r="I76" s="30">
        <v>0</v>
      </c>
    </row>
    <row r="77" spans="1:9" ht="13.5" customHeight="1" x14ac:dyDescent="0.35">
      <c r="A77" s="27">
        <v>26</v>
      </c>
      <c r="B77" s="17" t="s">
        <v>418</v>
      </c>
      <c r="C77" s="17" t="s">
        <v>419</v>
      </c>
      <c r="D77" s="28">
        <f t="shared" si="2"/>
        <v>0</v>
      </c>
      <c r="E77" s="28" t="s">
        <v>5</v>
      </c>
      <c r="F77" s="32" t="s">
        <v>1</v>
      </c>
      <c r="G77" s="33" t="s">
        <v>1005</v>
      </c>
      <c r="H77" s="28" t="s">
        <v>1006</v>
      </c>
      <c r="I77" s="30">
        <v>0</v>
      </c>
    </row>
    <row r="78" spans="1:9" ht="13.5" customHeight="1" x14ac:dyDescent="0.35">
      <c r="A78" s="22">
        <v>26</v>
      </c>
      <c r="B78" s="23" t="s">
        <v>418</v>
      </c>
      <c r="C78" s="23" t="s">
        <v>419</v>
      </c>
      <c r="D78" s="24">
        <f t="shared" si="2"/>
        <v>0</v>
      </c>
      <c r="E78" s="24" t="s">
        <v>5</v>
      </c>
      <c r="F78" s="34" t="s">
        <v>1</v>
      </c>
      <c r="G78" s="35" t="s">
        <v>1007</v>
      </c>
      <c r="H78" s="24" t="s">
        <v>1008</v>
      </c>
      <c r="I78" s="26">
        <v>1</v>
      </c>
    </row>
    <row r="79" spans="1:9" ht="13.5" customHeight="1" x14ac:dyDescent="0.35">
      <c r="A79" s="27">
        <v>26</v>
      </c>
      <c r="B79" s="17" t="s">
        <v>418</v>
      </c>
      <c r="C79" s="17" t="s">
        <v>419</v>
      </c>
      <c r="D79" s="28">
        <f t="shared" si="2"/>
        <v>0</v>
      </c>
      <c r="E79" s="28" t="s">
        <v>5</v>
      </c>
      <c r="F79" s="32" t="s">
        <v>0</v>
      </c>
      <c r="G79" s="33" t="s">
        <v>1009</v>
      </c>
      <c r="H79" s="28" t="s">
        <v>1010</v>
      </c>
      <c r="I79" s="30">
        <v>1</v>
      </c>
    </row>
    <row r="80" spans="1:9" ht="13.5" customHeight="1" x14ac:dyDescent="0.3">
      <c r="A80" s="22">
        <v>27</v>
      </c>
      <c r="B80" s="23" t="s">
        <v>364</v>
      </c>
      <c r="C80" s="23" t="s">
        <v>365</v>
      </c>
      <c r="D80" s="24">
        <f t="shared" si="2"/>
        <v>1</v>
      </c>
      <c r="E80" s="24" t="s">
        <v>0</v>
      </c>
      <c r="F80" s="25" t="s">
        <v>0</v>
      </c>
      <c r="G80" s="24" t="s">
        <v>850</v>
      </c>
      <c r="H80" s="24" t="s">
        <v>851</v>
      </c>
      <c r="I80" s="26">
        <v>1</v>
      </c>
    </row>
    <row r="81" spans="1:9" ht="13.5" customHeight="1" x14ac:dyDescent="0.3">
      <c r="A81" s="27">
        <v>27</v>
      </c>
      <c r="B81" s="17" t="s">
        <v>364</v>
      </c>
      <c r="C81" s="17" t="s">
        <v>365</v>
      </c>
      <c r="D81" s="28">
        <f t="shared" si="2"/>
        <v>1</v>
      </c>
      <c r="E81" s="28" t="s">
        <v>0</v>
      </c>
      <c r="F81" s="29" t="s">
        <v>0</v>
      </c>
      <c r="G81" s="28" t="s">
        <v>852</v>
      </c>
      <c r="H81" s="28" t="s">
        <v>853</v>
      </c>
      <c r="I81" s="30">
        <v>1</v>
      </c>
    </row>
    <row r="82" spans="1:9" ht="13.5" customHeight="1" x14ac:dyDescent="0.3">
      <c r="A82" s="22">
        <v>27</v>
      </c>
      <c r="B82" s="23" t="s">
        <v>364</v>
      </c>
      <c r="C82" s="23" t="s">
        <v>365</v>
      </c>
      <c r="D82" s="24">
        <f t="shared" si="2"/>
        <v>1</v>
      </c>
      <c r="E82" s="24" t="s">
        <v>0</v>
      </c>
      <c r="F82" s="25" t="s">
        <v>0</v>
      </c>
      <c r="G82" s="24" t="s">
        <v>854</v>
      </c>
      <c r="H82" s="24" t="s">
        <v>855</v>
      </c>
      <c r="I82" s="26">
        <v>1</v>
      </c>
    </row>
    <row r="83" spans="1:9" ht="13.5" customHeight="1" x14ac:dyDescent="0.35">
      <c r="A83" s="22">
        <v>28</v>
      </c>
      <c r="B83" s="23" t="s">
        <v>396</v>
      </c>
      <c r="C83" s="23" t="s">
        <v>397</v>
      </c>
      <c r="D83" s="24">
        <f t="shared" si="2"/>
        <v>1</v>
      </c>
      <c r="E83" s="24" t="s">
        <v>0</v>
      </c>
      <c r="F83" s="34" t="s">
        <v>0</v>
      </c>
      <c r="G83" s="35" t="s">
        <v>942</v>
      </c>
      <c r="H83" s="24" t="s">
        <v>943</v>
      </c>
      <c r="I83" s="26">
        <v>1</v>
      </c>
    </row>
    <row r="84" spans="1:9" ht="13.5" customHeight="1" x14ac:dyDescent="0.35">
      <c r="A84" s="27">
        <v>28</v>
      </c>
      <c r="B84" s="17" t="s">
        <v>396</v>
      </c>
      <c r="C84" s="17" t="s">
        <v>397</v>
      </c>
      <c r="D84" s="28">
        <f t="shared" si="2"/>
        <v>0</v>
      </c>
      <c r="E84" s="28" t="s">
        <v>0</v>
      </c>
      <c r="F84" s="32" t="s">
        <v>1</v>
      </c>
      <c r="G84" s="33" t="s">
        <v>1922</v>
      </c>
      <c r="H84" s="28" t="s">
        <v>944</v>
      </c>
      <c r="I84" s="30">
        <v>1</v>
      </c>
    </row>
    <row r="85" spans="1:9" ht="13.5" customHeight="1" x14ac:dyDescent="0.35">
      <c r="A85" s="22">
        <v>28</v>
      </c>
      <c r="B85" s="23" t="s">
        <v>396</v>
      </c>
      <c r="C85" s="23" t="s">
        <v>397</v>
      </c>
      <c r="D85" s="24">
        <f t="shared" si="2"/>
        <v>1</v>
      </c>
      <c r="E85" s="24" t="s">
        <v>0</v>
      </c>
      <c r="F85" s="34" t="s">
        <v>0</v>
      </c>
      <c r="G85" s="35" t="s">
        <v>945</v>
      </c>
      <c r="H85" s="24" t="s">
        <v>946</v>
      </c>
      <c r="I85" s="26">
        <v>1</v>
      </c>
    </row>
    <row r="86" spans="1:9" ht="13.5" customHeight="1" x14ac:dyDescent="0.35">
      <c r="A86" s="27">
        <v>29</v>
      </c>
      <c r="B86" s="17" t="s">
        <v>406</v>
      </c>
      <c r="C86" s="17" t="s">
        <v>407</v>
      </c>
      <c r="D86" s="28">
        <f t="shared" si="2"/>
        <v>1</v>
      </c>
      <c r="E86" s="28" t="s">
        <v>5</v>
      </c>
      <c r="F86" s="32" t="s">
        <v>5</v>
      </c>
      <c r="G86" s="33" t="s">
        <v>970</v>
      </c>
      <c r="H86" s="28" t="s">
        <v>971</v>
      </c>
      <c r="I86" s="30">
        <v>1</v>
      </c>
    </row>
    <row r="87" spans="1:9" ht="13.5" customHeight="1" x14ac:dyDescent="0.35">
      <c r="A87" s="22">
        <v>29</v>
      </c>
      <c r="B87" s="23" t="s">
        <v>406</v>
      </c>
      <c r="C87" s="23" t="s">
        <v>407</v>
      </c>
      <c r="D87" s="24">
        <f t="shared" si="2"/>
        <v>0</v>
      </c>
      <c r="E87" s="24" t="s">
        <v>5</v>
      </c>
      <c r="F87" s="34" t="s">
        <v>1</v>
      </c>
      <c r="G87" s="35" t="s">
        <v>1915</v>
      </c>
      <c r="H87" s="24" t="s">
        <v>972</v>
      </c>
      <c r="I87" s="26">
        <v>1</v>
      </c>
    </row>
    <row r="88" spans="1:9" ht="13.5" customHeight="1" x14ac:dyDescent="0.35">
      <c r="A88" s="27">
        <v>29</v>
      </c>
      <c r="B88" s="17" t="s">
        <v>406</v>
      </c>
      <c r="C88" s="17" t="s">
        <v>407</v>
      </c>
      <c r="D88" s="28">
        <f t="shared" si="2"/>
        <v>0</v>
      </c>
      <c r="E88" s="28" t="s">
        <v>5</v>
      </c>
      <c r="F88" s="32" t="s">
        <v>1</v>
      </c>
      <c r="G88" s="33" t="s">
        <v>973</v>
      </c>
      <c r="H88" s="28" t="s">
        <v>974</v>
      </c>
      <c r="I88" s="30">
        <v>1</v>
      </c>
    </row>
    <row r="89" spans="1:9" ht="13.5" customHeight="1" x14ac:dyDescent="0.35">
      <c r="A89" s="22">
        <v>30</v>
      </c>
      <c r="B89" s="23" t="s">
        <v>400</v>
      </c>
      <c r="C89" s="23" t="s">
        <v>401</v>
      </c>
      <c r="D89" s="24">
        <f t="shared" si="2"/>
        <v>1</v>
      </c>
      <c r="E89" s="24" t="s">
        <v>1</v>
      </c>
      <c r="F89" s="34" t="s">
        <v>1</v>
      </c>
      <c r="G89" s="35" t="s">
        <v>952</v>
      </c>
      <c r="H89" s="24" t="s">
        <v>953</v>
      </c>
      <c r="I89" s="26">
        <v>1</v>
      </c>
    </row>
    <row r="90" spans="1:9" ht="13.5" customHeight="1" x14ac:dyDescent="0.35">
      <c r="A90" s="22">
        <v>30</v>
      </c>
      <c r="B90" s="17" t="s">
        <v>400</v>
      </c>
      <c r="C90" s="17" t="s">
        <v>401</v>
      </c>
      <c r="D90" s="28">
        <f t="shared" si="2"/>
        <v>0</v>
      </c>
      <c r="E90" s="28" t="s">
        <v>1</v>
      </c>
      <c r="F90" s="32" t="s">
        <v>5</v>
      </c>
      <c r="G90" s="33" t="s">
        <v>954</v>
      </c>
      <c r="H90" s="28" t="s">
        <v>955</v>
      </c>
      <c r="I90" s="30">
        <v>1</v>
      </c>
    </row>
    <row r="91" spans="1:9" ht="13.5" customHeight="1" x14ac:dyDescent="0.35">
      <c r="A91" s="22">
        <v>30</v>
      </c>
      <c r="B91" s="23" t="s">
        <v>400</v>
      </c>
      <c r="C91" s="23" t="s">
        <v>401</v>
      </c>
      <c r="D91" s="24">
        <f t="shared" si="2"/>
        <v>0</v>
      </c>
      <c r="E91" s="24" t="s">
        <v>1</v>
      </c>
      <c r="F91" s="34" t="s">
        <v>0</v>
      </c>
      <c r="G91" s="35" t="s">
        <v>956</v>
      </c>
      <c r="H91" s="24" t="s">
        <v>957</v>
      </c>
      <c r="I91" s="26">
        <v>1</v>
      </c>
    </row>
    <row r="92" spans="1:9" ht="13.5" customHeight="1" x14ac:dyDescent="0.35">
      <c r="A92" s="22">
        <v>31</v>
      </c>
      <c r="B92" s="31" t="s">
        <v>420</v>
      </c>
      <c r="C92" s="31" t="s">
        <v>421</v>
      </c>
      <c r="D92" s="24">
        <f t="shared" si="2"/>
        <v>1</v>
      </c>
      <c r="E92" s="24" t="s">
        <v>1</v>
      </c>
      <c r="F92" s="34" t="s">
        <v>1</v>
      </c>
      <c r="G92" s="35" t="s">
        <v>1011</v>
      </c>
      <c r="H92" s="24" t="s">
        <v>1012</v>
      </c>
      <c r="I92" s="26">
        <v>1</v>
      </c>
    </row>
    <row r="93" spans="1:9" ht="13.5" customHeight="1" x14ac:dyDescent="0.35">
      <c r="A93" s="27">
        <v>31</v>
      </c>
      <c r="B93" s="18" t="s">
        <v>420</v>
      </c>
      <c r="C93" s="18" t="s">
        <v>421</v>
      </c>
      <c r="D93" s="28">
        <f t="shared" si="2"/>
        <v>1</v>
      </c>
      <c r="E93" s="28" t="s">
        <v>1</v>
      </c>
      <c r="F93" s="32" t="s">
        <v>1</v>
      </c>
      <c r="G93" s="33" t="s">
        <v>1013</v>
      </c>
      <c r="H93" s="28" t="s">
        <v>1014</v>
      </c>
      <c r="I93" s="30">
        <v>1</v>
      </c>
    </row>
    <row r="94" spans="1:9" ht="13.5" customHeight="1" x14ac:dyDescent="0.35">
      <c r="A94" s="22">
        <v>31</v>
      </c>
      <c r="B94" s="31" t="s">
        <v>420</v>
      </c>
      <c r="C94" s="31" t="s">
        <v>421</v>
      </c>
      <c r="D94" s="24">
        <f t="shared" si="2"/>
        <v>0</v>
      </c>
      <c r="E94" s="24" t="s">
        <v>1</v>
      </c>
      <c r="F94" s="34" t="s">
        <v>0</v>
      </c>
      <c r="G94" s="35" t="s">
        <v>1015</v>
      </c>
      <c r="H94" s="24" t="s">
        <v>1016</v>
      </c>
      <c r="I94" s="26">
        <v>1</v>
      </c>
    </row>
    <row r="95" spans="1:9" ht="13.5" customHeight="1" x14ac:dyDescent="0.3">
      <c r="A95" s="22">
        <v>32</v>
      </c>
      <c r="B95" s="23" t="s">
        <v>428</v>
      </c>
      <c r="C95" s="23" t="s">
        <v>429</v>
      </c>
      <c r="D95" s="24">
        <f t="shared" si="2"/>
        <v>0</v>
      </c>
      <c r="E95" s="24" t="s">
        <v>5</v>
      </c>
      <c r="F95" s="25" t="s">
        <v>0</v>
      </c>
      <c r="G95" s="24" t="s">
        <v>1035</v>
      </c>
      <c r="H95" s="24" t="s">
        <v>1036</v>
      </c>
      <c r="I95" s="26">
        <v>1</v>
      </c>
    </row>
    <row r="96" spans="1:9" ht="13.5" customHeight="1" x14ac:dyDescent="0.3">
      <c r="A96" s="27">
        <v>32</v>
      </c>
      <c r="B96" s="17" t="s">
        <v>428</v>
      </c>
      <c r="C96" s="17" t="s">
        <v>429</v>
      </c>
      <c r="D96" s="28">
        <f t="shared" si="2"/>
        <v>0</v>
      </c>
      <c r="E96" s="28" t="s">
        <v>5</v>
      </c>
      <c r="F96" s="29" t="s">
        <v>1</v>
      </c>
      <c r="G96" s="28" t="s">
        <v>1037</v>
      </c>
      <c r="H96" s="28" t="s">
        <v>1038</v>
      </c>
      <c r="I96" s="30">
        <v>1</v>
      </c>
    </row>
    <row r="97" spans="1:9" ht="13.5" customHeight="1" x14ac:dyDescent="0.3">
      <c r="A97" s="22">
        <v>32</v>
      </c>
      <c r="B97" s="23" t="s">
        <v>428</v>
      </c>
      <c r="C97" s="23" t="s">
        <v>429</v>
      </c>
      <c r="D97" s="24">
        <f t="shared" si="2"/>
        <v>0</v>
      </c>
      <c r="E97" s="24" t="s">
        <v>5</v>
      </c>
      <c r="F97" s="25" t="s">
        <v>1</v>
      </c>
      <c r="G97" s="24" t="s">
        <v>1039</v>
      </c>
      <c r="H97" s="24" t="s">
        <v>1040</v>
      </c>
      <c r="I97" s="26">
        <v>1</v>
      </c>
    </row>
    <row r="98" spans="1:9" ht="13.5" customHeight="1" x14ac:dyDescent="0.35">
      <c r="A98" s="27">
        <v>33</v>
      </c>
      <c r="B98" s="18" t="s">
        <v>422</v>
      </c>
      <c r="C98" s="18" t="s">
        <v>423</v>
      </c>
      <c r="D98" s="28">
        <f t="shared" ref="D98:D129" si="3">IF(E98=F98, 1, 0)</f>
        <v>0</v>
      </c>
      <c r="E98" s="28" t="s">
        <v>5</v>
      </c>
      <c r="F98" s="32" t="s">
        <v>0</v>
      </c>
      <c r="G98" s="33" t="s">
        <v>1017</v>
      </c>
      <c r="H98" s="28" t="s">
        <v>1018</v>
      </c>
      <c r="I98" s="30">
        <v>1</v>
      </c>
    </row>
    <row r="99" spans="1:9" ht="13.5" customHeight="1" x14ac:dyDescent="0.35">
      <c r="A99" s="22">
        <v>33</v>
      </c>
      <c r="B99" s="31" t="s">
        <v>422</v>
      </c>
      <c r="C99" s="31" t="s">
        <v>423</v>
      </c>
      <c r="D99" s="24">
        <f t="shared" si="3"/>
        <v>0</v>
      </c>
      <c r="E99" s="24" t="s">
        <v>5</v>
      </c>
      <c r="F99" s="34" t="s">
        <v>1</v>
      </c>
      <c r="G99" s="35" t="s">
        <v>1019</v>
      </c>
      <c r="H99" s="24" t="s">
        <v>1020</v>
      </c>
      <c r="I99" s="26">
        <v>1</v>
      </c>
    </row>
    <row r="100" spans="1:9" ht="13.5" customHeight="1" x14ac:dyDescent="0.35">
      <c r="A100" s="27">
        <v>33</v>
      </c>
      <c r="B100" s="18" t="s">
        <v>422</v>
      </c>
      <c r="C100" s="18" t="s">
        <v>423</v>
      </c>
      <c r="D100" s="28">
        <f t="shared" si="3"/>
        <v>0</v>
      </c>
      <c r="E100" s="28" t="s">
        <v>5</v>
      </c>
      <c r="F100" s="32" t="s">
        <v>0</v>
      </c>
      <c r="G100" s="33" t="s">
        <v>1021</v>
      </c>
      <c r="H100" s="28" t="s">
        <v>1022</v>
      </c>
      <c r="I100" s="30">
        <v>1</v>
      </c>
    </row>
    <row r="101" spans="1:9" ht="13.5" customHeight="1" x14ac:dyDescent="0.3">
      <c r="A101" s="27">
        <v>34</v>
      </c>
      <c r="B101" s="18" t="s">
        <v>430</v>
      </c>
      <c r="C101" s="18" t="s">
        <v>431</v>
      </c>
      <c r="D101" s="28">
        <f t="shared" si="3"/>
        <v>0</v>
      </c>
      <c r="E101" s="28" t="s">
        <v>1</v>
      </c>
      <c r="F101" s="29" t="s">
        <v>0</v>
      </c>
      <c r="G101" s="28" t="s">
        <v>1041</v>
      </c>
      <c r="H101" s="28" t="s">
        <v>1042</v>
      </c>
      <c r="I101" s="30">
        <v>1</v>
      </c>
    </row>
    <row r="102" spans="1:9" ht="13.5" customHeight="1" x14ac:dyDescent="0.3">
      <c r="A102" s="22">
        <v>34</v>
      </c>
      <c r="B102" s="31" t="s">
        <v>430</v>
      </c>
      <c r="C102" s="31" t="s">
        <v>431</v>
      </c>
      <c r="D102" s="24">
        <f t="shared" si="3"/>
        <v>1</v>
      </c>
      <c r="E102" s="24" t="s">
        <v>1</v>
      </c>
      <c r="F102" s="25" t="s">
        <v>1</v>
      </c>
      <c r="G102" s="24" t="s">
        <v>1043</v>
      </c>
      <c r="H102" s="24" t="s">
        <v>1044</v>
      </c>
      <c r="I102" s="26">
        <v>1</v>
      </c>
    </row>
    <row r="103" spans="1:9" ht="13.5" customHeight="1" x14ac:dyDescent="0.3">
      <c r="A103" s="27">
        <v>34</v>
      </c>
      <c r="B103" s="18" t="s">
        <v>430</v>
      </c>
      <c r="C103" s="18" t="s">
        <v>431</v>
      </c>
      <c r="D103" s="28">
        <f t="shared" si="3"/>
        <v>0</v>
      </c>
      <c r="E103" s="28" t="s">
        <v>1</v>
      </c>
      <c r="F103" s="29" t="s">
        <v>0</v>
      </c>
      <c r="G103" s="28" t="s">
        <v>1045</v>
      </c>
      <c r="H103" s="28" t="s">
        <v>1046</v>
      </c>
      <c r="I103" s="30">
        <v>1</v>
      </c>
    </row>
    <row r="104" spans="1:9" ht="13.5" customHeight="1" x14ac:dyDescent="0.3">
      <c r="A104" s="22">
        <v>35</v>
      </c>
      <c r="B104" s="23" t="s">
        <v>432</v>
      </c>
      <c r="C104" s="23" t="s">
        <v>433</v>
      </c>
      <c r="D104" s="24">
        <f t="shared" si="3"/>
        <v>0</v>
      </c>
      <c r="E104" s="24" t="s">
        <v>0</v>
      </c>
      <c r="F104" s="25" t="s">
        <v>5</v>
      </c>
      <c r="G104" s="24" t="s">
        <v>1047</v>
      </c>
      <c r="H104" s="24" t="s">
        <v>1048</v>
      </c>
      <c r="I104" s="26">
        <v>1</v>
      </c>
    </row>
    <row r="105" spans="1:9" ht="13.5" customHeight="1" x14ac:dyDescent="0.3">
      <c r="A105" s="27">
        <v>35</v>
      </c>
      <c r="B105" s="17" t="s">
        <v>432</v>
      </c>
      <c r="C105" s="17" t="s">
        <v>433</v>
      </c>
      <c r="D105" s="28">
        <f t="shared" si="3"/>
        <v>1</v>
      </c>
      <c r="E105" s="28" t="s">
        <v>0</v>
      </c>
      <c r="F105" s="29" t="s">
        <v>0</v>
      </c>
      <c r="G105" s="28" t="s">
        <v>1049</v>
      </c>
      <c r="H105" s="28" t="s">
        <v>1050</v>
      </c>
      <c r="I105" s="30">
        <v>1</v>
      </c>
    </row>
    <row r="106" spans="1:9" ht="13.5" customHeight="1" x14ac:dyDescent="0.3">
      <c r="A106" s="22">
        <v>35</v>
      </c>
      <c r="B106" s="23" t="s">
        <v>432</v>
      </c>
      <c r="C106" s="23" t="s">
        <v>433</v>
      </c>
      <c r="D106" s="24">
        <f t="shared" si="3"/>
        <v>1</v>
      </c>
      <c r="E106" s="24" t="s">
        <v>0</v>
      </c>
      <c r="F106" s="25" t="s">
        <v>0</v>
      </c>
      <c r="G106" s="24" t="s">
        <v>1051</v>
      </c>
      <c r="H106" s="24" t="s">
        <v>1052</v>
      </c>
      <c r="I106" s="26">
        <v>1</v>
      </c>
    </row>
    <row r="107" spans="1:9" ht="13.5" customHeight="1" x14ac:dyDescent="0.3">
      <c r="A107" s="27">
        <v>36</v>
      </c>
      <c r="B107" s="17" t="s">
        <v>434</v>
      </c>
      <c r="C107" s="17" t="s">
        <v>435</v>
      </c>
      <c r="D107" s="28">
        <f t="shared" si="3"/>
        <v>1</v>
      </c>
      <c r="E107" s="28" t="s">
        <v>0</v>
      </c>
      <c r="F107" s="29" t="s">
        <v>0</v>
      </c>
      <c r="G107" s="28" t="s">
        <v>1053</v>
      </c>
      <c r="H107" s="28" t="s">
        <v>1054</v>
      </c>
      <c r="I107" s="30">
        <v>1</v>
      </c>
    </row>
    <row r="108" spans="1:9" ht="13.5" customHeight="1" x14ac:dyDescent="0.3">
      <c r="A108" s="22">
        <v>36</v>
      </c>
      <c r="B108" s="23" t="s">
        <v>434</v>
      </c>
      <c r="C108" s="23" t="s">
        <v>435</v>
      </c>
      <c r="D108" s="24">
        <f t="shared" si="3"/>
        <v>1</v>
      </c>
      <c r="E108" s="24" t="s">
        <v>0</v>
      </c>
      <c r="F108" s="25" t="s">
        <v>0</v>
      </c>
      <c r="G108" s="24" t="s">
        <v>1055</v>
      </c>
      <c r="H108" s="24" t="s">
        <v>1056</v>
      </c>
      <c r="I108" s="26">
        <v>1</v>
      </c>
    </row>
    <row r="109" spans="1:9" ht="13.5" customHeight="1" x14ac:dyDescent="0.3">
      <c r="A109" s="27">
        <v>36</v>
      </c>
      <c r="B109" s="17" t="s">
        <v>434</v>
      </c>
      <c r="C109" s="17" t="s">
        <v>435</v>
      </c>
      <c r="D109" s="28">
        <f t="shared" si="3"/>
        <v>1</v>
      </c>
      <c r="E109" s="28" t="s">
        <v>0</v>
      </c>
      <c r="F109" s="29" t="s">
        <v>0</v>
      </c>
      <c r="G109" s="28" t="s">
        <v>1057</v>
      </c>
      <c r="H109" s="28" t="s">
        <v>1058</v>
      </c>
      <c r="I109" s="30">
        <v>1</v>
      </c>
    </row>
    <row r="110" spans="1:9" ht="13.5" customHeight="1" x14ac:dyDescent="0.3">
      <c r="A110" s="22">
        <v>37</v>
      </c>
      <c r="B110" s="23" t="s">
        <v>436</v>
      </c>
      <c r="C110" s="23" t="s">
        <v>437</v>
      </c>
      <c r="D110" s="24">
        <f t="shared" si="3"/>
        <v>0</v>
      </c>
      <c r="E110" s="24" t="s">
        <v>1</v>
      </c>
      <c r="F110" s="25" t="s">
        <v>5</v>
      </c>
      <c r="G110" s="24" t="s">
        <v>1059</v>
      </c>
      <c r="H110" s="24" t="s">
        <v>1060</v>
      </c>
      <c r="I110" s="26">
        <v>1</v>
      </c>
    </row>
    <row r="111" spans="1:9" ht="13.5" customHeight="1" x14ac:dyDescent="0.3">
      <c r="A111" s="27">
        <v>37</v>
      </c>
      <c r="B111" s="17" t="s">
        <v>436</v>
      </c>
      <c r="C111" s="17" t="s">
        <v>437</v>
      </c>
      <c r="D111" s="28">
        <f t="shared" si="3"/>
        <v>0</v>
      </c>
      <c r="E111" s="28" t="s">
        <v>1</v>
      </c>
      <c r="F111" s="29" t="s">
        <v>5</v>
      </c>
      <c r="G111" s="28" t="s">
        <v>1061</v>
      </c>
      <c r="H111" s="28" t="s">
        <v>1062</v>
      </c>
      <c r="I111" s="30">
        <v>1</v>
      </c>
    </row>
    <row r="112" spans="1:9" ht="13.5" customHeight="1" x14ac:dyDescent="0.3">
      <c r="A112" s="22">
        <v>37</v>
      </c>
      <c r="B112" s="23" t="s">
        <v>436</v>
      </c>
      <c r="C112" s="23" t="s">
        <v>437</v>
      </c>
      <c r="D112" s="24">
        <f t="shared" si="3"/>
        <v>1</v>
      </c>
      <c r="E112" s="24" t="s">
        <v>1</v>
      </c>
      <c r="F112" s="25" t="s">
        <v>1</v>
      </c>
      <c r="G112" s="24" t="s">
        <v>1063</v>
      </c>
      <c r="H112" s="24" t="s">
        <v>1064</v>
      </c>
      <c r="I112" s="26">
        <v>1</v>
      </c>
    </row>
    <row r="113" spans="1:9" ht="13.5" customHeight="1" x14ac:dyDescent="0.3">
      <c r="A113" s="27">
        <v>38</v>
      </c>
      <c r="B113" s="17" t="s">
        <v>438</v>
      </c>
      <c r="C113" s="17" t="s">
        <v>439</v>
      </c>
      <c r="D113" s="28">
        <f t="shared" si="3"/>
        <v>1</v>
      </c>
      <c r="E113" s="28" t="s">
        <v>5</v>
      </c>
      <c r="F113" s="29" t="s">
        <v>5</v>
      </c>
      <c r="G113" s="28" t="s">
        <v>1065</v>
      </c>
      <c r="H113" s="28" t="s">
        <v>1066</v>
      </c>
      <c r="I113" s="30">
        <v>1</v>
      </c>
    </row>
    <row r="114" spans="1:9" ht="13.5" customHeight="1" x14ac:dyDescent="0.3">
      <c r="A114" s="22">
        <v>38</v>
      </c>
      <c r="B114" s="23" t="s">
        <v>438</v>
      </c>
      <c r="C114" s="23" t="s">
        <v>439</v>
      </c>
      <c r="D114" s="24">
        <f t="shared" si="3"/>
        <v>1</v>
      </c>
      <c r="E114" s="24" t="s">
        <v>5</v>
      </c>
      <c r="F114" s="25" t="s">
        <v>5</v>
      </c>
      <c r="G114" s="24" t="s">
        <v>1067</v>
      </c>
      <c r="H114" s="24" t="s">
        <v>1068</v>
      </c>
      <c r="I114" s="26">
        <v>1</v>
      </c>
    </row>
    <row r="115" spans="1:9" ht="13.5" customHeight="1" x14ac:dyDescent="0.3">
      <c r="A115" s="27">
        <v>38</v>
      </c>
      <c r="B115" s="17" t="s">
        <v>438</v>
      </c>
      <c r="C115" s="17" t="s">
        <v>439</v>
      </c>
      <c r="D115" s="28">
        <f t="shared" si="3"/>
        <v>1</v>
      </c>
      <c r="E115" s="28" t="s">
        <v>5</v>
      </c>
      <c r="F115" s="29" t="s">
        <v>5</v>
      </c>
      <c r="G115" s="28" t="s">
        <v>1069</v>
      </c>
      <c r="H115" s="28" t="s">
        <v>1070</v>
      </c>
      <c r="I115" s="30">
        <v>1</v>
      </c>
    </row>
    <row r="116" spans="1:9" ht="13.5" customHeight="1" x14ac:dyDescent="0.3">
      <c r="A116" s="22">
        <v>39</v>
      </c>
      <c r="B116" s="23" t="s">
        <v>440</v>
      </c>
      <c r="C116" s="23" t="s">
        <v>441</v>
      </c>
      <c r="D116" s="24">
        <f t="shared" si="3"/>
        <v>0</v>
      </c>
      <c r="E116" s="24" t="s">
        <v>1</v>
      </c>
      <c r="F116" s="25" t="s">
        <v>0</v>
      </c>
      <c r="G116" s="24" t="s">
        <v>1071</v>
      </c>
      <c r="H116" s="24" t="s">
        <v>1072</v>
      </c>
      <c r="I116" s="26">
        <v>1</v>
      </c>
    </row>
    <row r="117" spans="1:9" ht="13.5" customHeight="1" x14ac:dyDescent="0.3">
      <c r="A117" s="27">
        <v>39</v>
      </c>
      <c r="B117" s="17" t="s">
        <v>440</v>
      </c>
      <c r="C117" s="17" t="s">
        <v>441</v>
      </c>
      <c r="D117" s="28">
        <f t="shared" si="3"/>
        <v>0</v>
      </c>
      <c r="E117" s="28" t="s">
        <v>1</v>
      </c>
      <c r="F117" s="29" t="s">
        <v>0</v>
      </c>
      <c r="G117" s="28" t="s">
        <v>1073</v>
      </c>
      <c r="H117" s="28" t="s">
        <v>1074</v>
      </c>
      <c r="I117" s="30">
        <v>1</v>
      </c>
    </row>
    <row r="118" spans="1:9" ht="13.5" customHeight="1" x14ac:dyDescent="0.3">
      <c r="A118" s="22">
        <v>39</v>
      </c>
      <c r="B118" s="23" t="s">
        <v>440</v>
      </c>
      <c r="C118" s="23" t="s">
        <v>441</v>
      </c>
      <c r="D118" s="24">
        <f t="shared" si="3"/>
        <v>0</v>
      </c>
      <c r="E118" s="24" t="s">
        <v>1</v>
      </c>
      <c r="F118" s="25" t="s">
        <v>0</v>
      </c>
      <c r="G118" s="24" t="s">
        <v>1075</v>
      </c>
      <c r="H118" s="24" t="s">
        <v>1076</v>
      </c>
      <c r="I118" s="26">
        <v>1</v>
      </c>
    </row>
    <row r="119" spans="1:9" ht="13.5" customHeight="1" x14ac:dyDescent="0.3">
      <c r="A119" s="27">
        <v>41</v>
      </c>
      <c r="B119" s="17" t="s">
        <v>442</v>
      </c>
      <c r="C119" s="17" t="s">
        <v>443</v>
      </c>
      <c r="D119" s="28">
        <f t="shared" si="3"/>
        <v>0</v>
      </c>
      <c r="E119" s="28" t="s">
        <v>1</v>
      </c>
      <c r="F119" s="29" t="s">
        <v>5</v>
      </c>
      <c r="G119" s="28" t="s">
        <v>1077</v>
      </c>
      <c r="H119" s="28" t="s">
        <v>1078</v>
      </c>
      <c r="I119" s="30">
        <v>1</v>
      </c>
    </row>
    <row r="120" spans="1:9" ht="13.5" customHeight="1" x14ac:dyDescent="0.3">
      <c r="A120" s="22">
        <v>41</v>
      </c>
      <c r="B120" s="23" t="s">
        <v>442</v>
      </c>
      <c r="C120" s="23" t="s">
        <v>443</v>
      </c>
      <c r="D120" s="24">
        <f t="shared" si="3"/>
        <v>1</v>
      </c>
      <c r="E120" s="24" t="s">
        <v>1</v>
      </c>
      <c r="F120" s="25" t="s">
        <v>1</v>
      </c>
      <c r="G120" s="24" t="s">
        <v>1079</v>
      </c>
      <c r="H120" s="24" t="s">
        <v>1080</v>
      </c>
      <c r="I120" s="26">
        <v>1</v>
      </c>
    </row>
    <row r="121" spans="1:9" ht="13.5" customHeight="1" x14ac:dyDescent="0.3">
      <c r="A121" s="27">
        <v>41</v>
      </c>
      <c r="B121" s="17" t="s">
        <v>442</v>
      </c>
      <c r="C121" s="17" t="s">
        <v>443</v>
      </c>
      <c r="D121" s="28">
        <f t="shared" si="3"/>
        <v>1</v>
      </c>
      <c r="E121" s="28" t="s">
        <v>1</v>
      </c>
      <c r="F121" s="29" t="s">
        <v>1</v>
      </c>
      <c r="G121" s="28" t="s">
        <v>1081</v>
      </c>
      <c r="H121" s="28" t="s">
        <v>1082</v>
      </c>
      <c r="I121" s="30">
        <v>1</v>
      </c>
    </row>
    <row r="122" spans="1:9" ht="13.5" customHeight="1" x14ac:dyDescent="0.3">
      <c r="A122" s="27">
        <v>42</v>
      </c>
      <c r="B122" s="17" t="s">
        <v>446</v>
      </c>
      <c r="C122" s="17" t="s">
        <v>447</v>
      </c>
      <c r="D122" s="28">
        <f t="shared" si="3"/>
        <v>1</v>
      </c>
      <c r="E122" s="28" t="s">
        <v>0</v>
      </c>
      <c r="F122" s="29" t="s">
        <v>0</v>
      </c>
      <c r="G122" s="28" t="s">
        <v>1089</v>
      </c>
      <c r="H122" s="28" t="s">
        <v>1090</v>
      </c>
      <c r="I122" s="30">
        <v>1</v>
      </c>
    </row>
    <row r="123" spans="1:9" ht="13.5" customHeight="1" x14ac:dyDescent="0.3">
      <c r="A123" s="22">
        <v>42</v>
      </c>
      <c r="B123" s="23" t="s">
        <v>446</v>
      </c>
      <c r="C123" s="23" t="s">
        <v>447</v>
      </c>
      <c r="D123" s="24">
        <f t="shared" si="3"/>
        <v>0</v>
      </c>
      <c r="E123" s="24" t="s">
        <v>0</v>
      </c>
      <c r="F123" s="25" t="s">
        <v>1</v>
      </c>
      <c r="G123" s="24" t="s">
        <v>1091</v>
      </c>
      <c r="H123" s="24" t="s">
        <v>1092</v>
      </c>
      <c r="I123" s="26">
        <v>1</v>
      </c>
    </row>
    <row r="124" spans="1:9" ht="13.5" customHeight="1" x14ac:dyDescent="0.3">
      <c r="A124" s="27">
        <v>42</v>
      </c>
      <c r="B124" s="17" t="s">
        <v>446</v>
      </c>
      <c r="C124" s="17" t="s">
        <v>447</v>
      </c>
      <c r="D124" s="28">
        <f t="shared" si="3"/>
        <v>0</v>
      </c>
      <c r="E124" s="28" t="s">
        <v>0</v>
      </c>
      <c r="F124" s="29" t="s">
        <v>1</v>
      </c>
      <c r="G124" s="28" t="s">
        <v>1093</v>
      </c>
      <c r="H124" s="28" t="s">
        <v>1094</v>
      </c>
      <c r="I124" s="30">
        <v>1</v>
      </c>
    </row>
    <row r="125" spans="1:9" ht="13.5" customHeight="1" x14ac:dyDescent="0.3">
      <c r="A125" s="22">
        <v>43</v>
      </c>
      <c r="B125" s="23" t="s">
        <v>448</v>
      </c>
      <c r="C125" s="23" t="s">
        <v>449</v>
      </c>
      <c r="D125" s="24">
        <f t="shared" si="3"/>
        <v>1</v>
      </c>
      <c r="E125" s="24" t="s">
        <v>5</v>
      </c>
      <c r="F125" s="25" t="s">
        <v>5</v>
      </c>
      <c r="G125" s="24" t="s">
        <v>1095</v>
      </c>
      <c r="H125" s="24" t="s">
        <v>1096</v>
      </c>
      <c r="I125" s="26">
        <v>1</v>
      </c>
    </row>
    <row r="126" spans="1:9" ht="13.5" customHeight="1" x14ac:dyDescent="0.3">
      <c r="A126" s="27">
        <v>43</v>
      </c>
      <c r="B126" s="17" t="s">
        <v>448</v>
      </c>
      <c r="C126" s="17" t="s">
        <v>449</v>
      </c>
      <c r="D126" s="28">
        <f t="shared" si="3"/>
        <v>0</v>
      </c>
      <c r="E126" s="28" t="s">
        <v>5</v>
      </c>
      <c r="F126" s="29" t="s">
        <v>1</v>
      </c>
      <c r="G126" s="28" t="s">
        <v>1097</v>
      </c>
      <c r="H126" s="28" t="s">
        <v>1098</v>
      </c>
      <c r="I126" s="30">
        <v>1</v>
      </c>
    </row>
    <row r="127" spans="1:9" ht="13.5" customHeight="1" x14ac:dyDescent="0.3">
      <c r="A127" s="22">
        <v>43</v>
      </c>
      <c r="B127" s="23" t="s">
        <v>448</v>
      </c>
      <c r="C127" s="23" t="s">
        <v>449</v>
      </c>
      <c r="D127" s="24">
        <f t="shared" si="3"/>
        <v>0</v>
      </c>
      <c r="E127" s="24" t="s">
        <v>5</v>
      </c>
      <c r="F127" s="25" t="s">
        <v>0</v>
      </c>
      <c r="G127" s="24" t="s">
        <v>1099</v>
      </c>
      <c r="H127" s="24" t="s">
        <v>1100</v>
      </c>
      <c r="I127" s="26">
        <v>1</v>
      </c>
    </row>
    <row r="128" spans="1:9" ht="13.5" customHeight="1" x14ac:dyDescent="0.3">
      <c r="A128" s="22">
        <v>44</v>
      </c>
      <c r="B128" s="23" t="s">
        <v>444</v>
      </c>
      <c r="C128" s="23" t="s">
        <v>445</v>
      </c>
      <c r="D128" s="24">
        <f t="shared" si="3"/>
        <v>0</v>
      </c>
      <c r="E128" s="24" t="s">
        <v>0</v>
      </c>
      <c r="F128" s="25" t="s">
        <v>5</v>
      </c>
      <c r="G128" s="24" t="s">
        <v>1083</v>
      </c>
      <c r="H128" s="24" t="s">
        <v>1084</v>
      </c>
      <c r="I128" s="26">
        <v>1</v>
      </c>
    </row>
    <row r="129" spans="1:9" ht="13.5" customHeight="1" x14ac:dyDescent="0.3">
      <c r="A129" s="27">
        <v>44</v>
      </c>
      <c r="B129" s="17" t="s">
        <v>444</v>
      </c>
      <c r="C129" s="17" t="s">
        <v>445</v>
      </c>
      <c r="D129" s="28">
        <f t="shared" si="3"/>
        <v>0</v>
      </c>
      <c r="E129" s="28" t="s">
        <v>0</v>
      </c>
      <c r="F129" s="29" t="s">
        <v>5</v>
      </c>
      <c r="G129" s="28" t="s">
        <v>1085</v>
      </c>
      <c r="H129" s="28" t="s">
        <v>1086</v>
      </c>
      <c r="I129" s="30">
        <v>1</v>
      </c>
    </row>
    <row r="130" spans="1:9" ht="13.5" customHeight="1" x14ac:dyDescent="0.3">
      <c r="A130" s="22">
        <v>44</v>
      </c>
      <c r="B130" s="23" t="s">
        <v>444</v>
      </c>
      <c r="C130" s="23" t="s">
        <v>445</v>
      </c>
      <c r="D130" s="24">
        <f t="shared" ref="D130:D161" si="4">IF(E130=F130, 1, 0)</f>
        <v>0</v>
      </c>
      <c r="E130" s="24" t="s">
        <v>0</v>
      </c>
      <c r="F130" s="25" t="s">
        <v>1</v>
      </c>
      <c r="G130" s="24" t="s">
        <v>1087</v>
      </c>
      <c r="H130" s="24" t="s">
        <v>1088</v>
      </c>
      <c r="I130" s="26">
        <v>1</v>
      </c>
    </row>
    <row r="131" spans="1:9" ht="13.5" customHeight="1" x14ac:dyDescent="0.3">
      <c r="A131" s="22">
        <v>45</v>
      </c>
      <c r="B131" s="23" t="s">
        <v>452</v>
      </c>
      <c r="C131" s="23" t="s">
        <v>453</v>
      </c>
      <c r="D131" s="24">
        <f t="shared" si="4"/>
        <v>0</v>
      </c>
      <c r="E131" s="24" t="s">
        <v>1</v>
      </c>
      <c r="F131" s="25" t="s">
        <v>0</v>
      </c>
      <c r="G131" s="24" t="s">
        <v>1107</v>
      </c>
      <c r="H131" s="24" t="s">
        <v>1108</v>
      </c>
      <c r="I131" s="26">
        <v>1</v>
      </c>
    </row>
    <row r="132" spans="1:9" ht="13.5" customHeight="1" x14ac:dyDescent="0.3">
      <c r="A132" s="27">
        <v>45</v>
      </c>
      <c r="B132" s="17" t="s">
        <v>452</v>
      </c>
      <c r="C132" s="17" t="s">
        <v>453</v>
      </c>
      <c r="D132" s="28">
        <f t="shared" si="4"/>
        <v>0</v>
      </c>
      <c r="E132" s="28" t="s">
        <v>1</v>
      </c>
      <c r="F132" s="29" t="s">
        <v>5</v>
      </c>
      <c r="G132" s="28" t="s">
        <v>1109</v>
      </c>
      <c r="H132" s="28" t="s">
        <v>1110</v>
      </c>
      <c r="I132" s="30">
        <v>1</v>
      </c>
    </row>
    <row r="133" spans="1:9" ht="13.5" customHeight="1" x14ac:dyDescent="0.3">
      <c r="A133" s="22">
        <v>45</v>
      </c>
      <c r="B133" s="23" t="s">
        <v>452</v>
      </c>
      <c r="C133" s="23" t="s">
        <v>453</v>
      </c>
      <c r="D133" s="24">
        <f t="shared" si="4"/>
        <v>0</v>
      </c>
      <c r="E133" s="24" t="s">
        <v>1</v>
      </c>
      <c r="F133" s="25" t="s">
        <v>5</v>
      </c>
      <c r="G133" s="24" t="s">
        <v>1111</v>
      </c>
      <c r="H133" s="24" t="s">
        <v>1112</v>
      </c>
      <c r="I133" s="26">
        <v>1</v>
      </c>
    </row>
    <row r="134" spans="1:9" ht="13.5" customHeight="1" x14ac:dyDescent="0.3">
      <c r="A134" s="22">
        <v>45</v>
      </c>
      <c r="B134" s="23" t="s">
        <v>456</v>
      </c>
      <c r="C134" s="31" t="s">
        <v>457</v>
      </c>
      <c r="D134" s="24">
        <f t="shared" si="4"/>
        <v>0</v>
      </c>
      <c r="E134" s="24" t="s">
        <v>0</v>
      </c>
      <c r="F134" s="25" t="s">
        <v>5</v>
      </c>
      <c r="G134" s="24" t="s">
        <v>1118</v>
      </c>
      <c r="H134" s="24" t="s">
        <v>1119</v>
      </c>
      <c r="I134" s="26">
        <v>1</v>
      </c>
    </row>
    <row r="135" spans="1:9" ht="13.5" customHeight="1" x14ac:dyDescent="0.3">
      <c r="A135" s="27">
        <v>45</v>
      </c>
      <c r="B135" s="17" t="s">
        <v>456</v>
      </c>
      <c r="C135" s="18" t="s">
        <v>457</v>
      </c>
      <c r="D135" s="28">
        <f t="shared" si="4"/>
        <v>0</v>
      </c>
      <c r="E135" s="28" t="s">
        <v>0</v>
      </c>
      <c r="F135" s="29" t="s">
        <v>5</v>
      </c>
      <c r="G135" s="28" t="s">
        <v>1120</v>
      </c>
      <c r="H135" s="28" t="s">
        <v>1121</v>
      </c>
      <c r="I135" s="30">
        <v>1</v>
      </c>
    </row>
    <row r="136" spans="1:9" ht="13.5" customHeight="1" x14ac:dyDescent="0.3">
      <c r="A136" s="22">
        <v>45</v>
      </c>
      <c r="B136" s="23" t="s">
        <v>456</v>
      </c>
      <c r="C136" s="31" t="s">
        <v>457</v>
      </c>
      <c r="D136" s="24">
        <f t="shared" si="4"/>
        <v>0</v>
      </c>
      <c r="E136" s="24" t="s">
        <v>0</v>
      </c>
      <c r="F136" s="25" t="s">
        <v>1</v>
      </c>
      <c r="G136" s="24" t="s">
        <v>1916</v>
      </c>
      <c r="H136" s="24" t="s">
        <v>1122</v>
      </c>
      <c r="I136" s="26">
        <v>1</v>
      </c>
    </row>
    <row r="137" spans="1:9" ht="13.5" customHeight="1" x14ac:dyDescent="0.3">
      <c r="A137" s="27">
        <v>46</v>
      </c>
      <c r="B137" s="17" t="s">
        <v>450</v>
      </c>
      <c r="C137" s="17" t="s">
        <v>451</v>
      </c>
      <c r="D137" s="28">
        <f t="shared" si="4"/>
        <v>0</v>
      </c>
      <c r="E137" s="28" t="s">
        <v>5</v>
      </c>
      <c r="F137" s="29" t="s">
        <v>1</v>
      </c>
      <c r="G137" s="28" t="s">
        <v>1101</v>
      </c>
      <c r="H137" s="28" t="s">
        <v>1102</v>
      </c>
      <c r="I137" s="30">
        <v>1</v>
      </c>
    </row>
    <row r="138" spans="1:9" ht="13.5" customHeight="1" x14ac:dyDescent="0.3">
      <c r="A138" s="22">
        <v>46</v>
      </c>
      <c r="B138" s="23" t="s">
        <v>450</v>
      </c>
      <c r="C138" s="23" t="s">
        <v>451</v>
      </c>
      <c r="D138" s="24">
        <f t="shared" si="4"/>
        <v>0</v>
      </c>
      <c r="E138" s="24" t="s">
        <v>5</v>
      </c>
      <c r="F138" s="25" t="s">
        <v>0</v>
      </c>
      <c r="G138" s="24" t="s">
        <v>1103</v>
      </c>
      <c r="H138" s="24" t="s">
        <v>1104</v>
      </c>
      <c r="I138" s="26">
        <v>1</v>
      </c>
    </row>
    <row r="139" spans="1:9" ht="13.5" customHeight="1" x14ac:dyDescent="0.3">
      <c r="A139" s="27">
        <v>46</v>
      </c>
      <c r="B139" s="17" t="s">
        <v>450</v>
      </c>
      <c r="C139" s="17" t="s">
        <v>451</v>
      </c>
      <c r="D139" s="28">
        <f t="shared" si="4"/>
        <v>0</v>
      </c>
      <c r="E139" s="28" t="s">
        <v>5</v>
      </c>
      <c r="F139" s="29" t="s">
        <v>0</v>
      </c>
      <c r="G139" s="28" t="s">
        <v>1105</v>
      </c>
      <c r="H139" s="28" t="s">
        <v>1106</v>
      </c>
      <c r="I139" s="30">
        <v>1</v>
      </c>
    </row>
    <row r="140" spans="1:9" ht="13.5" customHeight="1" x14ac:dyDescent="0.3">
      <c r="A140" s="27">
        <v>47</v>
      </c>
      <c r="B140" s="17" t="s">
        <v>454</v>
      </c>
      <c r="C140" s="17" t="s">
        <v>455</v>
      </c>
      <c r="D140" s="28">
        <f t="shared" si="4"/>
        <v>0</v>
      </c>
      <c r="E140" s="28" t="s">
        <v>1</v>
      </c>
      <c r="F140" s="29" t="s">
        <v>0</v>
      </c>
      <c r="G140" s="28" t="s">
        <v>1113</v>
      </c>
      <c r="H140" s="28" t="s">
        <v>1114</v>
      </c>
      <c r="I140" s="30">
        <v>1</v>
      </c>
    </row>
    <row r="141" spans="1:9" ht="13.5" customHeight="1" x14ac:dyDescent="0.3">
      <c r="A141" s="22">
        <v>47</v>
      </c>
      <c r="B141" s="23" t="s">
        <v>454</v>
      </c>
      <c r="C141" s="23" t="s">
        <v>455</v>
      </c>
      <c r="D141" s="24">
        <f t="shared" si="4"/>
        <v>0</v>
      </c>
      <c r="E141" s="24" t="s">
        <v>1</v>
      </c>
      <c r="F141" s="25" t="s">
        <v>0</v>
      </c>
      <c r="G141" s="24" t="s">
        <v>1115</v>
      </c>
      <c r="H141" s="24" t="s">
        <v>1116</v>
      </c>
      <c r="I141" s="26">
        <v>1</v>
      </c>
    </row>
    <row r="142" spans="1:9" ht="13.5" customHeight="1" x14ac:dyDescent="0.3">
      <c r="A142" s="27">
        <v>47</v>
      </c>
      <c r="B142" s="17" t="s">
        <v>454</v>
      </c>
      <c r="C142" s="17" t="s">
        <v>455</v>
      </c>
      <c r="D142" s="28">
        <f t="shared" si="4"/>
        <v>0</v>
      </c>
      <c r="E142" s="28" t="s">
        <v>1</v>
      </c>
      <c r="F142" s="29" t="s">
        <v>0</v>
      </c>
      <c r="G142" s="28" t="s">
        <v>1911</v>
      </c>
      <c r="H142" s="28" t="s">
        <v>1117</v>
      </c>
      <c r="I142" s="30">
        <v>1</v>
      </c>
    </row>
    <row r="143" spans="1:9" ht="13.5" customHeight="1" x14ac:dyDescent="0.3">
      <c r="A143" s="27">
        <v>48</v>
      </c>
      <c r="B143" s="17" t="s">
        <v>458</v>
      </c>
      <c r="C143" s="17" t="s">
        <v>459</v>
      </c>
      <c r="D143" s="28">
        <f t="shared" si="4"/>
        <v>0</v>
      </c>
      <c r="E143" s="28" t="s">
        <v>5</v>
      </c>
      <c r="F143" s="29" t="s">
        <v>0</v>
      </c>
      <c r="G143" s="28" t="s">
        <v>1123</v>
      </c>
      <c r="H143" s="28" t="s">
        <v>1124</v>
      </c>
      <c r="I143" s="30">
        <v>1</v>
      </c>
    </row>
    <row r="144" spans="1:9" ht="13.5" customHeight="1" x14ac:dyDescent="0.3">
      <c r="A144" s="22">
        <v>48</v>
      </c>
      <c r="B144" s="23" t="s">
        <v>458</v>
      </c>
      <c r="C144" s="23" t="s">
        <v>459</v>
      </c>
      <c r="D144" s="24">
        <f t="shared" si="4"/>
        <v>0</v>
      </c>
      <c r="E144" s="24" t="s">
        <v>5</v>
      </c>
      <c r="F144" s="25" t="s">
        <v>0</v>
      </c>
      <c r="G144" s="24" t="s">
        <v>1125</v>
      </c>
      <c r="H144" s="24" t="s">
        <v>1126</v>
      </c>
      <c r="I144" s="26">
        <v>1</v>
      </c>
    </row>
    <row r="145" spans="1:9" ht="13.5" customHeight="1" x14ac:dyDescent="0.3">
      <c r="A145" s="27">
        <v>48</v>
      </c>
      <c r="B145" s="17" t="s">
        <v>458</v>
      </c>
      <c r="C145" s="17" t="s">
        <v>459</v>
      </c>
      <c r="D145" s="28">
        <f t="shared" si="4"/>
        <v>0</v>
      </c>
      <c r="E145" s="28" t="s">
        <v>5</v>
      </c>
      <c r="F145" s="29" t="s">
        <v>1</v>
      </c>
      <c r="G145" s="28" t="s">
        <v>1917</v>
      </c>
      <c r="H145" s="28" t="s">
        <v>1127</v>
      </c>
      <c r="I145" s="30">
        <v>1</v>
      </c>
    </row>
    <row r="146" spans="1:9" ht="13.5" customHeight="1" x14ac:dyDescent="0.3">
      <c r="A146" s="22">
        <v>49</v>
      </c>
      <c r="B146" s="23" t="s">
        <v>460</v>
      </c>
      <c r="C146" s="23" t="s">
        <v>461</v>
      </c>
      <c r="D146" s="24">
        <f t="shared" si="4"/>
        <v>0</v>
      </c>
      <c r="E146" s="24" t="s">
        <v>1</v>
      </c>
      <c r="F146" s="25" t="s">
        <v>5</v>
      </c>
      <c r="G146" s="24" t="s">
        <v>1128</v>
      </c>
      <c r="H146" s="24" t="s">
        <v>1129</v>
      </c>
      <c r="I146" s="26">
        <v>1</v>
      </c>
    </row>
    <row r="147" spans="1:9" ht="13.5" customHeight="1" x14ac:dyDescent="0.3">
      <c r="A147" s="27">
        <v>49</v>
      </c>
      <c r="B147" s="17" t="s">
        <v>460</v>
      </c>
      <c r="C147" s="17" t="s">
        <v>461</v>
      </c>
      <c r="D147" s="28">
        <f t="shared" si="4"/>
        <v>0</v>
      </c>
      <c r="E147" s="28" t="s">
        <v>1</v>
      </c>
      <c r="F147" s="29" t="s">
        <v>5</v>
      </c>
      <c r="G147" s="28" t="s">
        <v>1130</v>
      </c>
      <c r="H147" s="28" t="s">
        <v>1131</v>
      </c>
      <c r="I147" s="30">
        <v>1</v>
      </c>
    </row>
    <row r="148" spans="1:9" ht="13.5" customHeight="1" x14ac:dyDescent="0.3">
      <c r="A148" s="22">
        <v>49</v>
      </c>
      <c r="B148" s="23" t="s">
        <v>460</v>
      </c>
      <c r="C148" s="23" t="s">
        <v>461</v>
      </c>
      <c r="D148" s="24">
        <f t="shared" si="4"/>
        <v>1</v>
      </c>
      <c r="E148" s="24" t="s">
        <v>1</v>
      </c>
      <c r="F148" s="25" t="s">
        <v>1</v>
      </c>
      <c r="G148" s="24" t="s">
        <v>1918</v>
      </c>
      <c r="H148" s="24" t="s">
        <v>1132</v>
      </c>
      <c r="I148" s="26">
        <v>1</v>
      </c>
    </row>
    <row r="149" spans="1:9" ht="13.5" customHeight="1" x14ac:dyDescent="0.3">
      <c r="A149" s="27">
        <v>50</v>
      </c>
      <c r="B149" s="17" t="s">
        <v>462</v>
      </c>
      <c r="C149" s="17" t="s">
        <v>463</v>
      </c>
      <c r="D149" s="28">
        <f t="shared" si="4"/>
        <v>0</v>
      </c>
      <c r="E149" s="28" t="s">
        <v>5</v>
      </c>
      <c r="F149" s="29" t="s">
        <v>0</v>
      </c>
      <c r="G149" s="28" t="s">
        <v>1133</v>
      </c>
      <c r="H149" s="28" t="s">
        <v>1134</v>
      </c>
      <c r="I149" s="30">
        <v>1</v>
      </c>
    </row>
    <row r="150" spans="1:9" ht="13.5" customHeight="1" x14ac:dyDescent="0.3">
      <c r="A150" s="22">
        <v>50</v>
      </c>
      <c r="B150" s="23" t="s">
        <v>462</v>
      </c>
      <c r="C150" s="23" t="s">
        <v>463</v>
      </c>
      <c r="D150" s="24">
        <f t="shared" si="4"/>
        <v>0</v>
      </c>
      <c r="E150" s="24" t="s">
        <v>5</v>
      </c>
      <c r="F150" s="25" t="s">
        <v>1</v>
      </c>
      <c r="G150" s="24" t="s">
        <v>1135</v>
      </c>
      <c r="H150" s="24" t="s">
        <v>1136</v>
      </c>
      <c r="I150" s="26">
        <v>1</v>
      </c>
    </row>
    <row r="151" spans="1:9" ht="13.5" customHeight="1" x14ac:dyDescent="0.3">
      <c r="A151" s="27">
        <v>50</v>
      </c>
      <c r="B151" s="17" t="s">
        <v>462</v>
      </c>
      <c r="C151" s="17" t="s">
        <v>463</v>
      </c>
      <c r="D151" s="28">
        <f t="shared" si="4"/>
        <v>0</v>
      </c>
      <c r="E151" s="28" t="s">
        <v>5</v>
      </c>
      <c r="F151" s="29" t="s">
        <v>1</v>
      </c>
      <c r="G151" s="28" t="s">
        <v>1137</v>
      </c>
      <c r="H151" s="28" t="s">
        <v>1138</v>
      </c>
      <c r="I151" s="30">
        <v>1</v>
      </c>
    </row>
    <row r="152" spans="1:9" ht="13.5" customHeight="1" x14ac:dyDescent="0.3">
      <c r="A152" s="22">
        <v>51</v>
      </c>
      <c r="B152" s="23" t="s">
        <v>464</v>
      </c>
      <c r="C152" s="23" t="s">
        <v>465</v>
      </c>
      <c r="D152" s="24">
        <f t="shared" si="4"/>
        <v>0</v>
      </c>
      <c r="E152" s="24" t="s">
        <v>0</v>
      </c>
      <c r="F152" s="25" t="s">
        <v>1</v>
      </c>
      <c r="G152" s="24" t="s">
        <v>1139</v>
      </c>
      <c r="H152" s="24" t="s">
        <v>1140</v>
      </c>
      <c r="I152" s="26">
        <v>1</v>
      </c>
    </row>
    <row r="153" spans="1:9" ht="13.5" customHeight="1" x14ac:dyDescent="0.3">
      <c r="A153" s="27">
        <v>51</v>
      </c>
      <c r="B153" s="17" t="s">
        <v>464</v>
      </c>
      <c r="C153" s="17" t="s">
        <v>465</v>
      </c>
      <c r="D153" s="28">
        <f t="shared" si="4"/>
        <v>0</v>
      </c>
      <c r="E153" s="28" t="s">
        <v>0</v>
      </c>
      <c r="F153" s="29" t="s">
        <v>1</v>
      </c>
      <c r="G153" s="28" t="s">
        <v>1141</v>
      </c>
      <c r="H153" s="28" t="s">
        <v>1142</v>
      </c>
      <c r="I153" s="30">
        <v>1</v>
      </c>
    </row>
    <row r="154" spans="1:9" ht="13.5" customHeight="1" x14ac:dyDescent="0.3">
      <c r="A154" s="22">
        <v>51</v>
      </c>
      <c r="B154" s="23" t="s">
        <v>464</v>
      </c>
      <c r="C154" s="23" t="s">
        <v>465</v>
      </c>
      <c r="D154" s="24">
        <f t="shared" si="4"/>
        <v>0</v>
      </c>
      <c r="E154" s="24" t="s">
        <v>0</v>
      </c>
      <c r="F154" s="25" t="s">
        <v>1</v>
      </c>
      <c r="G154" s="24" t="s">
        <v>1919</v>
      </c>
      <c r="H154" s="24" t="s">
        <v>1143</v>
      </c>
      <c r="I154" s="26">
        <v>1</v>
      </c>
    </row>
    <row r="155" spans="1:9" ht="13.5" customHeight="1" x14ac:dyDescent="0.3">
      <c r="A155" s="27">
        <v>52</v>
      </c>
      <c r="B155" s="17" t="s">
        <v>466</v>
      </c>
      <c r="C155" s="17" t="s">
        <v>467</v>
      </c>
      <c r="D155" s="28">
        <f t="shared" si="4"/>
        <v>0</v>
      </c>
      <c r="E155" s="28" t="s">
        <v>5</v>
      </c>
      <c r="F155" s="29" t="s">
        <v>1</v>
      </c>
      <c r="G155" s="28" t="s">
        <v>1144</v>
      </c>
      <c r="H155" s="28" t="s">
        <v>1145</v>
      </c>
      <c r="I155" s="30">
        <v>1</v>
      </c>
    </row>
    <row r="156" spans="1:9" ht="13.5" customHeight="1" x14ac:dyDescent="0.3">
      <c r="A156" s="22">
        <v>52</v>
      </c>
      <c r="B156" s="23" t="s">
        <v>466</v>
      </c>
      <c r="C156" s="23" t="s">
        <v>467</v>
      </c>
      <c r="D156" s="24">
        <f t="shared" si="4"/>
        <v>0</v>
      </c>
      <c r="E156" s="24" t="s">
        <v>5</v>
      </c>
      <c r="F156" s="25" t="s">
        <v>1</v>
      </c>
      <c r="G156" s="24" t="s">
        <v>1920</v>
      </c>
      <c r="H156" s="24" t="s">
        <v>1146</v>
      </c>
      <c r="I156" s="26">
        <v>1</v>
      </c>
    </row>
    <row r="157" spans="1:9" ht="13.5" customHeight="1" x14ac:dyDescent="0.3">
      <c r="A157" s="27">
        <v>52</v>
      </c>
      <c r="B157" s="17" t="s">
        <v>466</v>
      </c>
      <c r="C157" s="17" t="s">
        <v>467</v>
      </c>
      <c r="D157" s="28">
        <f t="shared" si="4"/>
        <v>1</v>
      </c>
      <c r="E157" s="28" t="s">
        <v>5</v>
      </c>
      <c r="F157" s="29" t="s">
        <v>5</v>
      </c>
      <c r="G157" s="28" t="s">
        <v>1147</v>
      </c>
      <c r="H157" s="28" t="s">
        <v>1148</v>
      </c>
      <c r="I157" s="30">
        <v>1</v>
      </c>
    </row>
    <row r="158" spans="1:9" ht="13.5" customHeight="1" x14ac:dyDescent="0.3">
      <c r="A158" s="22">
        <v>53</v>
      </c>
      <c r="B158" s="23" t="s">
        <v>472</v>
      </c>
      <c r="C158" s="23" t="s">
        <v>473</v>
      </c>
      <c r="D158" s="24">
        <f t="shared" si="4"/>
        <v>1</v>
      </c>
      <c r="E158" s="24" t="s">
        <v>1</v>
      </c>
      <c r="F158" s="25" t="s">
        <v>1</v>
      </c>
      <c r="G158" s="24" t="s">
        <v>1160</v>
      </c>
      <c r="H158" s="24" t="s">
        <v>1161</v>
      </c>
      <c r="I158" s="26">
        <v>1</v>
      </c>
    </row>
    <row r="159" spans="1:9" ht="13.5" customHeight="1" x14ac:dyDescent="0.3">
      <c r="A159" s="27">
        <v>53</v>
      </c>
      <c r="B159" s="17" t="s">
        <v>472</v>
      </c>
      <c r="C159" s="17" t="s">
        <v>473</v>
      </c>
      <c r="D159" s="28">
        <f t="shared" si="4"/>
        <v>1</v>
      </c>
      <c r="E159" s="28" t="s">
        <v>1</v>
      </c>
      <c r="F159" s="29" t="s">
        <v>1</v>
      </c>
      <c r="G159" s="28" t="s">
        <v>1141</v>
      </c>
      <c r="H159" s="28" t="s">
        <v>1162</v>
      </c>
      <c r="I159" s="30">
        <v>0</v>
      </c>
    </row>
    <row r="160" spans="1:9" ht="13.5" customHeight="1" x14ac:dyDescent="0.3">
      <c r="A160" s="22">
        <v>53</v>
      </c>
      <c r="B160" s="23" t="s">
        <v>472</v>
      </c>
      <c r="C160" s="23" t="s">
        <v>473</v>
      </c>
      <c r="D160" s="24">
        <f t="shared" si="4"/>
        <v>1</v>
      </c>
      <c r="E160" s="24" t="s">
        <v>1</v>
      </c>
      <c r="F160" s="25" t="s">
        <v>1</v>
      </c>
      <c r="G160" s="24" t="s">
        <v>1163</v>
      </c>
      <c r="H160" s="24" t="s">
        <v>1164</v>
      </c>
      <c r="I160" s="26">
        <v>1</v>
      </c>
    </row>
    <row r="161" spans="1:9" ht="13.5" customHeight="1" x14ac:dyDescent="0.3">
      <c r="A161" s="27">
        <v>54</v>
      </c>
      <c r="B161" s="18" t="s">
        <v>470</v>
      </c>
      <c r="C161" s="17" t="s">
        <v>471</v>
      </c>
      <c r="D161" s="28">
        <f t="shared" si="4"/>
        <v>0</v>
      </c>
      <c r="E161" s="28" t="s">
        <v>0</v>
      </c>
      <c r="F161" s="29" t="s">
        <v>1</v>
      </c>
      <c r="G161" s="28" t="s">
        <v>1155</v>
      </c>
      <c r="H161" s="28" t="s">
        <v>1156</v>
      </c>
      <c r="I161" s="30">
        <v>1</v>
      </c>
    </row>
    <row r="162" spans="1:9" ht="13.5" customHeight="1" x14ac:dyDescent="0.3">
      <c r="A162" s="22">
        <v>54</v>
      </c>
      <c r="B162" s="31" t="s">
        <v>470</v>
      </c>
      <c r="C162" s="23" t="s">
        <v>471</v>
      </c>
      <c r="D162" s="24">
        <f t="shared" ref="D162:D193" si="5">IF(E162=F162, 1, 0)</f>
        <v>0</v>
      </c>
      <c r="E162" s="24" t="s">
        <v>0</v>
      </c>
      <c r="F162" s="25" t="s">
        <v>1</v>
      </c>
      <c r="G162" s="24" t="s">
        <v>1157</v>
      </c>
      <c r="H162" s="24" t="s">
        <v>1158</v>
      </c>
      <c r="I162" s="26">
        <v>1</v>
      </c>
    </row>
    <row r="163" spans="1:9" ht="13.5" customHeight="1" x14ac:dyDescent="0.3">
      <c r="A163" s="27">
        <v>54</v>
      </c>
      <c r="B163" s="18" t="s">
        <v>470</v>
      </c>
      <c r="C163" s="17" t="s">
        <v>471</v>
      </c>
      <c r="D163" s="28">
        <f t="shared" si="5"/>
        <v>0</v>
      </c>
      <c r="E163" s="28" t="s">
        <v>0</v>
      </c>
      <c r="F163" s="29" t="s">
        <v>1</v>
      </c>
      <c r="G163" s="28" t="s">
        <v>1921</v>
      </c>
      <c r="H163" s="28" t="s">
        <v>1159</v>
      </c>
      <c r="I163" s="30">
        <v>1</v>
      </c>
    </row>
    <row r="164" spans="1:9" ht="13.5" customHeight="1" x14ac:dyDescent="0.3">
      <c r="A164" s="22">
        <v>55</v>
      </c>
      <c r="B164" s="23" t="s">
        <v>476</v>
      </c>
      <c r="C164" s="23" t="s">
        <v>477</v>
      </c>
      <c r="D164" s="24">
        <f t="shared" si="5"/>
        <v>0</v>
      </c>
      <c r="E164" s="24" t="s">
        <v>5</v>
      </c>
      <c r="F164" s="25" t="s">
        <v>0</v>
      </c>
      <c r="G164" s="24" t="s">
        <v>1171</v>
      </c>
      <c r="H164" s="24" t="s">
        <v>1172</v>
      </c>
      <c r="I164" s="26">
        <v>1</v>
      </c>
    </row>
    <row r="165" spans="1:9" ht="13.5" customHeight="1" x14ac:dyDescent="0.3">
      <c r="A165" s="27">
        <v>55</v>
      </c>
      <c r="B165" s="17" t="s">
        <v>476</v>
      </c>
      <c r="C165" s="17" t="s">
        <v>477</v>
      </c>
      <c r="D165" s="28">
        <f t="shared" si="5"/>
        <v>1</v>
      </c>
      <c r="E165" s="28" t="s">
        <v>5</v>
      </c>
      <c r="F165" s="29" t="s">
        <v>5</v>
      </c>
      <c r="G165" s="28" t="s">
        <v>1173</v>
      </c>
      <c r="H165" s="28" t="s">
        <v>1174</v>
      </c>
      <c r="I165" s="30">
        <v>1</v>
      </c>
    </row>
    <row r="166" spans="1:9" ht="13.5" customHeight="1" x14ac:dyDescent="0.3">
      <c r="A166" s="22">
        <v>55</v>
      </c>
      <c r="B166" s="23" t="s">
        <v>476</v>
      </c>
      <c r="C166" s="23" t="s">
        <v>477</v>
      </c>
      <c r="D166" s="24">
        <f t="shared" si="5"/>
        <v>1</v>
      </c>
      <c r="E166" s="24" t="s">
        <v>5</v>
      </c>
      <c r="F166" s="25" t="s">
        <v>5</v>
      </c>
      <c r="G166" s="24" t="s">
        <v>1175</v>
      </c>
      <c r="H166" s="24" t="s">
        <v>1176</v>
      </c>
      <c r="I166" s="26">
        <v>1</v>
      </c>
    </row>
    <row r="167" spans="1:9" ht="13.5" customHeight="1" x14ac:dyDescent="0.3">
      <c r="A167" s="27">
        <v>56</v>
      </c>
      <c r="B167" s="17" t="s">
        <v>474</v>
      </c>
      <c r="C167" s="17" t="s">
        <v>475</v>
      </c>
      <c r="D167" s="28">
        <f t="shared" si="5"/>
        <v>0</v>
      </c>
      <c r="E167" s="28" t="s">
        <v>1</v>
      </c>
      <c r="F167" s="29" t="s">
        <v>0</v>
      </c>
      <c r="G167" s="28" t="s">
        <v>1165</v>
      </c>
      <c r="H167" s="28" t="s">
        <v>1166</v>
      </c>
      <c r="I167" s="30">
        <v>1</v>
      </c>
    </row>
    <row r="168" spans="1:9" ht="13.5" customHeight="1" x14ac:dyDescent="0.3">
      <c r="A168" s="22">
        <v>56</v>
      </c>
      <c r="B168" s="23" t="s">
        <v>474</v>
      </c>
      <c r="C168" s="23" t="s">
        <v>475</v>
      </c>
      <c r="D168" s="24">
        <f t="shared" si="5"/>
        <v>0</v>
      </c>
      <c r="E168" s="24" t="s">
        <v>1</v>
      </c>
      <c r="F168" s="25" t="s">
        <v>0</v>
      </c>
      <c r="G168" s="24" t="s">
        <v>1167</v>
      </c>
      <c r="H168" s="24" t="s">
        <v>1168</v>
      </c>
      <c r="I168" s="26">
        <v>1</v>
      </c>
    </row>
    <row r="169" spans="1:9" ht="13.5" customHeight="1" x14ac:dyDescent="0.3">
      <c r="A169" s="27">
        <v>56</v>
      </c>
      <c r="B169" s="17" t="s">
        <v>474</v>
      </c>
      <c r="C169" s="17" t="s">
        <v>475</v>
      </c>
      <c r="D169" s="28">
        <f t="shared" si="5"/>
        <v>0</v>
      </c>
      <c r="E169" s="28" t="s">
        <v>1</v>
      </c>
      <c r="F169" s="29" t="s">
        <v>0</v>
      </c>
      <c r="G169" s="28" t="s">
        <v>1169</v>
      </c>
      <c r="H169" s="28" t="s">
        <v>1170</v>
      </c>
      <c r="I169" s="30">
        <v>1</v>
      </c>
    </row>
    <row r="170" spans="1:9" ht="13.5" customHeight="1" x14ac:dyDescent="0.3">
      <c r="A170" s="22">
        <v>57</v>
      </c>
      <c r="B170" s="31" t="s">
        <v>468</v>
      </c>
      <c r="C170" s="31" t="s">
        <v>469</v>
      </c>
      <c r="D170" s="24">
        <f t="shared" si="5"/>
        <v>0</v>
      </c>
      <c r="E170" s="24" t="s">
        <v>1</v>
      </c>
      <c r="F170" s="25" t="s">
        <v>0</v>
      </c>
      <c r="G170" s="24" t="s">
        <v>1149</v>
      </c>
      <c r="H170" s="24" t="s">
        <v>1150</v>
      </c>
      <c r="I170" s="26">
        <v>1</v>
      </c>
    </row>
    <row r="171" spans="1:9" ht="13.5" customHeight="1" x14ac:dyDescent="0.3">
      <c r="A171" s="27">
        <v>57</v>
      </c>
      <c r="B171" s="18" t="s">
        <v>468</v>
      </c>
      <c r="C171" s="18" t="s">
        <v>469</v>
      </c>
      <c r="D171" s="28">
        <f t="shared" si="5"/>
        <v>0</v>
      </c>
      <c r="E171" s="28" t="s">
        <v>1</v>
      </c>
      <c r="F171" s="29" t="s">
        <v>0</v>
      </c>
      <c r="G171" s="28" t="s">
        <v>1151</v>
      </c>
      <c r="H171" s="28" t="s">
        <v>1152</v>
      </c>
      <c r="I171" s="30">
        <v>1</v>
      </c>
    </row>
    <row r="172" spans="1:9" ht="13.5" customHeight="1" x14ac:dyDescent="0.3">
      <c r="A172" s="22">
        <v>57</v>
      </c>
      <c r="B172" s="31" t="s">
        <v>468</v>
      </c>
      <c r="C172" s="31" t="s">
        <v>469</v>
      </c>
      <c r="D172" s="24">
        <f t="shared" si="5"/>
        <v>0</v>
      </c>
      <c r="E172" s="24" t="s">
        <v>1</v>
      </c>
      <c r="F172" s="25" t="s">
        <v>5</v>
      </c>
      <c r="G172" s="24" t="s">
        <v>1153</v>
      </c>
      <c r="H172" s="24" t="s">
        <v>1154</v>
      </c>
      <c r="I172" s="26">
        <v>1</v>
      </c>
    </row>
    <row r="173" spans="1:9" ht="13.5" customHeight="1" x14ac:dyDescent="0.3">
      <c r="A173" s="27">
        <v>58</v>
      </c>
      <c r="B173" s="17" t="s">
        <v>478</v>
      </c>
      <c r="C173" s="17" t="s">
        <v>479</v>
      </c>
      <c r="D173" s="28">
        <f t="shared" si="5"/>
        <v>0</v>
      </c>
      <c r="E173" s="28" t="s">
        <v>5</v>
      </c>
      <c r="F173" s="29" t="s">
        <v>1</v>
      </c>
      <c r="G173" s="28" t="s">
        <v>1177</v>
      </c>
      <c r="H173" s="28" t="s">
        <v>1178</v>
      </c>
      <c r="I173" s="30">
        <v>0</v>
      </c>
    </row>
    <row r="174" spans="1:9" ht="13.5" customHeight="1" x14ac:dyDescent="0.3">
      <c r="A174" s="22">
        <v>58</v>
      </c>
      <c r="B174" s="23" t="s">
        <v>478</v>
      </c>
      <c r="C174" s="23" t="s">
        <v>479</v>
      </c>
      <c r="D174" s="24">
        <f t="shared" si="5"/>
        <v>0</v>
      </c>
      <c r="E174" s="24" t="s">
        <v>5</v>
      </c>
      <c r="F174" s="25" t="s">
        <v>0</v>
      </c>
      <c r="G174" s="24" t="s">
        <v>1179</v>
      </c>
      <c r="H174" s="24" t="s">
        <v>1180</v>
      </c>
      <c r="I174" s="26">
        <v>1</v>
      </c>
    </row>
    <row r="175" spans="1:9" ht="13.5" customHeight="1" x14ac:dyDescent="0.3">
      <c r="A175" s="27">
        <v>58</v>
      </c>
      <c r="B175" s="17" t="s">
        <v>478</v>
      </c>
      <c r="C175" s="17" t="s">
        <v>479</v>
      </c>
      <c r="D175" s="28">
        <f t="shared" si="5"/>
        <v>0</v>
      </c>
      <c r="E175" s="28" t="s">
        <v>5</v>
      </c>
      <c r="F175" s="29" t="s">
        <v>1</v>
      </c>
      <c r="G175" s="28" t="s">
        <v>1181</v>
      </c>
      <c r="H175" s="28" t="s">
        <v>1182</v>
      </c>
      <c r="I175" s="30">
        <v>1</v>
      </c>
    </row>
    <row r="176" spans="1:9" ht="13.5" customHeight="1" x14ac:dyDescent="0.3">
      <c r="A176" s="22">
        <v>59</v>
      </c>
      <c r="B176" s="23" t="s">
        <v>480</v>
      </c>
      <c r="C176" s="31" t="s">
        <v>481</v>
      </c>
      <c r="D176" s="24">
        <f t="shared" si="5"/>
        <v>0</v>
      </c>
      <c r="E176" s="24" t="s">
        <v>0</v>
      </c>
      <c r="F176" s="25" t="s">
        <v>1</v>
      </c>
      <c r="G176" s="24" t="s">
        <v>1183</v>
      </c>
      <c r="H176" s="24" t="s">
        <v>1184</v>
      </c>
      <c r="I176" s="26">
        <v>0</v>
      </c>
    </row>
    <row r="177" spans="1:9" ht="13.5" customHeight="1" x14ac:dyDescent="0.3">
      <c r="A177" s="27">
        <v>59</v>
      </c>
      <c r="B177" s="17" t="s">
        <v>480</v>
      </c>
      <c r="C177" s="18" t="s">
        <v>481</v>
      </c>
      <c r="D177" s="28">
        <f t="shared" si="5"/>
        <v>0</v>
      </c>
      <c r="E177" s="28" t="s">
        <v>0</v>
      </c>
      <c r="F177" s="29" t="s">
        <v>1</v>
      </c>
      <c r="G177" s="28" t="s">
        <v>1141</v>
      </c>
      <c r="H177" s="28" t="s">
        <v>1185</v>
      </c>
      <c r="I177" s="30">
        <v>0</v>
      </c>
    </row>
    <row r="178" spans="1:9" ht="13.5" customHeight="1" x14ac:dyDescent="0.3">
      <c r="A178" s="22">
        <v>59</v>
      </c>
      <c r="B178" s="23" t="s">
        <v>480</v>
      </c>
      <c r="C178" s="31" t="s">
        <v>481</v>
      </c>
      <c r="D178" s="24">
        <f t="shared" si="5"/>
        <v>0</v>
      </c>
      <c r="E178" s="24" t="s">
        <v>0</v>
      </c>
      <c r="F178" s="25" t="s">
        <v>5</v>
      </c>
      <c r="G178" s="24" t="s">
        <v>1186</v>
      </c>
      <c r="H178" s="24" t="s">
        <v>1187</v>
      </c>
      <c r="I178" s="26">
        <v>1</v>
      </c>
    </row>
    <row r="179" spans="1:9" ht="13.5" customHeight="1" x14ac:dyDescent="0.3">
      <c r="A179" s="27">
        <v>60</v>
      </c>
      <c r="B179" s="17" t="s">
        <v>482</v>
      </c>
      <c r="C179" s="17" t="s">
        <v>483</v>
      </c>
      <c r="D179" s="28">
        <f t="shared" si="5"/>
        <v>1</v>
      </c>
      <c r="E179" s="28" t="s">
        <v>5</v>
      </c>
      <c r="F179" s="29" t="s">
        <v>5</v>
      </c>
      <c r="G179" s="28" t="s">
        <v>1188</v>
      </c>
      <c r="H179" s="28" t="s">
        <v>1189</v>
      </c>
      <c r="I179" s="30">
        <v>1</v>
      </c>
    </row>
    <row r="180" spans="1:9" ht="13.5" customHeight="1" x14ac:dyDescent="0.3">
      <c r="A180" s="22">
        <v>60</v>
      </c>
      <c r="B180" s="23" t="s">
        <v>482</v>
      </c>
      <c r="C180" s="23" t="s">
        <v>483</v>
      </c>
      <c r="D180" s="24">
        <f t="shared" si="5"/>
        <v>0</v>
      </c>
      <c r="E180" s="24" t="s">
        <v>5</v>
      </c>
      <c r="F180" s="25" t="s">
        <v>1</v>
      </c>
      <c r="G180" s="24" t="s">
        <v>1141</v>
      </c>
      <c r="H180" s="24" t="s">
        <v>1190</v>
      </c>
      <c r="I180" s="26">
        <v>0</v>
      </c>
    </row>
    <row r="181" spans="1:9" ht="13.5" customHeight="1" x14ac:dyDescent="0.3">
      <c r="A181" s="36">
        <v>60</v>
      </c>
      <c r="B181" s="37" t="s">
        <v>482</v>
      </c>
      <c r="C181" s="37" t="s">
        <v>483</v>
      </c>
      <c r="D181" s="19">
        <f t="shared" si="5"/>
        <v>1</v>
      </c>
      <c r="E181" s="19" t="s">
        <v>5</v>
      </c>
      <c r="F181" s="38" t="s">
        <v>5</v>
      </c>
      <c r="G181" s="19" t="s">
        <v>1191</v>
      </c>
      <c r="H181" s="19" t="s">
        <v>1192</v>
      </c>
      <c r="I181" s="20">
        <v>1</v>
      </c>
    </row>
  </sheetData>
  <sortState xmlns:xlrd2="http://schemas.microsoft.com/office/spreadsheetml/2017/richdata2" ref="A2:I181">
    <sortCondition ref="A69:A181"/>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68977-DF34-476B-8D64-4083FE983E2D}">
  <sheetPr codeName="Worksheet______21"/>
  <dimension ref="A1:H181"/>
  <sheetViews>
    <sheetView topLeftCell="A56" zoomScale="80" zoomScaleNormal="80" workbookViewId="0">
      <selection activeCell="A73" sqref="A73"/>
    </sheetView>
  </sheetViews>
  <sheetFormatPr defaultRowHeight="14" x14ac:dyDescent="0.3"/>
  <cols>
    <col min="10" max="10" width="12.58203125" bestFit="1" customWidth="1"/>
    <col min="11" max="11" width="14.25" bestFit="1" customWidth="1"/>
  </cols>
  <sheetData>
    <row r="1" spans="1:8" x14ac:dyDescent="0.3">
      <c r="A1" s="15" t="s">
        <v>356</v>
      </c>
      <c r="B1" s="15" t="s">
        <v>357</v>
      </c>
      <c r="C1" s="15" t="s">
        <v>358</v>
      </c>
      <c r="D1" s="15" t="s">
        <v>62</v>
      </c>
      <c r="E1" s="13" t="s">
        <v>63</v>
      </c>
      <c r="F1" s="13" t="s">
        <v>64</v>
      </c>
      <c r="G1" s="13" t="s">
        <v>29</v>
      </c>
      <c r="H1" s="14" t="s">
        <v>30</v>
      </c>
    </row>
    <row r="2" spans="1:8" ht="14.5" x14ac:dyDescent="0.3">
      <c r="A2" s="10">
        <v>1</v>
      </c>
      <c r="B2" s="42" t="s">
        <v>384</v>
      </c>
      <c r="C2" s="42" t="s">
        <v>385</v>
      </c>
      <c r="D2">
        <f t="shared" ref="D2:D33" si="0">IF(F2=E2,1,0)</f>
        <v>0</v>
      </c>
      <c r="E2" t="s">
        <v>0</v>
      </c>
      <c r="F2" s="6" t="s">
        <v>1</v>
      </c>
      <c r="G2" t="s">
        <v>1253</v>
      </c>
      <c r="H2" t="s">
        <v>1254</v>
      </c>
    </row>
    <row r="3" spans="1:8" ht="14.5" x14ac:dyDescent="0.3">
      <c r="A3" s="10">
        <v>1</v>
      </c>
      <c r="B3" s="42" t="s">
        <v>384</v>
      </c>
      <c r="C3" s="42" t="s">
        <v>385</v>
      </c>
      <c r="D3">
        <f t="shared" si="0"/>
        <v>0</v>
      </c>
      <c r="E3" t="s">
        <v>0</v>
      </c>
      <c r="F3" s="6" t="s">
        <v>5</v>
      </c>
      <c r="G3" t="s">
        <v>1255</v>
      </c>
      <c r="H3" t="s">
        <v>1256</v>
      </c>
    </row>
    <row r="4" spans="1:8" ht="14.5" x14ac:dyDescent="0.3">
      <c r="A4" s="10">
        <v>1</v>
      </c>
      <c r="B4" s="42" t="s">
        <v>384</v>
      </c>
      <c r="C4" s="42" t="s">
        <v>385</v>
      </c>
      <c r="D4">
        <f t="shared" si="0"/>
        <v>0</v>
      </c>
      <c r="E4" t="s">
        <v>0</v>
      </c>
      <c r="F4" s="6" t="s">
        <v>1</v>
      </c>
      <c r="G4" t="s">
        <v>1257</v>
      </c>
      <c r="H4" t="s">
        <v>1258</v>
      </c>
    </row>
    <row r="5" spans="1:8" ht="14.5" x14ac:dyDescent="0.35">
      <c r="A5" s="10">
        <v>2</v>
      </c>
      <c r="B5" s="42" t="s">
        <v>402</v>
      </c>
      <c r="C5" s="42" t="s">
        <v>403</v>
      </c>
      <c r="D5">
        <f t="shared" si="0"/>
        <v>0</v>
      </c>
      <c r="E5" t="s">
        <v>0</v>
      </c>
      <c r="F5" s="11" t="s">
        <v>1</v>
      </c>
      <c r="G5" s="12" t="s">
        <v>1305</v>
      </c>
      <c r="H5" t="s">
        <v>1306</v>
      </c>
    </row>
    <row r="6" spans="1:8" ht="14.5" x14ac:dyDescent="0.35">
      <c r="A6" s="10">
        <v>2</v>
      </c>
      <c r="B6" s="42" t="s">
        <v>402</v>
      </c>
      <c r="C6" s="42" t="s">
        <v>403</v>
      </c>
      <c r="D6">
        <f t="shared" si="0"/>
        <v>0</v>
      </c>
      <c r="E6" t="s">
        <v>0</v>
      </c>
      <c r="F6" s="11" t="s">
        <v>1</v>
      </c>
      <c r="G6" s="12" t="s">
        <v>1307</v>
      </c>
      <c r="H6" t="s">
        <v>1308</v>
      </c>
    </row>
    <row r="7" spans="1:8" ht="14.5" x14ac:dyDescent="0.35">
      <c r="A7" s="10">
        <v>2</v>
      </c>
      <c r="B7" s="42" t="s">
        <v>402</v>
      </c>
      <c r="C7" s="42" t="s">
        <v>403</v>
      </c>
      <c r="D7">
        <f t="shared" si="0"/>
        <v>1</v>
      </c>
      <c r="E7" t="s">
        <v>0</v>
      </c>
      <c r="F7" s="11" t="s">
        <v>0</v>
      </c>
      <c r="G7" s="12" t="s">
        <v>1309</v>
      </c>
      <c r="H7" t="s">
        <v>1310</v>
      </c>
    </row>
    <row r="8" spans="1:8" ht="14.5" x14ac:dyDescent="0.35">
      <c r="A8" s="10">
        <v>3</v>
      </c>
      <c r="B8" s="42" t="s">
        <v>408</v>
      </c>
      <c r="C8" s="42" t="s">
        <v>409</v>
      </c>
      <c r="D8">
        <f t="shared" si="0"/>
        <v>0</v>
      </c>
      <c r="E8" t="s">
        <v>1</v>
      </c>
      <c r="F8" s="11" t="s">
        <v>0</v>
      </c>
      <c r="G8" s="12" t="s">
        <v>1323</v>
      </c>
      <c r="H8" t="s">
        <v>1324</v>
      </c>
    </row>
    <row r="9" spans="1:8" ht="14.5" x14ac:dyDescent="0.35">
      <c r="A9" s="10">
        <v>3</v>
      </c>
      <c r="B9" s="42" t="s">
        <v>408</v>
      </c>
      <c r="C9" s="42" t="s">
        <v>409</v>
      </c>
      <c r="D9">
        <f t="shared" si="0"/>
        <v>1</v>
      </c>
      <c r="E9" t="s">
        <v>1</v>
      </c>
      <c r="F9" s="11" t="s">
        <v>1</v>
      </c>
      <c r="G9" s="12" t="s">
        <v>1325</v>
      </c>
      <c r="H9" t="s">
        <v>1326</v>
      </c>
    </row>
    <row r="10" spans="1:8" ht="14.5" x14ac:dyDescent="0.35">
      <c r="A10" s="10">
        <v>3</v>
      </c>
      <c r="B10" s="42" t="s">
        <v>408</v>
      </c>
      <c r="C10" s="42" t="s">
        <v>409</v>
      </c>
      <c r="D10">
        <f t="shared" si="0"/>
        <v>0</v>
      </c>
      <c r="E10" t="s">
        <v>1</v>
      </c>
      <c r="F10" s="11" t="s">
        <v>0</v>
      </c>
      <c r="G10" s="12" t="s">
        <v>1327</v>
      </c>
      <c r="H10" t="s">
        <v>1328</v>
      </c>
    </row>
    <row r="11" spans="1:8" ht="14.5" x14ac:dyDescent="0.3">
      <c r="A11" s="10">
        <v>4</v>
      </c>
      <c r="B11" s="42" t="s">
        <v>378</v>
      </c>
      <c r="C11" s="42" t="s">
        <v>379</v>
      </c>
      <c r="D11">
        <f t="shared" si="0"/>
        <v>0</v>
      </c>
      <c r="E11" t="s">
        <v>5</v>
      </c>
      <c r="F11" s="6" t="s">
        <v>1</v>
      </c>
      <c r="G11" t="s">
        <v>1235</v>
      </c>
      <c r="H11" t="s">
        <v>1236</v>
      </c>
    </row>
    <row r="12" spans="1:8" ht="14.5" x14ac:dyDescent="0.3">
      <c r="A12" s="10">
        <v>4</v>
      </c>
      <c r="B12" s="42" t="s">
        <v>378</v>
      </c>
      <c r="C12" s="42" t="s">
        <v>379</v>
      </c>
      <c r="D12">
        <f t="shared" si="0"/>
        <v>0</v>
      </c>
      <c r="E12" t="s">
        <v>5</v>
      </c>
      <c r="F12" s="6" t="s">
        <v>0</v>
      </c>
      <c r="G12" t="s">
        <v>1237</v>
      </c>
      <c r="H12" t="s">
        <v>1238</v>
      </c>
    </row>
    <row r="13" spans="1:8" ht="14.5" x14ac:dyDescent="0.3">
      <c r="A13" s="10">
        <v>4</v>
      </c>
      <c r="B13" s="42" t="s">
        <v>378</v>
      </c>
      <c r="C13" s="42" t="s">
        <v>379</v>
      </c>
      <c r="D13">
        <f t="shared" si="0"/>
        <v>0</v>
      </c>
      <c r="E13" t="s">
        <v>5</v>
      </c>
      <c r="F13" s="6" t="s">
        <v>0</v>
      </c>
      <c r="G13" t="s">
        <v>1239</v>
      </c>
      <c r="H13" t="s">
        <v>1240</v>
      </c>
    </row>
    <row r="14" spans="1:8" ht="14.5" x14ac:dyDescent="0.3">
      <c r="A14" s="10">
        <v>5</v>
      </c>
      <c r="B14" s="42" t="s">
        <v>380</v>
      </c>
      <c r="C14" s="42" t="s">
        <v>381</v>
      </c>
      <c r="D14">
        <f t="shared" si="0"/>
        <v>1</v>
      </c>
      <c r="E14" t="s">
        <v>1</v>
      </c>
      <c r="F14" s="6" t="s">
        <v>1</v>
      </c>
      <c r="G14" t="s">
        <v>1241</v>
      </c>
      <c r="H14" t="s">
        <v>1242</v>
      </c>
    </row>
    <row r="15" spans="1:8" ht="14.5" x14ac:dyDescent="0.3">
      <c r="A15" s="10">
        <v>5</v>
      </c>
      <c r="B15" s="42" t="s">
        <v>380</v>
      </c>
      <c r="C15" s="42" t="s">
        <v>381</v>
      </c>
      <c r="D15">
        <f t="shared" si="0"/>
        <v>0</v>
      </c>
      <c r="E15" t="s">
        <v>1</v>
      </c>
      <c r="F15" s="6" t="s">
        <v>0</v>
      </c>
      <c r="G15" t="s">
        <v>1243</v>
      </c>
      <c r="H15" t="s">
        <v>1244</v>
      </c>
    </row>
    <row r="16" spans="1:8" ht="14.5" x14ac:dyDescent="0.3">
      <c r="A16" s="10">
        <v>5</v>
      </c>
      <c r="B16" s="42" t="s">
        <v>380</v>
      </c>
      <c r="C16" s="42" t="s">
        <v>381</v>
      </c>
      <c r="D16">
        <f t="shared" si="0"/>
        <v>0</v>
      </c>
      <c r="E16" t="s">
        <v>1</v>
      </c>
      <c r="F16" s="6" t="s">
        <v>0</v>
      </c>
      <c r="G16" t="s">
        <v>1245</v>
      </c>
      <c r="H16" t="s">
        <v>1246</v>
      </c>
    </row>
    <row r="17" spans="1:8" ht="14.5" x14ac:dyDescent="0.35">
      <c r="A17" s="10">
        <v>6</v>
      </c>
      <c r="B17" s="42" t="s">
        <v>394</v>
      </c>
      <c r="C17" s="42" t="s">
        <v>395</v>
      </c>
      <c r="D17">
        <f t="shared" si="0"/>
        <v>0</v>
      </c>
      <c r="E17" t="s">
        <v>5</v>
      </c>
      <c r="F17" s="11" t="s">
        <v>0</v>
      </c>
      <c r="G17" s="12" t="s">
        <v>1281</v>
      </c>
      <c r="H17" t="s">
        <v>1282</v>
      </c>
    </row>
    <row r="18" spans="1:8" ht="14.5" x14ac:dyDescent="0.35">
      <c r="A18" s="10">
        <v>6</v>
      </c>
      <c r="B18" s="42" t="s">
        <v>394</v>
      </c>
      <c r="C18" s="42" t="s">
        <v>395</v>
      </c>
      <c r="D18">
        <f t="shared" si="0"/>
        <v>0</v>
      </c>
      <c r="E18" t="s">
        <v>5</v>
      </c>
      <c r="F18" s="11" t="s">
        <v>1</v>
      </c>
      <c r="G18" s="12" t="s">
        <v>1283</v>
      </c>
      <c r="H18" t="s">
        <v>1284</v>
      </c>
    </row>
    <row r="19" spans="1:8" ht="14.5" x14ac:dyDescent="0.35">
      <c r="A19" s="10">
        <v>6</v>
      </c>
      <c r="B19" s="42" t="s">
        <v>394</v>
      </c>
      <c r="C19" s="42" t="s">
        <v>395</v>
      </c>
      <c r="D19">
        <f t="shared" si="0"/>
        <v>0</v>
      </c>
      <c r="E19" t="s">
        <v>5</v>
      </c>
      <c r="F19" s="11" t="s">
        <v>1</v>
      </c>
      <c r="G19" s="12" t="s">
        <v>1285</v>
      </c>
      <c r="H19" t="s">
        <v>1286</v>
      </c>
    </row>
    <row r="20" spans="1:8" ht="14.5" x14ac:dyDescent="0.3">
      <c r="A20" s="10">
        <v>7</v>
      </c>
      <c r="B20" s="42" t="s">
        <v>368</v>
      </c>
      <c r="C20" s="42" t="s">
        <v>369</v>
      </c>
      <c r="D20">
        <f t="shared" si="0"/>
        <v>0</v>
      </c>
      <c r="E20" t="s">
        <v>5</v>
      </c>
      <c r="F20" s="6" t="s">
        <v>0</v>
      </c>
      <c r="G20" t="s">
        <v>1205</v>
      </c>
      <c r="H20" t="s">
        <v>1206</v>
      </c>
    </row>
    <row r="21" spans="1:8" ht="14.5" x14ac:dyDescent="0.3">
      <c r="A21" s="10">
        <v>7</v>
      </c>
      <c r="B21" s="42" t="s">
        <v>368</v>
      </c>
      <c r="C21" s="42" t="s">
        <v>369</v>
      </c>
      <c r="D21">
        <f t="shared" si="0"/>
        <v>0</v>
      </c>
      <c r="E21" t="s">
        <v>5</v>
      </c>
      <c r="F21" s="6" t="s">
        <v>1</v>
      </c>
      <c r="G21" t="s">
        <v>1207</v>
      </c>
      <c r="H21" t="s">
        <v>1208</v>
      </c>
    </row>
    <row r="22" spans="1:8" ht="14.5" x14ac:dyDescent="0.3">
      <c r="A22" s="10">
        <v>7</v>
      </c>
      <c r="B22" s="42" t="s">
        <v>368</v>
      </c>
      <c r="C22" s="42" t="s">
        <v>369</v>
      </c>
      <c r="D22">
        <f t="shared" si="0"/>
        <v>0</v>
      </c>
      <c r="E22" t="s">
        <v>5</v>
      </c>
      <c r="F22" s="6" t="s">
        <v>1</v>
      </c>
      <c r="G22" t="s">
        <v>1209</v>
      </c>
      <c r="H22" t="s">
        <v>1210</v>
      </c>
    </row>
    <row r="23" spans="1:8" ht="14.5" x14ac:dyDescent="0.3">
      <c r="A23" s="10">
        <v>8</v>
      </c>
      <c r="B23" s="42" t="s">
        <v>372</v>
      </c>
      <c r="C23" s="42" t="s">
        <v>373</v>
      </c>
      <c r="D23">
        <f t="shared" si="0"/>
        <v>0</v>
      </c>
      <c r="E23" t="s">
        <v>1</v>
      </c>
      <c r="F23" s="6" t="s">
        <v>0</v>
      </c>
      <c r="G23" t="s">
        <v>1217</v>
      </c>
      <c r="H23" t="s">
        <v>1218</v>
      </c>
    </row>
    <row r="24" spans="1:8" ht="14.5" x14ac:dyDescent="0.3">
      <c r="A24" s="10">
        <v>8</v>
      </c>
      <c r="B24" s="42" t="s">
        <v>372</v>
      </c>
      <c r="C24" s="42" t="s">
        <v>373</v>
      </c>
      <c r="D24">
        <f t="shared" si="0"/>
        <v>0</v>
      </c>
      <c r="E24" t="s">
        <v>1</v>
      </c>
      <c r="F24" s="6" t="s">
        <v>0</v>
      </c>
      <c r="G24" t="s">
        <v>1219</v>
      </c>
      <c r="H24" t="s">
        <v>1220</v>
      </c>
    </row>
    <row r="25" spans="1:8" ht="14.5" x14ac:dyDescent="0.3">
      <c r="A25" s="10">
        <v>8</v>
      </c>
      <c r="B25" s="42" t="s">
        <v>372</v>
      </c>
      <c r="C25" s="42" t="s">
        <v>373</v>
      </c>
      <c r="D25">
        <f t="shared" si="0"/>
        <v>0</v>
      </c>
      <c r="E25" t="s">
        <v>1</v>
      </c>
      <c r="F25" s="6" t="s">
        <v>0</v>
      </c>
      <c r="G25" t="s">
        <v>1221</v>
      </c>
      <c r="H25" t="s">
        <v>1222</v>
      </c>
    </row>
    <row r="26" spans="1:8" ht="14.5" x14ac:dyDescent="0.35">
      <c r="A26" s="10">
        <v>9</v>
      </c>
      <c r="B26" s="42" t="s">
        <v>410</v>
      </c>
      <c r="C26" s="42" t="s">
        <v>411</v>
      </c>
      <c r="D26">
        <f t="shared" si="0"/>
        <v>0</v>
      </c>
      <c r="E26" t="s">
        <v>1</v>
      </c>
      <c r="F26" s="11" t="s">
        <v>0</v>
      </c>
      <c r="G26" s="12" t="s">
        <v>1329</v>
      </c>
      <c r="H26" t="s">
        <v>1330</v>
      </c>
    </row>
    <row r="27" spans="1:8" ht="14.5" x14ac:dyDescent="0.35">
      <c r="A27" s="10">
        <v>9</v>
      </c>
      <c r="B27" s="42" t="s">
        <v>410</v>
      </c>
      <c r="C27" s="42" t="s">
        <v>411</v>
      </c>
      <c r="D27">
        <f t="shared" si="0"/>
        <v>1</v>
      </c>
      <c r="E27" t="s">
        <v>1</v>
      </c>
      <c r="F27" s="11" t="s">
        <v>1</v>
      </c>
      <c r="G27" s="12" t="s">
        <v>1331</v>
      </c>
      <c r="H27" t="s">
        <v>1332</v>
      </c>
    </row>
    <row r="28" spans="1:8" ht="14.5" x14ac:dyDescent="0.35">
      <c r="A28" s="10">
        <v>9</v>
      </c>
      <c r="B28" s="42" t="s">
        <v>410</v>
      </c>
      <c r="C28" s="42" t="s">
        <v>411</v>
      </c>
      <c r="D28">
        <f t="shared" si="0"/>
        <v>0</v>
      </c>
      <c r="E28" t="s">
        <v>1</v>
      </c>
      <c r="F28" s="11" t="s">
        <v>0</v>
      </c>
      <c r="G28" s="12" t="s">
        <v>1333</v>
      </c>
      <c r="H28" t="s">
        <v>1334</v>
      </c>
    </row>
    <row r="29" spans="1:8" ht="14.5" x14ac:dyDescent="0.3">
      <c r="A29" s="10">
        <v>10</v>
      </c>
      <c r="B29" s="42" t="s">
        <v>392</v>
      </c>
      <c r="C29" s="42" t="s">
        <v>393</v>
      </c>
      <c r="D29">
        <f t="shared" si="0"/>
        <v>1</v>
      </c>
      <c r="E29" t="s">
        <v>1</v>
      </c>
      <c r="F29" s="6" t="s">
        <v>1</v>
      </c>
      <c r="G29" t="s">
        <v>1276</v>
      </c>
      <c r="H29" t="s">
        <v>1277</v>
      </c>
    </row>
    <row r="30" spans="1:8" ht="14.5" x14ac:dyDescent="0.3">
      <c r="A30" s="10">
        <v>10</v>
      </c>
      <c r="B30" s="42" t="s">
        <v>392</v>
      </c>
      <c r="C30" s="42" t="s">
        <v>393</v>
      </c>
      <c r="D30">
        <f t="shared" si="0"/>
        <v>0</v>
      </c>
      <c r="E30" t="s">
        <v>1</v>
      </c>
      <c r="F30" s="6" t="s">
        <v>0</v>
      </c>
      <c r="G30" t="s">
        <v>1278</v>
      </c>
      <c r="H30" t="s">
        <v>1279</v>
      </c>
    </row>
    <row r="31" spans="1:8" ht="14.5" x14ac:dyDescent="0.3">
      <c r="A31" s="10">
        <v>10</v>
      </c>
      <c r="B31" s="42" t="s">
        <v>392</v>
      </c>
      <c r="C31" s="42" t="s">
        <v>393</v>
      </c>
      <c r="D31">
        <f t="shared" si="0"/>
        <v>1</v>
      </c>
      <c r="E31" t="s">
        <v>1</v>
      </c>
      <c r="F31" s="6" t="s">
        <v>1</v>
      </c>
      <c r="G31" t="s">
        <v>88</v>
      </c>
      <c r="H31" t="s">
        <v>1280</v>
      </c>
    </row>
    <row r="32" spans="1:8" ht="14.5" x14ac:dyDescent="0.3">
      <c r="A32" s="10">
        <v>11</v>
      </c>
      <c r="B32" s="42" t="s">
        <v>366</v>
      </c>
      <c r="C32" s="42" t="s">
        <v>367</v>
      </c>
      <c r="D32">
        <f t="shared" si="0"/>
        <v>0</v>
      </c>
      <c r="E32" t="s">
        <v>1</v>
      </c>
      <c r="F32" s="6" t="s">
        <v>0</v>
      </c>
      <c r="G32" t="s">
        <v>1199</v>
      </c>
      <c r="H32" t="s">
        <v>1200</v>
      </c>
    </row>
    <row r="33" spans="1:8" ht="14.5" x14ac:dyDescent="0.3">
      <c r="A33" s="10">
        <v>11</v>
      </c>
      <c r="B33" s="42" t="s">
        <v>366</v>
      </c>
      <c r="C33" s="42" t="s">
        <v>367</v>
      </c>
      <c r="D33">
        <f t="shared" si="0"/>
        <v>0</v>
      </c>
      <c r="E33" t="s">
        <v>1</v>
      </c>
      <c r="F33" s="6" t="s">
        <v>0</v>
      </c>
      <c r="G33" t="s">
        <v>1201</v>
      </c>
      <c r="H33" t="s">
        <v>1202</v>
      </c>
    </row>
    <row r="34" spans="1:8" ht="14.5" x14ac:dyDescent="0.3">
      <c r="A34" s="10">
        <v>11</v>
      </c>
      <c r="B34" s="42" t="s">
        <v>366</v>
      </c>
      <c r="C34" s="42" t="s">
        <v>367</v>
      </c>
      <c r="D34">
        <f t="shared" ref="D34:D65" si="1">IF(F34=E34,1,0)</f>
        <v>0</v>
      </c>
      <c r="E34" t="s">
        <v>1</v>
      </c>
      <c r="F34" s="6" t="s">
        <v>0</v>
      </c>
      <c r="G34" t="s">
        <v>1203</v>
      </c>
      <c r="H34" t="s">
        <v>1204</v>
      </c>
    </row>
    <row r="35" spans="1:8" ht="14.5" x14ac:dyDescent="0.3">
      <c r="A35" s="44">
        <v>12</v>
      </c>
      <c r="B35" s="42" t="s">
        <v>382</v>
      </c>
      <c r="C35" s="42" t="s">
        <v>383</v>
      </c>
      <c r="D35">
        <f t="shared" si="1"/>
        <v>1</v>
      </c>
      <c r="E35" t="s">
        <v>1</v>
      </c>
      <c r="F35" s="6" t="s">
        <v>1</v>
      </c>
      <c r="G35" t="s">
        <v>1247</v>
      </c>
      <c r="H35" t="s">
        <v>1248</v>
      </c>
    </row>
    <row r="36" spans="1:8" ht="14.5" x14ac:dyDescent="0.3">
      <c r="A36" s="44">
        <v>12</v>
      </c>
      <c r="B36" s="42" t="s">
        <v>382</v>
      </c>
      <c r="C36" s="42" t="s">
        <v>383</v>
      </c>
      <c r="D36">
        <f t="shared" si="1"/>
        <v>0</v>
      </c>
      <c r="E36" t="s">
        <v>1</v>
      </c>
      <c r="F36" s="6" t="s">
        <v>5</v>
      </c>
      <c r="G36" t="s">
        <v>1249</v>
      </c>
      <c r="H36" t="s">
        <v>1250</v>
      </c>
    </row>
    <row r="37" spans="1:8" ht="14.5" x14ac:dyDescent="0.3">
      <c r="A37" s="44">
        <v>12</v>
      </c>
      <c r="B37" s="42" t="s">
        <v>382</v>
      </c>
      <c r="C37" s="42" t="s">
        <v>383</v>
      </c>
      <c r="D37">
        <f t="shared" si="1"/>
        <v>1</v>
      </c>
      <c r="E37" t="s">
        <v>1</v>
      </c>
      <c r="F37" s="6" t="s">
        <v>1</v>
      </c>
      <c r="G37" t="s">
        <v>1251</v>
      </c>
      <c r="H37" t="s">
        <v>1252</v>
      </c>
    </row>
    <row r="38" spans="1:8" ht="14.5" x14ac:dyDescent="0.3">
      <c r="A38" s="10">
        <v>13</v>
      </c>
      <c r="B38" s="42" t="s">
        <v>374</v>
      </c>
      <c r="C38" s="42" t="s">
        <v>375</v>
      </c>
      <c r="D38">
        <f t="shared" si="1"/>
        <v>0</v>
      </c>
      <c r="E38" t="s">
        <v>0</v>
      </c>
      <c r="F38" s="6" t="s">
        <v>1</v>
      </c>
      <c r="G38" t="s">
        <v>1223</v>
      </c>
      <c r="H38" t="s">
        <v>1224</v>
      </c>
    </row>
    <row r="39" spans="1:8" ht="14.5" x14ac:dyDescent="0.3">
      <c r="A39" s="10">
        <v>13</v>
      </c>
      <c r="B39" s="42" t="s">
        <v>374</v>
      </c>
      <c r="C39" s="42" t="s">
        <v>375</v>
      </c>
      <c r="D39">
        <f t="shared" si="1"/>
        <v>0</v>
      </c>
      <c r="E39" t="s">
        <v>0</v>
      </c>
      <c r="F39" s="6" t="s">
        <v>1</v>
      </c>
      <c r="G39" t="s">
        <v>1225</v>
      </c>
      <c r="H39" t="s">
        <v>1226</v>
      </c>
    </row>
    <row r="40" spans="1:8" ht="14.5" x14ac:dyDescent="0.3">
      <c r="A40" s="10">
        <v>13</v>
      </c>
      <c r="B40" s="42" t="s">
        <v>374</v>
      </c>
      <c r="C40" s="42" t="s">
        <v>375</v>
      </c>
      <c r="D40">
        <f t="shared" si="1"/>
        <v>1</v>
      </c>
      <c r="E40" t="s">
        <v>0</v>
      </c>
      <c r="F40" s="6" t="s">
        <v>0</v>
      </c>
      <c r="G40" t="s">
        <v>1227</v>
      </c>
      <c r="H40" t="s">
        <v>1228</v>
      </c>
    </row>
    <row r="41" spans="1:8" ht="14.5" x14ac:dyDescent="0.3">
      <c r="A41" s="10">
        <v>14</v>
      </c>
      <c r="B41" s="42" t="s">
        <v>376</v>
      </c>
      <c r="C41" s="42" t="s">
        <v>377</v>
      </c>
      <c r="D41">
        <f t="shared" si="1"/>
        <v>0</v>
      </c>
      <c r="E41" t="s">
        <v>1</v>
      </c>
      <c r="F41" s="6" t="s">
        <v>0</v>
      </c>
      <c r="G41" t="s">
        <v>1229</v>
      </c>
      <c r="H41" t="s">
        <v>1230</v>
      </c>
    </row>
    <row r="42" spans="1:8" ht="14.5" x14ac:dyDescent="0.3">
      <c r="A42" s="10">
        <v>14</v>
      </c>
      <c r="B42" s="42" t="s">
        <v>376</v>
      </c>
      <c r="C42" s="42" t="s">
        <v>377</v>
      </c>
      <c r="D42">
        <f t="shared" si="1"/>
        <v>0</v>
      </c>
      <c r="E42" t="s">
        <v>1</v>
      </c>
      <c r="F42" s="6" t="s">
        <v>0</v>
      </c>
      <c r="G42" t="s">
        <v>1231</v>
      </c>
      <c r="H42" t="s">
        <v>1232</v>
      </c>
    </row>
    <row r="43" spans="1:8" ht="14.5" x14ac:dyDescent="0.3">
      <c r="A43" s="10">
        <v>14</v>
      </c>
      <c r="B43" s="42" t="s">
        <v>376</v>
      </c>
      <c r="C43" s="42" t="s">
        <v>377</v>
      </c>
      <c r="D43">
        <f t="shared" si="1"/>
        <v>0</v>
      </c>
      <c r="E43" t="s">
        <v>1</v>
      </c>
      <c r="F43" s="6" t="s">
        <v>0</v>
      </c>
      <c r="G43" t="s">
        <v>1233</v>
      </c>
      <c r="H43" t="s">
        <v>1234</v>
      </c>
    </row>
    <row r="44" spans="1:8" ht="14.5" x14ac:dyDescent="0.3">
      <c r="A44" s="10">
        <v>15</v>
      </c>
      <c r="B44" s="42" t="s">
        <v>388</v>
      </c>
      <c r="C44" s="42" t="s">
        <v>389</v>
      </c>
      <c r="D44">
        <f t="shared" si="1"/>
        <v>0</v>
      </c>
      <c r="E44" t="s">
        <v>1</v>
      </c>
      <c r="F44" s="6" t="s">
        <v>0</v>
      </c>
      <c r="G44" t="s">
        <v>1265</v>
      </c>
      <c r="H44" t="s">
        <v>1266</v>
      </c>
    </row>
    <row r="45" spans="1:8" ht="14.5" x14ac:dyDescent="0.3">
      <c r="A45" s="10">
        <v>15</v>
      </c>
      <c r="B45" s="42" t="s">
        <v>388</v>
      </c>
      <c r="C45" s="42" t="s">
        <v>389</v>
      </c>
      <c r="D45">
        <f t="shared" si="1"/>
        <v>0</v>
      </c>
      <c r="E45" t="s">
        <v>1</v>
      </c>
      <c r="F45" s="6" t="s">
        <v>5</v>
      </c>
      <c r="G45" t="s">
        <v>1267</v>
      </c>
      <c r="H45" t="s">
        <v>1268</v>
      </c>
    </row>
    <row r="46" spans="1:8" ht="14.5" x14ac:dyDescent="0.3">
      <c r="A46" s="10">
        <v>15</v>
      </c>
      <c r="B46" s="42" t="s">
        <v>388</v>
      </c>
      <c r="C46" s="42" t="s">
        <v>389</v>
      </c>
      <c r="D46">
        <f t="shared" si="1"/>
        <v>1</v>
      </c>
      <c r="E46" t="s">
        <v>1</v>
      </c>
      <c r="F46" s="6" t="s">
        <v>1</v>
      </c>
      <c r="G46" t="s">
        <v>1269</v>
      </c>
      <c r="H46" t="s">
        <v>1270</v>
      </c>
    </row>
    <row r="47" spans="1:8" ht="14.5" x14ac:dyDescent="0.35">
      <c r="A47" s="10">
        <v>16</v>
      </c>
      <c r="B47" s="42" t="s">
        <v>414</v>
      </c>
      <c r="C47" s="42" t="s">
        <v>415</v>
      </c>
      <c r="D47">
        <f t="shared" si="1"/>
        <v>0</v>
      </c>
      <c r="E47" t="s">
        <v>5</v>
      </c>
      <c r="F47" s="11" t="s">
        <v>0</v>
      </c>
      <c r="G47" s="12" t="s">
        <v>1341</v>
      </c>
      <c r="H47" t="s">
        <v>1342</v>
      </c>
    </row>
    <row r="48" spans="1:8" ht="14.5" x14ac:dyDescent="0.35">
      <c r="A48" s="10">
        <v>16</v>
      </c>
      <c r="B48" s="42" t="s">
        <v>414</v>
      </c>
      <c r="C48" s="42" t="s">
        <v>415</v>
      </c>
      <c r="D48">
        <f t="shared" si="1"/>
        <v>1</v>
      </c>
      <c r="E48" t="s">
        <v>5</v>
      </c>
      <c r="F48" s="11" t="s">
        <v>5</v>
      </c>
      <c r="G48" s="12" t="s">
        <v>1923</v>
      </c>
      <c r="H48" t="s">
        <v>1343</v>
      </c>
    </row>
    <row r="49" spans="1:8" ht="14.5" x14ac:dyDescent="0.35">
      <c r="A49" s="10">
        <v>16</v>
      </c>
      <c r="B49" s="42" t="s">
        <v>414</v>
      </c>
      <c r="C49" s="42" t="s">
        <v>415</v>
      </c>
      <c r="D49">
        <f t="shared" si="1"/>
        <v>0</v>
      </c>
      <c r="E49" t="s">
        <v>5</v>
      </c>
      <c r="F49" s="11" t="s">
        <v>0</v>
      </c>
      <c r="G49" s="12" t="s">
        <v>1344</v>
      </c>
      <c r="H49" t="s">
        <v>1345</v>
      </c>
    </row>
    <row r="50" spans="1:8" ht="14.5" x14ac:dyDescent="0.3">
      <c r="A50" s="43">
        <v>17</v>
      </c>
      <c r="B50" s="42" t="s">
        <v>386</v>
      </c>
      <c r="C50" s="42" t="s">
        <v>387</v>
      </c>
      <c r="D50">
        <f t="shared" si="1"/>
        <v>0</v>
      </c>
      <c r="E50" t="s">
        <v>1</v>
      </c>
      <c r="F50" s="6" t="s">
        <v>0</v>
      </c>
      <c r="G50" t="s">
        <v>1259</v>
      </c>
      <c r="H50" t="s">
        <v>1260</v>
      </c>
    </row>
    <row r="51" spans="1:8" ht="14.5" x14ac:dyDescent="0.3">
      <c r="A51" s="43">
        <v>17</v>
      </c>
      <c r="B51" s="42" t="s">
        <v>386</v>
      </c>
      <c r="C51" s="42" t="s">
        <v>387</v>
      </c>
      <c r="D51">
        <f t="shared" si="1"/>
        <v>0</v>
      </c>
      <c r="E51" t="s">
        <v>1</v>
      </c>
      <c r="F51" s="6" t="s">
        <v>0</v>
      </c>
      <c r="G51" t="s">
        <v>1261</v>
      </c>
      <c r="H51" t="s">
        <v>1262</v>
      </c>
    </row>
    <row r="52" spans="1:8" ht="14.5" x14ac:dyDescent="0.3">
      <c r="A52" s="43">
        <v>17</v>
      </c>
      <c r="B52" s="42" t="s">
        <v>386</v>
      </c>
      <c r="C52" s="42" t="s">
        <v>387</v>
      </c>
      <c r="D52">
        <f t="shared" si="1"/>
        <v>1</v>
      </c>
      <c r="E52" t="s">
        <v>1</v>
      </c>
      <c r="F52" s="6" t="s">
        <v>1</v>
      </c>
      <c r="G52" t="s">
        <v>1263</v>
      </c>
      <c r="H52" t="s">
        <v>1264</v>
      </c>
    </row>
    <row r="53" spans="1:8" ht="14.5" x14ac:dyDescent="0.3">
      <c r="A53" s="10">
        <v>18</v>
      </c>
      <c r="B53" s="42" t="s">
        <v>370</v>
      </c>
      <c r="C53" s="42" t="s">
        <v>371</v>
      </c>
      <c r="D53">
        <f t="shared" si="1"/>
        <v>1</v>
      </c>
      <c r="E53" t="s">
        <v>1</v>
      </c>
      <c r="F53" s="6" t="s">
        <v>1</v>
      </c>
      <c r="G53" t="s">
        <v>1211</v>
      </c>
      <c r="H53" t="s">
        <v>1212</v>
      </c>
    </row>
    <row r="54" spans="1:8" ht="14.5" x14ac:dyDescent="0.3">
      <c r="A54" s="10">
        <v>18</v>
      </c>
      <c r="B54" s="42" t="s">
        <v>370</v>
      </c>
      <c r="C54" s="42" t="s">
        <v>371</v>
      </c>
      <c r="D54">
        <f t="shared" si="1"/>
        <v>0</v>
      </c>
      <c r="E54" t="s">
        <v>1</v>
      </c>
      <c r="F54" s="6" t="s">
        <v>5</v>
      </c>
      <c r="G54" t="s">
        <v>1213</v>
      </c>
      <c r="H54" t="s">
        <v>1214</v>
      </c>
    </row>
    <row r="55" spans="1:8" ht="14.5" x14ac:dyDescent="0.3">
      <c r="A55" s="10">
        <v>18</v>
      </c>
      <c r="B55" s="42" t="s">
        <v>370</v>
      </c>
      <c r="C55" s="42" t="s">
        <v>371</v>
      </c>
      <c r="D55">
        <f t="shared" si="1"/>
        <v>0</v>
      </c>
      <c r="E55" t="s">
        <v>1</v>
      </c>
      <c r="F55" s="6" t="s">
        <v>0</v>
      </c>
      <c r="G55" t="s">
        <v>1215</v>
      </c>
      <c r="H55" t="s">
        <v>1216</v>
      </c>
    </row>
    <row r="56" spans="1:8" ht="14.5" x14ac:dyDescent="0.3">
      <c r="A56" s="10">
        <v>19</v>
      </c>
      <c r="B56" s="42" t="s">
        <v>426</v>
      </c>
      <c r="C56" s="42" t="s">
        <v>427</v>
      </c>
      <c r="D56">
        <f t="shared" si="1"/>
        <v>1</v>
      </c>
      <c r="E56" t="s">
        <v>1</v>
      </c>
      <c r="F56" s="6" t="s">
        <v>1</v>
      </c>
      <c r="G56" t="s">
        <v>1376</v>
      </c>
      <c r="H56" t="s">
        <v>1377</v>
      </c>
    </row>
    <row r="57" spans="1:8" ht="14.5" x14ac:dyDescent="0.3">
      <c r="A57" s="10">
        <v>19</v>
      </c>
      <c r="B57" s="42" t="s">
        <v>426</v>
      </c>
      <c r="C57" s="42" t="s">
        <v>427</v>
      </c>
      <c r="D57">
        <f t="shared" si="1"/>
        <v>0</v>
      </c>
      <c r="E57" t="s">
        <v>1</v>
      </c>
      <c r="F57" s="6" t="s">
        <v>0</v>
      </c>
      <c r="G57" t="s">
        <v>1378</v>
      </c>
      <c r="H57" t="s">
        <v>1379</v>
      </c>
    </row>
    <row r="58" spans="1:8" ht="14.5" x14ac:dyDescent="0.3">
      <c r="A58" s="10">
        <v>19</v>
      </c>
      <c r="B58" s="42" t="s">
        <v>426</v>
      </c>
      <c r="C58" s="42" t="s">
        <v>427</v>
      </c>
      <c r="D58">
        <f t="shared" si="1"/>
        <v>0</v>
      </c>
      <c r="E58" t="s">
        <v>1</v>
      </c>
      <c r="F58" s="6" t="s">
        <v>0</v>
      </c>
      <c r="G58" t="s">
        <v>1380</v>
      </c>
      <c r="H58" t="s">
        <v>1381</v>
      </c>
    </row>
    <row r="59" spans="1:8" ht="14.5" x14ac:dyDescent="0.35">
      <c r="A59" s="10">
        <v>20</v>
      </c>
      <c r="B59" s="42" t="s">
        <v>398</v>
      </c>
      <c r="C59" s="42" t="s">
        <v>399</v>
      </c>
      <c r="D59">
        <f t="shared" si="1"/>
        <v>1</v>
      </c>
      <c r="E59" t="s">
        <v>0</v>
      </c>
      <c r="F59" s="11" t="s">
        <v>0</v>
      </c>
      <c r="G59" s="12" t="s">
        <v>1293</v>
      </c>
      <c r="H59" t="s">
        <v>1294</v>
      </c>
    </row>
    <row r="60" spans="1:8" ht="14.5" x14ac:dyDescent="0.35">
      <c r="A60" s="10">
        <v>20</v>
      </c>
      <c r="B60" s="42" t="s">
        <v>398</v>
      </c>
      <c r="C60" s="42" t="s">
        <v>399</v>
      </c>
      <c r="D60">
        <f t="shared" si="1"/>
        <v>0</v>
      </c>
      <c r="E60" t="s">
        <v>0</v>
      </c>
      <c r="F60" s="11" t="s">
        <v>1</v>
      </c>
      <c r="G60" s="12" t="s">
        <v>1295</v>
      </c>
      <c r="H60" t="s">
        <v>1296</v>
      </c>
    </row>
    <row r="61" spans="1:8" ht="14.5" x14ac:dyDescent="0.35">
      <c r="A61" s="10">
        <v>20</v>
      </c>
      <c r="B61" s="42" t="s">
        <v>398</v>
      </c>
      <c r="C61" s="42" t="s">
        <v>399</v>
      </c>
      <c r="D61">
        <f t="shared" si="1"/>
        <v>1</v>
      </c>
      <c r="E61" t="s">
        <v>0</v>
      </c>
      <c r="F61" s="11" t="s">
        <v>0</v>
      </c>
      <c r="G61" s="12" t="s">
        <v>1297</v>
      </c>
      <c r="H61" t="s">
        <v>1298</v>
      </c>
    </row>
    <row r="62" spans="1:8" ht="14.5" x14ac:dyDescent="0.35">
      <c r="A62" s="10">
        <v>21</v>
      </c>
      <c r="B62" s="42" t="s">
        <v>416</v>
      </c>
      <c r="C62" s="42" t="s">
        <v>417</v>
      </c>
      <c r="D62">
        <f t="shared" si="1"/>
        <v>0</v>
      </c>
      <c r="E62" t="s">
        <v>5</v>
      </c>
      <c r="F62" s="11" t="s">
        <v>1</v>
      </c>
      <c r="G62" s="12" t="s">
        <v>1346</v>
      </c>
      <c r="H62" t="s">
        <v>1347</v>
      </c>
    </row>
    <row r="63" spans="1:8" ht="14.5" x14ac:dyDescent="0.35">
      <c r="A63" s="10">
        <v>21</v>
      </c>
      <c r="B63" s="42" t="s">
        <v>416</v>
      </c>
      <c r="C63" s="42" t="s">
        <v>417</v>
      </c>
      <c r="D63">
        <f t="shared" si="1"/>
        <v>1</v>
      </c>
      <c r="E63" t="s">
        <v>5</v>
      </c>
      <c r="F63" s="11" t="s">
        <v>5</v>
      </c>
      <c r="G63" s="12" t="s">
        <v>1348</v>
      </c>
      <c r="H63" t="s">
        <v>1349</v>
      </c>
    </row>
    <row r="64" spans="1:8" ht="14.5" x14ac:dyDescent="0.35">
      <c r="A64" s="10">
        <v>21</v>
      </c>
      <c r="B64" s="42" t="s">
        <v>416</v>
      </c>
      <c r="C64" s="42" t="s">
        <v>417</v>
      </c>
      <c r="D64">
        <f t="shared" si="1"/>
        <v>0</v>
      </c>
      <c r="E64" t="s">
        <v>5</v>
      </c>
      <c r="F64" s="11" t="s">
        <v>1</v>
      </c>
      <c r="G64" s="12" t="s">
        <v>1350</v>
      </c>
      <c r="H64" t="s">
        <v>1351</v>
      </c>
    </row>
    <row r="65" spans="1:8" ht="14.5" x14ac:dyDescent="0.3">
      <c r="A65" s="10">
        <v>22</v>
      </c>
      <c r="B65" s="42" t="s">
        <v>424</v>
      </c>
      <c r="C65" s="42" t="s">
        <v>425</v>
      </c>
      <c r="D65">
        <f t="shared" si="1"/>
        <v>1</v>
      </c>
      <c r="E65" t="s">
        <v>0</v>
      </c>
      <c r="F65" s="6" t="s">
        <v>0</v>
      </c>
      <c r="G65" t="s">
        <v>1370</v>
      </c>
      <c r="H65" t="s">
        <v>1371</v>
      </c>
    </row>
    <row r="66" spans="1:8" ht="14.5" x14ac:dyDescent="0.3">
      <c r="A66" s="10">
        <v>22</v>
      </c>
      <c r="B66" s="42" t="s">
        <v>424</v>
      </c>
      <c r="C66" s="42" t="s">
        <v>425</v>
      </c>
      <c r="D66">
        <f t="shared" ref="D66:D97" si="2">IF(F66=E66,1,0)</f>
        <v>1</v>
      </c>
      <c r="E66" t="s">
        <v>0</v>
      </c>
      <c r="F66" s="6" t="s">
        <v>0</v>
      </c>
      <c r="G66" t="s">
        <v>1372</v>
      </c>
      <c r="H66" t="s">
        <v>1373</v>
      </c>
    </row>
    <row r="67" spans="1:8" ht="14.5" x14ac:dyDescent="0.3">
      <c r="A67" s="10">
        <v>22</v>
      </c>
      <c r="B67" s="42" t="s">
        <v>424</v>
      </c>
      <c r="C67" s="42" t="s">
        <v>425</v>
      </c>
      <c r="D67">
        <f t="shared" si="2"/>
        <v>1</v>
      </c>
      <c r="E67" t="s">
        <v>0</v>
      </c>
      <c r="F67" s="6" t="s">
        <v>0</v>
      </c>
      <c r="G67" t="s">
        <v>1374</v>
      </c>
      <c r="H67" t="s">
        <v>1375</v>
      </c>
    </row>
    <row r="68" spans="1:8" ht="14.5" x14ac:dyDescent="0.35">
      <c r="A68" s="10">
        <v>23</v>
      </c>
      <c r="B68" s="42" t="s">
        <v>412</v>
      </c>
      <c r="C68" s="42" t="s">
        <v>413</v>
      </c>
      <c r="D68">
        <f t="shared" si="2"/>
        <v>1</v>
      </c>
      <c r="E68" t="s">
        <v>0</v>
      </c>
      <c r="F68" s="11" t="s">
        <v>0</v>
      </c>
      <c r="G68" s="12" t="s">
        <v>1335</v>
      </c>
      <c r="H68" t="s">
        <v>1336</v>
      </c>
    </row>
    <row r="69" spans="1:8" ht="14.5" x14ac:dyDescent="0.35">
      <c r="A69" s="10">
        <v>23</v>
      </c>
      <c r="B69" s="42" t="s">
        <v>412</v>
      </c>
      <c r="C69" s="42" t="s">
        <v>413</v>
      </c>
      <c r="D69">
        <f t="shared" si="2"/>
        <v>0</v>
      </c>
      <c r="E69" t="s">
        <v>0</v>
      </c>
      <c r="F69" s="11" t="s">
        <v>1</v>
      </c>
      <c r="G69" s="12" t="s">
        <v>1337</v>
      </c>
      <c r="H69" t="s">
        <v>1338</v>
      </c>
    </row>
    <row r="70" spans="1:8" ht="14.5" x14ac:dyDescent="0.35">
      <c r="A70" s="10">
        <v>23</v>
      </c>
      <c r="B70" s="42" t="s">
        <v>412</v>
      </c>
      <c r="C70" s="42" t="s">
        <v>413</v>
      </c>
      <c r="D70">
        <f t="shared" si="2"/>
        <v>1</v>
      </c>
      <c r="E70" t="s">
        <v>0</v>
      </c>
      <c r="F70" s="11" t="s">
        <v>0</v>
      </c>
      <c r="G70" s="12" t="s">
        <v>1339</v>
      </c>
      <c r="H70" t="s">
        <v>1340</v>
      </c>
    </row>
    <row r="71" spans="1:8" ht="14.5" x14ac:dyDescent="0.35">
      <c r="A71" s="10">
        <v>24</v>
      </c>
      <c r="B71" s="42" t="s">
        <v>404</v>
      </c>
      <c r="C71" s="42" t="s">
        <v>405</v>
      </c>
      <c r="D71">
        <f t="shared" si="2"/>
        <v>0</v>
      </c>
      <c r="E71" t="s">
        <v>1</v>
      </c>
      <c r="F71" s="11" t="s">
        <v>0</v>
      </c>
      <c r="G71" s="12" t="s">
        <v>1311</v>
      </c>
      <c r="H71" t="s">
        <v>1312</v>
      </c>
    </row>
    <row r="72" spans="1:8" ht="14.5" x14ac:dyDescent="0.35">
      <c r="A72" s="10">
        <v>24</v>
      </c>
      <c r="B72" s="42" t="s">
        <v>404</v>
      </c>
      <c r="C72" s="42" t="s">
        <v>405</v>
      </c>
      <c r="D72">
        <f t="shared" si="2"/>
        <v>1</v>
      </c>
      <c r="E72" t="s">
        <v>1</v>
      </c>
      <c r="F72" s="11" t="s">
        <v>1</v>
      </c>
      <c r="G72" s="12" t="s">
        <v>1313</v>
      </c>
      <c r="H72" t="s">
        <v>1314</v>
      </c>
    </row>
    <row r="73" spans="1:8" ht="14.5" x14ac:dyDescent="0.35">
      <c r="A73" s="10">
        <v>24</v>
      </c>
      <c r="B73" s="42" t="s">
        <v>404</v>
      </c>
      <c r="C73" s="42" t="s">
        <v>405</v>
      </c>
      <c r="D73">
        <f t="shared" si="2"/>
        <v>0</v>
      </c>
      <c r="E73" t="s">
        <v>1</v>
      </c>
      <c r="F73" s="11" t="s">
        <v>0</v>
      </c>
      <c r="G73" s="12" t="s">
        <v>1315</v>
      </c>
      <c r="H73" t="s">
        <v>1316</v>
      </c>
    </row>
    <row r="74" spans="1:8" ht="14.5" x14ac:dyDescent="0.3">
      <c r="A74" s="10">
        <v>25</v>
      </c>
      <c r="B74" s="42" t="s">
        <v>390</v>
      </c>
      <c r="C74" s="42" t="s">
        <v>391</v>
      </c>
      <c r="D74">
        <f t="shared" si="2"/>
        <v>0</v>
      </c>
      <c r="E74" t="s">
        <v>0</v>
      </c>
      <c r="F74" s="6" t="s">
        <v>1</v>
      </c>
      <c r="G74" t="s">
        <v>1271</v>
      </c>
      <c r="H74" t="s">
        <v>1272</v>
      </c>
    </row>
    <row r="75" spans="1:8" ht="14.5" x14ac:dyDescent="0.3">
      <c r="A75" s="10">
        <v>25</v>
      </c>
      <c r="B75" s="42" t="s">
        <v>390</v>
      </c>
      <c r="C75" s="42" t="s">
        <v>391</v>
      </c>
      <c r="D75">
        <f t="shared" si="2"/>
        <v>1</v>
      </c>
      <c r="E75" t="s">
        <v>0</v>
      </c>
      <c r="F75" s="6" t="s">
        <v>0</v>
      </c>
      <c r="G75" t="s">
        <v>1273</v>
      </c>
      <c r="H75" t="s">
        <v>1274</v>
      </c>
    </row>
    <row r="76" spans="1:8" ht="14.5" x14ac:dyDescent="0.3">
      <c r="A76" s="10">
        <v>25</v>
      </c>
      <c r="B76" s="42" t="s">
        <v>390</v>
      </c>
      <c r="C76" s="42" t="s">
        <v>391</v>
      </c>
      <c r="D76">
        <f t="shared" si="2"/>
        <v>0</v>
      </c>
      <c r="E76" t="s">
        <v>0</v>
      </c>
      <c r="F76" s="6" t="s">
        <v>1</v>
      </c>
      <c r="G76" t="s">
        <v>88</v>
      </c>
      <c r="H76" t="s">
        <v>1275</v>
      </c>
    </row>
    <row r="77" spans="1:8" ht="14.5" x14ac:dyDescent="0.35">
      <c r="A77" s="10">
        <v>26</v>
      </c>
      <c r="B77" s="42" t="s">
        <v>418</v>
      </c>
      <c r="C77" s="42" t="s">
        <v>419</v>
      </c>
      <c r="D77">
        <f t="shared" si="2"/>
        <v>0</v>
      </c>
      <c r="E77" t="s">
        <v>5</v>
      </c>
      <c r="F77" s="11" t="s">
        <v>1</v>
      </c>
      <c r="G77" s="12" t="s">
        <v>1352</v>
      </c>
      <c r="H77" t="s">
        <v>1353</v>
      </c>
    </row>
    <row r="78" spans="1:8" ht="14.5" x14ac:dyDescent="0.35">
      <c r="A78" s="10">
        <v>26</v>
      </c>
      <c r="B78" s="42" t="s">
        <v>418</v>
      </c>
      <c r="C78" s="42" t="s">
        <v>419</v>
      </c>
      <c r="D78">
        <f t="shared" si="2"/>
        <v>0</v>
      </c>
      <c r="E78" t="s">
        <v>5</v>
      </c>
      <c r="F78" s="11" t="s">
        <v>1</v>
      </c>
      <c r="G78" s="12" t="s">
        <v>1354</v>
      </c>
      <c r="H78" t="s">
        <v>1355</v>
      </c>
    </row>
    <row r="79" spans="1:8" ht="14.5" x14ac:dyDescent="0.35">
      <c r="A79" s="10">
        <v>26</v>
      </c>
      <c r="B79" s="42" t="s">
        <v>418</v>
      </c>
      <c r="C79" s="42" t="s">
        <v>419</v>
      </c>
      <c r="D79">
        <f t="shared" si="2"/>
        <v>0</v>
      </c>
      <c r="E79" t="s">
        <v>5</v>
      </c>
      <c r="F79" s="11" t="s">
        <v>0</v>
      </c>
      <c r="G79" s="12" t="s">
        <v>1356</v>
      </c>
      <c r="H79" t="s">
        <v>1357</v>
      </c>
    </row>
    <row r="80" spans="1:8" ht="14.5" x14ac:dyDescent="0.3">
      <c r="A80" s="10">
        <v>27</v>
      </c>
      <c r="B80" s="42" t="s">
        <v>364</v>
      </c>
      <c r="C80" s="42" t="s">
        <v>365</v>
      </c>
      <c r="D80">
        <f t="shared" si="2"/>
        <v>0</v>
      </c>
      <c r="E80" t="s">
        <v>0</v>
      </c>
      <c r="F80" s="6" t="s">
        <v>1</v>
      </c>
      <c r="G80" t="s">
        <v>1193</v>
      </c>
      <c r="H80" t="s">
        <v>1194</v>
      </c>
    </row>
    <row r="81" spans="1:8" ht="14.5" x14ac:dyDescent="0.3">
      <c r="A81" s="10">
        <v>27</v>
      </c>
      <c r="B81" s="42" t="s">
        <v>364</v>
      </c>
      <c r="C81" s="42" t="s">
        <v>365</v>
      </c>
      <c r="D81">
        <f t="shared" si="2"/>
        <v>1</v>
      </c>
      <c r="E81" t="s">
        <v>0</v>
      </c>
      <c r="F81" s="6" t="s">
        <v>0</v>
      </c>
      <c r="G81" t="s">
        <v>1195</v>
      </c>
      <c r="H81" t="s">
        <v>1196</v>
      </c>
    </row>
    <row r="82" spans="1:8" ht="14.5" x14ac:dyDescent="0.3">
      <c r="A82" s="10">
        <v>27</v>
      </c>
      <c r="B82" s="42" t="s">
        <v>364</v>
      </c>
      <c r="C82" s="42" t="s">
        <v>365</v>
      </c>
      <c r="D82">
        <f t="shared" si="2"/>
        <v>0</v>
      </c>
      <c r="E82" t="s">
        <v>0</v>
      </c>
      <c r="F82" s="6" t="s">
        <v>5</v>
      </c>
      <c r="G82" t="s">
        <v>1197</v>
      </c>
      <c r="H82" t="s">
        <v>1198</v>
      </c>
    </row>
    <row r="83" spans="1:8" ht="14.5" x14ac:dyDescent="0.35">
      <c r="A83" s="10">
        <v>28</v>
      </c>
      <c r="B83" s="42" t="s">
        <v>396</v>
      </c>
      <c r="C83" s="42" t="s">
        <v>397</v>
      </c>
      <c r="D83">
        <f t="shared" si="2"/>
        <v>1</v>
      </c>
      <c r="E83" t="s">
        <v>0</v>
      </c>
      <c r="F83" s="11" t="s">
        <v>0</v>
      </c>
      <c r="G83" s="12" t="s">
        <v>1287</v>
      </c>
      <c r="H83" t="s">
        <v>1288</v>
      </c>
    </row>
    <row r="84" spans="1:8" ht="14.5" x14ac:dyDescent="0.35">
      <c r="A84" s="10">
        <v>28</v>
      </c>
      <c r="B84" s="42" t="s">
        <v>396</v>
      </c>
      <c r="C84" s="42" t="s">
        <v>397</v>
      </c>
      <c r="D84">
        <f t="shared" si="2"/>
        <v>0</v>
      </c>
      <c r="E84" t="s">
        <v>0</v>
      </c>
      <c r="F84" s="11" t="s">
        <v>5</v>
      </c>
      <c r="G84" s="12" t="s">
        <v>1289</v>
      </c>
      <c r="H84" t="s">
        <v>1290</v>
      </c>
    </row>
    <row r="85" spans="1:8" ht="14.5" x14ac:dyDescent="0.35">
      <c r="A85" s="10">
        <v>28</v>
      </c>
      <c r="B85" s="42" t="s">
        <v>396</v>
      </c>
      <c r="C85" s="42" t="s">
        <v>397</v>
      </c>
      <c r="D85">
        <f t="shared" si="2"/>
        <v>1</v>
      </c>
      <c r="E85" t="s">
        <v>0</v>
      </c>
      <c r="F85" s="11" t="s">
        <v>0</v>
      </c>
      <c r="G85" s="12" t="s">
        <v>1291</v>
      </c>
      <c r="H85" t="s">
        <v>1292</v>
      </c>
    </row>
    <row r="86" spans="1:8" ht="14.5" x14ac:dyDescent="0.35">
      <c r="A86" s="10">
        <v>29</v>
      </c>
      <c r="B86" s="42" t="s">
        <v>406</v>
      </c>
      <c r="C86" s="42" t="s">
        <v>407</v>
      </c>
      <c r="D86">
        <f t="shared" si="2"/>
        <v>0</v>
      </c>
      <c r="E86" t="s">
        <v>1</v>
      </c>
      <c r="F86" s="11" t="s">
        <v>0</v>
      </c>
      <c r="G86" s="12" t="s">
        <v>1317</v>
      </c>
      <c r="H86" t="s">
        <v>1318</v>
      </c>
    </row>
    <row r="87" spans="1:8" ht="14.5" x14ac:dyDescent="0.35">
      <c r="A87" s="10">
        <v>29</v>
      </c>
      <c r="B87" s="42" t="s">
        <v>406</v>
      </c>
      <c r="C87" s="42" t="s">
        <v>407</v>
      </c>
      <c r="D87">
        <f t="shared" si="2"/>
        <v>1</v>
      </c>
      <c r="E87" t="s">
        <v>1</v>
      </c>
      <c r="F87" s="11" t="s">
        <v>1</v>
      </c>
      <c r="G87" s="12" t="s">
        <v>1319</v>
      </c>
      <c r="H87" t="s">
        <v>1320</v>
      </c>
    </row>
    <row r="88" spans="1:8" ht="14.5" x14ac:dyDescent="0.35">
      <c r="A88" s="10">
        <v>29</v>
      </c>
      <c r="B88" s="42" t="s">
        <v>406</v>
      </c>
      <c r="C88" s="42" t="s">
        <v>407</v>
      </c>
      <c r="D88">
        <f t="shared" si="2"/>
        <v>0</v>
      </c>
      <c r="E88" t="s">
        <v>1</v>
      </c>
      <c r="F88" s="11" t="s">
        <v>0</v>
      </c>
      <c r="G88" s="12" t="s">
        <v>1321</v>
      </c>
      <c r="H88" t="s">
        <v>1322</v>
      </c>
    </row>
    <row r="89" spans="1:8" ht="14.5" x14ac:dyDescent="0.35">
      <c r="A89" s="10">
        <v>30</v>
      </c>
      <c r="B89" s="42" t="s">
        <v>400</v>
      </c>
      <c r="C89" s="42" t="s">
        <v>401</v>
      </c>
      <c r="D89">
        <f t="shared" si="2"/>
        <v>0</v>
      </c>
      <c r="E89" t="s">
        <v>1</v>
      </c>
      <c r="F89" s="11" t="s">
        <v>0</v>
      </c>
      <c r="G89" s="12" t="s">
        <v>1299</v>
      </c>
      <c r="H89" t="s">
        <v>1300</v>
      </c>
    </row>
    <row r="90" spans="1:8" ht="14.5" x14ac:dyDescent="0.35">
      <c r="A90" s="10">
        <v>30</v>
      </c>
      <c r="B90" s="42" t="s">
        <v>400</v>
      </c>
      <c r="C90" s="42" t="s">
        <v>401</v>
      </c>
      <c r="D90">
        <f t="shared" si="2"/>
        <v>0</v>
      </c>
      <c r="E90" t="s">
        <v>1</v>
      </c>
      <c r="F90" s="11" t="s">
        <v>5</v>
      </c>
      <c r="G90" s="12" t="s">
        <v>1301</v>
      </c>
      <c r="H90" t="s">
        <v>1302</v>
      </c>
    </row>
    <row r="91" spans="1:8" ht="14.5" x14ac:dyDescent="0.35">
      <c r="A91" s="10">
        <v>30</v>
      </c>
      <c r="B91" s="42" t="s">
        <v>400</v>
      </c>
      <c r="C91" s="42" t="s">
        <v>401</v>
      </c>
      <c r="D91">
        <f t="shared" si="2"/>
        <v>0</v>
      </c>
      <c r="E91" t="s">
        <v>1</v>
      </c>
      <c r="F91" s="11" t="s">
        <v>0</v>
      </c>
      <c r="G91" s="12" t="s">
        <v>1303</v>
      </c>
      <c r="H91" t="s">
        <v>1304</v>
      </c>
    </row>
    <row r="92" spans="1:8" ht="14.5" x14ac:dyDescent="0.35">
      <c r="A92" s="10">
        <v>31</v>
      </c>
      <c r="B92" s="42" t="s">
        <v>420</v>
      </c>
      <c r="C92" s="42" t="s">
        <v>421</v>
      </c>
      <c r="D92">
        <f t="shared" si="2"/>
        <v>1</v>
      </c>
      <c r="E92" t="s">
        <v>1</v>
      </c>
      <c r="F92" s="11" t="s">
        <v>1</v>
      </c>
      <c r="G92" s="12" t="s">
        <v>1358</v>
      </c>
      <c r="H92" t="s">
        <v>1359</v>
      </c>
    </row>
    <row r="93" spans="1:8" ht="14.5" x14ac:dyDescent="0.35">
      <c r="A93" s="10">
        <v>31</v>
      </c>
      <c r="B93" s="42" t="s">
        <v>420</v>
      </c>
      <c r="C93" s="42" t="s">
        <v>421</v>
      </c>
      <c r="D93">
        <f t="shared" si="2"/>
        <v>1</v>
      </c>
      <c r="E93" t="s">
        <v>1</v>
      </c>
      <c r="F93" s="11" t="s">
        <v>1</v>
      </c>
      <c r="G93" s="12" t="s">
        <v>1360</v>
      </c>
      <c r="H93" t="s">
        <v>1361</v>
      </c>
    </row>
    <row r="94" spans="1:8" ht="14.5" x14ac:dyDescent="0.35">
      <c r="A94" s="10">
        <v>31</v>
      </c>
      <c r="B94" s="42" t="s">
        <v>420</v>
      </c>
      <c r="C94" s="42" t="s">
        <v>421</v>
      </c>
      <c r="D94">
        <f t="shared" si="2"/>
        <v>0</v>
      </c>
      <c r="E94" t="s">
        <v>1</v>
      </c>
      <c r="F94" s="11" t="s">
        <v>0</v>
      </c>
      <c r="G94" s="12" t="s">
        <v>1362</v>
      </c>
      <c r="H94" t="s">
        <v>1363</v>
      </c>
    </row>
    <row r="95" spans="1:8" ht="14.5" x14ac:dyDescent="0.3">
      <c r="A95" s="10">
        <v>32</v>
      </c>
      <c r="B95" s="42" t="s">
        <v>428</v>
      </c>
      <c r="C95" s="42" t="s">
        <v>429</v>
      </c>
      <c r="D95">
        <f t="shared" si="2"/>
        <v>0</v>
      </c>
      <c r="E95" t="s">
        <v>0</v>
      </c>
      <c r="F95" s="6" t="s">
        <v>5</v>
      </c>
      <c r="G95" t="s">
        <v>1382</v>
      </c>
      <c r="H95" t="s">
        <v>1383</v>
      </c>
    </row>
    <row r="96" spans="1:8" ht="14.5" x14ac:dyDescent="0.3">
      <c r="A96" s="10">
        <v>32</v>
      </c>
      <c r="B96" s="42" t="s">
        <v>428</v>
      </c>
      <c r="C96" s="42" t="s">
        <v>429</v>
      </c>
      <c r="D96">
        <f t="shared" si="2"/>
        <v>1</v>
      </c>
      <c r="E96" t="s">
        <v>0</v>
      </c>
      <c r="F96" s="6" t="s">
        <v>0</v>
      </c>
      <c r="G96" t="s">
        <v>1384</v>
      </c>
      <c r="H96" t="s">
        <v>1385</v>
      </c>
    </row>
    <row r="97" spans="1:8" ht="14.5" x14ac:dyDescent="0.3">
      <c r="A97" s="10">
        <v>32</v>
      </c>
      <c r="B97" s="42" t="s">
        <v>428</v>
      </c>
      <c r="C97" s="42" t="s">
        <v>429</v>
      </c>
      <c r="D97">
        <f t="shared" si="2"/>
        <v>0</v>
      </c>
      <c r="E97" t="s">
        <v>0</v>
      </c>
      <c r="F97" s="6" t="s">
        <v>1</v>
      </c>
      <c r="G97" t="s">
        <v>1386</v>
      </c>
      <c r="H97" t="s">
        <v>1387</v>
      </c>
    </row>
    <row r="98" spans="1:8" ht="14.5" x14ac:dyDescent="0.35">
      <c r="A98" s="10">
        <v>33</v>
      </c>
      <c r="B98" s="42" t="s">
        <v>422</v>
      </c>
      <c r="C98" s="42" t="s">
        <v>423</v>
      </c>
      <c r="D98">
        <f t="shared" ref="D98:D129" si="3">IF(F98=E98,1,0)</f>
        <v>0</v>
      </c>
      <c r="E98" t="s">
        <v>5</v>
      </c>
      <c r="F98" s="11" t="s">
        <v>1</v>
      </c>
      <c r="G98" s="12" t="s">
        <v>1364</v>
      </c>
      <c r="H98" t="s">
        <v>1365</v>
      </c>
    </row>
    <row r="99" spans="1:8" ht="14.5" x14ac:dyDescent="0.35">
      <c r="A99" s="10">
        <v>33</v>
      </c>
      <c r="B99" s="42" t="s">
        <v>422</v>
      </c>
      <c r="C99" s="42" t="s">
        <v>423</v>
      </c>
      <c r="D99">
        <f t="shared" si="3"/>
        <v>0</v>
      </c>
      <c r="E99" t="s">
        <v>5</v>
      </c>
      <c r="F99" s="11" t="s">
        <v>1</v>
      </c>
      <c r="G99" s="12" t="s">
        <v>1366</v>
      </c>
      <c r="H99" t="s">
        <v>1367</v>
      </c>
    </row>
    <row r="100" spans="1:8" ht="14.5" x14ac:dyDescent="0.35">
      <c r="A100" s="10">
        <v>33</v>
      </c>
      <c r="B100" s="42" t="s">
        <v>422</v>
      </c>
      <c r="C100" s="42" t="s">
        <v>423</v>
      </c>
      <c r="D100">
        <f t="shared" si="3"/>
        <v>0</v>
      </c>
      <c r="E100" t="s">
        <v>5</v>
      </c>
      <c r="F100" s="11" t="s">
        <v>0</v>
      </c>
      <c r="G100" s="12" t="s">
        <v>1368</v>
      </c>
      <c r="H100" t="s">
        <v>1369</v>
      </c>
    </row>
    <row r="101" spans="1:8" ht="14.5" x14ac:dyDescent="0.3">
      <c r="A101" s="10">
        <v>34</v>
      </c>
      <c r="B101" s="42" t="s">
        <v>430</v>
      </c>
      <c r="C101" s="42" t="s">
        <v>431</v>
      </c>
      <c r="D101">
        <f t="shared" si="3"/>
        <v>0</v>
      </c>
      <c r="E101" t="s">
        <v>1</v>
      </c>
      <c r="F101" s="6" t="s">
        <v>5</v>
      </c>
      <c r="G101" t="s">
        <v>1388</v>
      </c>
      <c r="H101" t="s">
        <v>1389</v>
      </c>
    </row>
    <row r="102" spans="1:8" ht="14.5" x14ac:dyDescent="0.3">
      <c r="A102" s="10">
        <v>34</v>
      </c>
      <c r="B102" s="42" t="s">
        <v>430</v>
      </c>
      <c r="C102" s="42" t="s">
        <v>431</v>
      </c>
      <c r="D102">
        <f t="shared" si="3"/>
        <v>1</v>
      </c>
      <c r="E102" t="s">
        <v>1</v>
      </c>
      <c r="F102" s="6" t="s">
        <v>1</v>
      </c>
      <c r="G102" t="s">
        <v>1390</v>
      </c>
      <c r="H102" t="s">
        <v>1391</v>
      </c>
    </row>
    <row r="103" spans="1:8" ht="14.5" x14ac:dyDescent="0.3">
      <c r="A103" s="10">
        <v>34</v>
      </c>
      <c r="B103" s="42" t="s">
        <v>430</v>
      </c>
      <c r="C103" s="42" t="s">
        <v>431</v>
      </c>
      <c r="D103">
        <f t="shared" si="3"/>
        <v>1</v>
      </c>
      <c r="E103" t="s">
        <v>1</v>
      </c>
      <c r="F103" s="6" t="s">
        <v>1</v>
      </c>
      <c r="G103" t="s">
        <v>1392</v>
      </c>
      <c r="H103" t="s">
        <v>1393</v>
      </c>
    </row>
    <row r="104" spans="1:8" ht="14.5" x14ac:dyDescent="0.3">
      <c r="A104" s="10">
        <v>35</v>
      </c>
      <c r="B104" s="42" t="s">
        <v>432</v>
      </c>
      <c r="C104" s="42" t="s">
        <v>433</v>
      </c>
      <c r="D104">
        <f t="shared" si="3"/>
        <v>0</v>
      </c>
      <c r="E104" t="s">
        <v>1</v>
      </c>
      <c r="F104" s="6" t="s">
        <v>0</v>
      </c>
      <c r="G104" t="s">
        <v>1394</v>
      </c>
      <c r="H104" t="s">
        <v>1395</v>
      </c>
    </row>
    <row r="105" spans="1:8" ht="14.5" x14ac:dyDescent="0.3">
      <c r="A105" s="10">
        <v>35</v>
      </c>
      <c r="B105" s="42" t="s">
        <v>432</v>
      </c>
      <c r="C105" s="42" t="s">
        <v>433</v>
      </c>
      <c r="D105">
        <f t="shared" si="3"/>
        <v>1</v>
      </c>
      <c r="E105" t="s">
        <v>1</v>
      </c>
      <c r="F105" s="6" t="s">
        <v>1</v>
      </c>
      <c r="G105" t="s">
        <v>1396</v>
      </c>
      <c r="H105" t="s">
        <v>1397</v>
      </c>
    </row>
    <row r="106" spans="1:8" ht="14.5" x14ac:dyDescent="0.3">
      <c r="A106" s="10">
        <v>35</v>
      </c>
      <c r="B106" s="42" t="s">
        <v>432</v>
      </c>
      <c r="C106" s="42" t="s">
        <v>433</v>
      </c>
      <c r="D106">
        <f t="shared" si="3"/>
        <v>1</v>
      </c>
      <c r="E106" t="s">
        <v>1</v>
      </c>
      <c r="F106" s="6" t="s">
        <v>1</v>
      </c>
      <c r="G106" t="s">
        <v>1398</v>
      </c>
      <c r="H106" t="s">
        <v>1399</v>
      </c>
    </row>
    <row r="107" spans="1:8" ht="14.5" x14ac:dyDescent="0.3">
      <c r="A107" s="10">
        <v>36</v>
      </c>
      <c r="B107" s="42" t="s">
        <v>434</v>
      </c>
      <c r="C107" s="42" t="s">
        <v>435</v>
      </c>
      <c r="D107">
        <f t="shared" si="3"/>
        <v>1</v>
      </c>
      <c r="E107" t="s">
        <v>0</v>
      </c>
      <c r="F107" s="6" t="s">
        <v>0</v>
      </c>
      <c r="G107" t="s">
        <v>1400</v>
      </c>
      <c r="H107" t="s">
        <v>1401</v>
      </c>
    </row>
    <row r="108" spans="1:8" ht="14.5" x14ac:dyDescent="0.3">
      <c r="A108" s="10">
        <v>36</v>
      </c>
      <c r="B108" s="42" t="s">
        <v>434</v>
      </c>
      <c r="C108" s="42" t="s">
        <v>435</v>
      </c>
      <c r="D108">
        <f t="shared" si="3"/>
        <v>1</v>
      </c>
      <c r="E108" t="s">
        <v>0</v>
      </c>
      <c r="F108" s="6" t="s">
        <v>0</v>
      </c>
      <c r="G108" t="s">
        <v>1402</v>
      </c>
      <c r="H108" t="s">
        <v>1403</v>
      </c>
    </row>
    <row r="109" spans="1:8" ht="14.5" x14ac:dyDescent="0.3">
      <c r="A109" s="10">
        <v>36</v>
      </c>
      <c r="B109" s="42" t="s">
        <v>434</v>
      </c>
      <c r="C109" s="42" t="s">
        <v>435</v>
      </c>
      <c r="D109">
        <f t="shared" si="3"/>
        <v>1</v>
      </c>
      <c r="E109" t="s">
        <v>0</v>
      </c>
      <c r="F109" s="6" t="s">
        <v>0</v>
      </c>
      <c r="G109" t="s">
        <v>1404</v>
      </c>
      <c r="H109" t="s">
        <v>1405</v>
      </c>
    </row>
    <row r="110" spans="1:8" ht="14.5" x14ac:dyDescent="0.3">
      <c r="A110" s="10">
        <v>37</v>
      </c>
      <c r="B110" s="42" t="s">
        <v>436</v>
      </c>
      <c r="C110" s="42" t="s">
        <v>437</v>
      </c>
      <c r="D110">
        <f t="shared" si="3"/>
        <v>1</v>
      </c>
      <c r="E110" t="s">
        <v>1</v>
      </c>
      <c r="F110" s="6" t="s">
        <v>1</v>
      </c>
      <c r="G110" t="s">
        <v>1406</v>
      </c>
      <c r="H110" t="s">
        <v>1407</v>
      </c>
    </row>
    <row r="111" spans="1:8" ht="14.5" x14ac:dyDescent="0.3">
      <c r="A111" s="10">
        <v>37</v>
      </c>
      <c r="B111" s="42" t="s">
        <v>436</v>
      </c>
      <c r="C111" s="42" t="s">
        <v>437</v>
      </c>
      <c r="D111">
        <f t="shared" si="3"/>
        <v>1</v>
      </c>
      <c r="E111" t="s">
        <v>1</v>
      </c>
      <c r="F111" s="6" t="s">
        <v>1</v>
      </c>
      <c r="G111" t="s">
        <v>1408</v>
      </c>
      <c r="H111" t="s">
        <v>1409</v>
      </c>
    </row>
    <row r="112" spans="1:8" ht="14.5" x14ac:dyDescent="0.3">
      <c r="A112" s="10">
        <v>37</v>
      </c>
      <c r="B112" s="42" t="s">
        <v>436</v>
      </c>
      <c r="C112" s="42" t="s">
        <v>437</v>
      </c>
      <c r="D112">
        <f t="shared" si="3"/>
        <v>1</v>
      </c>
      <c r="E112" t="s">
        <v>1</v>
      </c>
      <c r="F112" s="6" t="s">
        <v>1</v>
      </c>
      <c r="G112" t="s">
        <v>1410</v>
      </c>
      <c r="H112" t="s">
        <v>1411</v>
      </c>
    </row>
    <row r="113" spans="1:8" ht="14.5" x14ac:dyDescent="0.3">
      <c r="A113" s="10">
        <v>38</v>
      </c>
      <c r="B113" s="42" t="s">
        <v>438</v>
      </c>
      <c r="C113" s="42" t="s">
        <v>439</v>
      </c>
      <c r="D113">
        <f t="shared" si="3"/>
        <v>0</v>
      </c>
      <c r="E113" t="s">
        <v>0</v>
      </c>
      <c r="F113" s="6" t="s">
        <v>5</v>
      </c>
      <c r="G113" t="s">
        <v>1412</v>
      </c>
      <c r="H113" t="s">
        <v>1413</v>
      </c>
    </row>
    <row r="114" spans="1:8" ht="14.5" x14ac:dyDescent="0.3">
      <c r="A114" s="10">
        <v>38</v>
      </c>
      <c r="B114" s="42" t="s">
        <v>438</v>
      </c>
      <c r="C114" s="42" t="s">
        <v>439</v>
      </c>
      <c r="D114">
        <f t="shared" si="3"/>
        <v>0</v>
      </c>
      <c r="E114" t="s">
        <v>0</v>
      </c>
      <c r="F114" s="6" t="s">
        <v>1</v>
      </c>
      <c r="G114" t="s">
        <v>1414</v>
      </c>
      <c r="H114" t="s">
        <v>1415</v>
      </c>
    </row>
    <row r="115" spans="1:8" ht="14.5" x14ac:dyDescent="0.3">
      <c r="A115" s="10">
        <v>38</v>
      </c>
      <c r="B115" s="42" t="s">
        <v>438</v>
      </c>
      <c r="C115" s="42" t="s">
        <v>439</v>
      </c>
      <c r="D115">
        <f t="shared" si="3"/>
        <v>0</v>
      </c>
      <c r="E115" t="s">
        <v>0</v>
      </c>
      <c r="F115" s="6" t="s">
        <v>1</v>
      </c>
      <c r="G115" t="s">
        <v>1416</v>
      </c>
      <c r="H115" t="s">
        <v>1417</v>
      </c>
    </row>
    <row r="116" spans="1:8" ht="14.5" x14ac:dyDescent="0.3">
      <c r="A116" s="10">
        <v>39</v>
      </c>
      <c r="B116" s="42" t="s">
        <v>440</v>
      </c>
      <c r="C116" s="42" t="s">
        <v>441</v>
      </c>
      <c r="D116">
        <f t="shared" si="3"/>
        <v>0</v>
      </c>
      <c r="E116" t="s">
        <v>1</v>
      </c>
      <c r="F116" s="6" t="s">
        <v>0</v>
      </c>
      <c r="G116" t="s">
        <v>1418</v>
      </c>
      <c r="H116" t="s">
        <v>1419</v>
      </c>
    </row>
    <row r="117" spans="1:8" ht="14.5" x14ac:dyDescent="0.3">
      <c r="A117" s="10">
        <v>39</v>
      </c>
      <c r="B117" s="42" t="s">
        <v>440</v>
      </c>
      <c r="C117" s="42" t="s">
        <v>441</v>
      </c>
      <c r="D117">
        <f t="shared" si="3"/>
        <v>0</v>
      </c>
      <c r="E117" t="s">
        <v>1</v>
      </c>
      <c r="F117" s="6" t="s">
        <v>0</v>
      </c>
      <c r="G117" t="s">
        <v>1420</v>
      </c>
      <c r="H117" t="s">
        <v>1421</v>
      </c>
    </row>
    <row r="118" spans="1:8" ht="14.5" x14ac:dyDescent="0.3">
      <c r="A118" s="10">
        <v>39</v>
      </c>
      <c r="B118" s="42" t="s">
        <v>440</v>
      </c>
      <c r="C118" s="42" t="s">
        <v>441</v>
      </c>
      <c r="D118">
        <f t="shared" si="3"/>
        <v>0</v>
      </c>
      <c r="E118" t="s">
        <v>1</v>
      </c>
      <c r="F118" s="6" t="s">
        <v>0</v>
      </c>
      <c r="G118" t="s">
        <v>1422</v>
      </c>
      <c r="H118" t="s">
        <v>1423</v>
      </c>
    </row>
    <row r="119" spans="1:8" ht="14.5" x14ac:dyDescent="0.3">
      <c r="A119" s="10">
        <v>41</v>
      </c>
      <c r="B119" s="42" t="s">
        <v>442</v>
      </c>
      <c r="C119" s="42" t="s">
        <v>443</v>
      </c>
      <c r="D119">
        <f t="shared" si="3"/>
        <v>0</v>
      </c>
      <c r="E119" t="s">
        <v>0</v>
      </c>
      <c r="F119" s="6" t="s">
        <v>1</v>
      </c>
      <c r="G119" t="s">
        <v>1424</v>
      </c>
      <c r="H119" t="s">
        <v>1425</v>
      </c>
    </row>
    <row r="120" spans="1:8" ht="14.5" x14ac:dyDescent="0.3">
      <c r="A120" s="10">
        <v>41</v>
      </c>
      <c r="B120" s="42" t="s">
        <v>442</v>
      </c>
      <c r="C120" s="42" t="s">
        <v>443</v>
      </c>
      <c r="D120">
        <f t="shared" si="3"/>
        <v>1</v>
      </c>
      <c r="E120" t="s">
        <v>0</v>
      </c>
      <c r="F120" s="6" t="s">
        <v>0</v>
      </c>
      <c r="G120" t="s">
        <v>1426</v>
      </c>
      <c r="H120" t="s">
        <v>1427</v>
      </c>
    </row>
    <row r="121" spans="1:8" ht="14.5" x14ac:dyDescent="0.3">
      <c r="A121" s="10">
        <v>41</v>
      </c>
      <c r="B121" s="42" t="s">
        <v>442</v>
      </c>
      <c r="C121" s="42" t="s">
        <v>443</v>
      </c>
      <c r="D121">
        <f t="shared" si="3"/>
        <v>1</v>
      </c>
      <c r="E121" t="s">
        <v>0</v>
      </c>
      <c r="F121" s="6" t="s">
        <v>0</v>
      </c>
      <c r="G121" t="s">
        <v>1428</v>
      </c>
      <c r="H121" t="s">
        <v>1429</v>
      </c>
    </row>
    <row r="122" spans="1:8" ht="14.5" x14ac:dyDescent="0.3">
      <c r="A122" s="10">
        <v>42</v>
      </c>
      <c r="B122" s="42" t="s">
        <v>446</v>
      </c>
      <c r="C122" s="42" t="s">
        <v>447</v>
      </c>
      <c r="D122">
        <f t="shared" si="3"/>
        <v>0</v>
      </c>
      <c r="E122" t="s">
        <v>5</v>
      </c>
      <c r="F122" s="6" t="s">
        <v>1</v>
      </c>
      <c r="G122" t="s">
        <v>1436</v>
      </c>
      <c r="H122" t="s">
        <v>1437</v>
      </c>
    </row>
    <row r="123" spans="1:8" ht="14.5" x14ac:dyDescent="0.3">
      <c r="A123" s="10">
        <v>42</v>
      </c>
      <c r="B123" s="42" t="s">
        <v>446</v>
      </c>
      <c r="C123" s="42" t="s">
        <v>447</v>
      </c>
      <c r="D123">
        <f t="shared" si="3"/>
        <v>0</v>
      </c>
      <c r="E123" t="s">
        <v>5</v>
      </c>
      <c r="F123" s="6" t="s">
        <v>0</v>
      </c>
      <c r="G123" t="s">
        <v>1438</v>
      </c>
      <c r="H123" t="s">
        <v>1439</v>
      </c>
    </row>
    <row r="124" spans="1:8" ht="14.5" x14ac:dyDescent="0.3">
      <c r="A124" s="10">
        <v>42</v>
      </c>
      <c r="B124" s="42" t="s">
        <v>446</v>
      </c>
      <c r="C124" s="42" t="s">
        <v>447</v>
      </c>
      <c r="D124">
        <f t="shared" si="3"/>
        <v>0</v>
      </c>
      <c r="E124" t="s">
        <v>5</v>
      </c>
      <c r="F124" s="6" t="s">
        <v>0</v>
      </c>
      <c r="G124" t="s">
        <v>1440</v>
      </c>
      <c r="H124" t="s">
        <v>1441</v>
      </c>
    </row>
    <row r="125" spans="1:8" ht="14.5" x14ac:dyDescent="0.3">
      <c r="A125" s="10">
        <v>43</v>
      </c>
      <c r="B125" s="42" t="s">
        <v>448</v>
      </c>
      <c r="C125" s="42" t="s">
        <v>449</v>
      </c>
      <c r="D125">
        <f t="shared" si="3"/>
        <v>1</v>
      </c>
      <c r="E125" t="s">
        <v>1</v>
      </c>
      <c r="F125" s="6" t="s">
        <v>1</v>
      </c>
      <c r="G125" t="s">
        <v>1442</v>
      </c>
      <c r="H125" t="s">
        <v>1443</v>
      </c>
    </row>
    <row r="126" spans="1:8" ht="14.5" x14ac:dyDescent="0.3">
      <c r="A126" s="10">
        <v>43</v>
      </c>
      <c r="B126" s="42" t="s">
        <v>448</v>
      </c>
      <c r="C126" s="42" t="s">
        <v>449</v>
      </c>
      <c r="D126">
        <f t="shared" si="3"/>
        <v>0</v>
      </c>
      <c r="E126" t="s">
        <v>1</v>
      </c>
      <c r="F126" s="6" t="s">
        <v>0</v>
      </c>
      <c r="G126" t="s">
        <v>1444</v>
      </c>
      <c r="H126" t="s">
        <v>1445</v>
      </c>
    </row>
    <row r="127" spans="1:8" ht="14.5" x14ac:dyDescent="0.3">
      <c r="A127" s="10">
        <v>43</v>
      </c>
      <c r="B127" s="42" t="s">
        <v>448</v>
      </c>
      <c r="C127" s="42" t="s">
        <v>449</v>
      </c>
      <c r="D127">
        <f t="shared" si="3"/>
        <v>0</v>
      </c>
      <c r="E127" t="s">
        <v>1</v>
      </c>
      <c r="F127" s="6" t="s">
        <v>0</v>
      </c>
      <c r="G127" t="s">
        <v>1446</v>
      </c>
      <c r="H127" t="s">
        <v>1447</v>
      </c>
    </row>
    <row r="128" spans="1:8" ht="14.5" x14ac:dyDescent="0.3">
      <c r="A128" s="10">
        <v>44</v>
      </c>
      <c r="B128" s="42" t="s">
        <v>444</v>
      </c>
      <c r="C128" s="42" t="s">
        <v>445</v>
      </c>
      <c r="D128">
        <f t="shared" si="3"/>
        <v>0</v>
      </c>
      <c r="E128" t="s">
        <v>1</v>
      </c>
      <c r="F128" s="6" t="s">
        <v>5</v>
      </c>
      <c r="G128" t="s">
        <v>1430</v>
      </c>
      <c r="H128" t="s">
        <v>1431</v>
      </c>
    </row>
    <row r="129" spans="1:8" ht="14.5" x14ac:dyDescent="0.3">
      <c r="A129" s="10">
        <v>44</v>
      </c>
      <c r="B129" s="42" t="s">
        <v>444</v>
      </c>
      <c r="C129" s="42" t="s">
        <v>445</v>
      </c>
      <c r="D129">
        <f t="shared" si="3"/>
        <v>1</v>
      </c>
      <c r="E129" t="s">
        <v>1</v>
      </c>
      <c r="F129" s="6" t="s">
        <v>1</v>
      </c>
      <c r="G129" t="s">
        <v>1432</v>
      </c>
      <c r="H129" t="s">
        <v>1433</v>
      </c>
    </row>
    <row r="130" spans="1:8" ht="14.5" x14ac:dyDescent="0.3">
      <c r="A130" s="10">
        <v>44</v>
      </c>
      <c r="B130" s="42" t="s">
        <v>444</v>
      </c>
      <c r="C130" s="42" t="s">
        <v>445</v>
      </c>
      <c r="D130">
        <f t="shared" ref="D130:D161" si="4">IF(F130=E130,1,0)</f>
        <v>0</v>
      </c>
      <c r="E130" t="s">
        <v>1</v>
      </c>
      <c r="F130" s="6" t="s">
        <v>0</v>
      </c>
      <c r="G130" t="s">
        <v>1434</v>
      </c>
      <c r="H130" t="s">
        <v>1435</v>
      </c>
    </row>
    <row r="131" spans="1:8" ht="14.5" x14ac:dyDescent="0.3">
      <c r="A131" s="10">
        <v>45</v>
      </c>
      <c r="B131" s="42" t="s">
        <v>452</v>
      </c>
      <c r="C131" s="42" t="s">
        <v>453</v>
      </c>
      <c r="D131">
        <f t="shared" si="4"/>
        <v>1</v>
      </c>
      <c r="E131" t="s">
        <v>1</v>
      </c>
      <c r="F131" s="6" t="s">
        <v>1</v>
      </c>
      <c r="G131" t="s">
        <v>1454</v>
      </c>
      <c r="H131" t="s">
        <v>1455</v>
      </c>
    </row>
    <row r="132" spans="1:8" ht="14.5" x14ac:dyDescent="0.3">
      <c r="A132" s="10">
        <v>45</v>
      </c>
      <c r="B132" s="42" t="s">
        <v>452</v>
      </c>
      <c r="C132" s="42" t="s">
        <v>453</v>
      </c>
      <c r="D132">
        <f t="shared" si="4"/>
        <v>0</v>
      </c>
      <c r="E132" t="s">
        <v>1</v>
      </c>
      <c r="F132" s="6" t="s">
        <v>5</v>
      </c>
      <c r="G132" t="s">
        <v>1456</v>
      </c>
      <c r="H132" t="s">
        <v>1457</v>
      </c>
    </row>
    <row r="133" spans="1:8" ht="14.5" x14ac:dyDescent="0.3">
      <c r="A133" s="10">
        <v>45</v>
      </c>
      <c r="B133" s="42" t="s">
        <v>452</v>
      </c>
      <c r="C133" s="42" t="s">
        <v>453</v>
      </c>
      <c r="D133">
        <f t="shared" si="4"/>
        <v>1</v>
      </c>
      <c r="E133" t="s">
        <v>1</v>
      </c>
      <c r="F133" s="6" t="s">
        <v>1</v>
      </c>
      <c r="G133" t="s">
        <v>1458</v>
      </c>
      <c r="H133" t="s">
        <v>1459</v>
      </c>
    </row>
    <row r="134" spans="1:8" ht="14.5" x14ac:dyDescent="0.3">
      <c r="A134" s="10">
        <v>45</v>
      </c>
      <c r="B134" s="42" t="s">
        <v>456</v>
      </c>
      <c r="C134" s="42" t="s">
        <v>457</v>
      </c>
      <c r="D134">
        <f t="shared" si="4"/>
        <v>0</v>
      </c>
      <c r="E134" t="s">
        <v>1</v>
      </c>
      <c r="F134" s="6" t="s">
        <v>5</v>
      </c>
      <c r="G134" t="s">
        <v>1466</v>
      </c>
      <c r="H134" t="s">
        <v>1467</v>
      </c>
    </row>
    <row r="135" spans="1:8" ht="14.5" x14ac:dyDescent="0.3">
      <c r="A135" s="10">
        <v>45</v>
      </c>
      <c r="B135" s="42" t="s">
        <v>456</v>
      </c>
      <c r="C135" s="42" t="s">
        <v>457</v>
      </c>
      <c r="D135">
        <f t="shared" si="4"/>
        <v>0</v>
      </c>
      <c r="E135" t="s">
        <v>1</v>
      </c>
      <c r="F135" s="6" t="s">
        <v>5</v>
      </c>
      <c r="G135" t="s">
        <v>1468</v>
      </c>
      <c r="H135" t="s">
        <v>1469</v>
      </c>
    </row>
    <row r="136" spans="1:8" ht="14.5" x14ac:dyDescent="0.3">
      <c r="A136" s="10">
        <v>45</v>
      </c>
      <c r="B136" s="42" t="s">
        <v>456</v>
      </c>
      <c r="C136" s="42" t="s">
        <v>457</v>
      </c>
      <c r="D136">
        <f t="shared" si="4"/>
        <v>1</v>
      </c>
      <c r="E136" t="s">
        <v>1</v>
      </c>
      <c r="F136" s="6" t="s">
        <v>1</v>
      </c>
      <c r="G136" t="s">
        <v>1470</v>
      </c>
      <c r="H136" t="s">
        <v>1471</v>
      </c>
    </row>
    <row r="137" spans="1:8" ht="14.5" x14ac:dyDescent="0.3">
      <c r="A137" s="10">
        <v>46</v>
      </c>
      <c r="B137" s="42" t="s">
        <v>450</v>
      </c>
      <c r="C137" s="42" t="s">
        <v>451</v>
      </c>
      <c r="D137">
        <f t="shared" si="4"/>
        <v>0</v>
      </c>
      <c r="E137" t="s">
        <v>0</v>
      </c>
      <c r="F137" s="6" t="s">
        <v>1</v>
      </c>
      <c r="G137" t="s">
        <v>1448</v>
      </c>
      <c r="H137" t="s">
        <v>1449</v>
      </c>
    </row>
    <row r="138" spans="1:8" ht="14.5" x14ac:dyDescent="0.3">
      <c r="A138" s="10">
        <v>46</v>
      </c>
      <c r="B138" s="42" t="s">
        <v>450</v>
      </c>
      <c r="C138" s="42" t="s">
        <v>451</v>
      </c>
      <c r="D138">
        <f t="shared" si="4"/>
        <v>1</v>
      </c>
      <c r="E138" t="s">
        <v>0</v>
      </c>
      <c r="F138" s="6" t="s">
        <v>0</v>
      </c>
      <c r="G138" t="s">
        <v>1450</v>
      </c>
      <c r="H138" t="s">
        <v>1451</v>
      </c>
    </row>
    <row r="139" spans="1:8" ht="14.5" x14ac:dyDescent="0.3">
      <c r="A139" s="10">
        <v>46</v>
      </c>
      <c r="B139" s="42" t="s">
        <v>450</v>
      </c>
      <c r="C139" s="42" t="s">
        <v>451</v>
      </c>
      <c r="D139">
        <f t="shared" si="4"/>
        <v>1</v>
      </c>
      <c r="E139" t="s">
        <v>0</v>
      </c>
      <c r="F139" s="6" t="s">
        <v>0</v>
      </c>
      <c r="G139" t="s">
        <v>1452</v>
      </c>
      <c r="H139" t="s">
        <v>1453</v>
      </c>
    </row>
    <row r="140" spans="1:8" ht="14.5" x14ac:dyDescent="0.3">
      <c r="A140" s="10">
        <v>47</v>
      </c>
      <c r="B140" s="42" t="s">
        <v>454</v>
      </c>
      <c r="C140" s="42" t="s">
        <v>455</v>
      </c>
      <c r="D140">
        <f t="shared" si="4"/>
        <v>0</v>
      </c>
      <c r="E140" t="s">
        <v>5</v>
      </c>
      <c r="F140" s="6" t="s">
        <v>0</v>
      </c>
      <c r="G140" t="s">
        <v>1460</v>
      </c>
      <c r="H140" t="s">
        <v>1461</v>
      </c>
    </row>
    <row r="141" spans="1:8" ht="14.5" x14ac:dyDescent="0.3">
      <c r="A141" s="10">
        <v>47</v>
      </c>
      <c r="B141" s="42" t="s">
        <v>454</v>
      </c>
      <c r="C141" s="42" t="s">
        <v>455</v>
      </c>
      <c r="D141">
        <f t="shared" si="4"/>
        <v>0</v>
      </c>
      <c r="E141" t="s">
        <v>5</v>
      </c>
      <c r="F141" s="6" t="s">
        <v>0</v>
      </c>
      <c r="G141" t="s">
        <v>1462</v>
      </c>
      <c r="H141" t="s">
        <v>1463</v>
      </c>
    </row>
    <row r="142" spans="1:8" ht="14.5" x14ac:dyDescent="0.3">
      <c r="A142" s="10">
        <v>47</v>
      </c>
      <c r="B142" s="42" t="s">
        <v>454</v>
      </c>
      <c r="C142" s="42" t="s">
        <v>455</v>
      </c>
      <c r="D142">
        <f t="shared" si="4"/>
        <v>0</v>
      </c>
      <c r="E142" t="s">
        <v>5</v>
      </c>
      <c r="F142" s="6" t="s">
        <v>1</v>
      </c>
      <c r="G142" t="s">
        <v>1464</v>
      </c>
      <c r="H142" t="s">
        <v>1465</v>
      </c>
    </row>
    <row r="143" spans="1:8" ht="14.5" x14ac:dyDescent="0.3">
      <c r="A143" s="10">
        <v>48</v>
      </c>
      <c r="B143" s="42" t="s">
        <v>458</v>
      </c>
      <c r="C143" s="42" t="s">
        <v>459</v>
      </c>
      <c r="D143">
        <f t="shared" si="4"/>
        <v>1</v>
      </c>
      <c r="E143" t="s">
        <v>0</v>
      </c>
      <c r="F143" s="6" t="s">
        <v>0</v>
      </c>
      <c r="G143" t="s">
        <v>1472</v>
      </c>
      <c r="H143" t="s">
        <v>1473</v>
      </c>
    </row>
    <row r="144" spans="1:8" ht="14.5" x14ac:dyDescent="0.3">
      <c r="A144" s="10">
        <v>48</v>
      </c>
      <c r="B144" s="42" t="s">
        <v>458</v>
      </c>
      <c r="C144" s="42" t="s">
        <v>459</v>
      </c>
      <c r="D144">
        <f t="shared" si="4"/>
        <v>0</v>
      </c>
      <c r="E144" t="s">
        <v>0</v>
      </c>
      <c r="F144" s="6" t="s">
        <v>1</v>
      </c>
      <c r="G144" t="s">
        <v>1474</v>
      </c>
      <c r="H144" t="s">
        <v>1475</v>
      </c>
    </row>
    <row r="145" spans="1:8" ht="14.5" x14ac:dyDescent="0.3">
      <c r="A145" s="10">
        <v>48</v>
      </c>
      <c r="B145" s="42" t="s">
        <v>458</v>
      </c>
      <c r="C145" s="42" t="s">
        <v>459</v>
      </c>
      <c r="D145">
        <f t="shared" si="4"/>
        <v>0</v>
      </c>
      <c r="E145" t="s">
        <v>0</v>
      </c>
      <c r="F145" s="6" t="s">
        <v>1</v>
      </c>
      <c r="G145" t="s">
        <v>1476</v>
      </c>
      <c r="H145" t="s">
        <v>1477</v>
      </c>
    </row>
    <row r="146" spans="1:8" ht="14.5" x14ac:dyDescent="0.3">
      <c r="A146" s="10">
        <v>49</v>
      </c>
      <c r="B146" s="42" t="s">
        <v>460</v>
      </c>
      <c r="C146" s="42" t="s">
        <v>461</v>
      </c>
      <c r="D146">
        <f t="shared" si="4"/>
        <v>1</v>
      </c>
      <c r="E146" t="s">
        <v>1</v>
      </c>
      <c r="F146" s="6" t="s">
        <v>1</v>
      </c>
      <c r="G146" t="s">
        <v>1478</v>
      </c>
      <c r="H146" t="s">
        <v>1479</v>
      </c>
    </row>
    <row r="147" spans="1:8" ht="14.5" x14ac:dyDescent="0.3">
      <c r="A147" s="10">
        <v>49</v>
      </c>
      <c r="B147" s="42" t="s">
        <v>460</v>
      </c>
      <c r="C147" s="42" t="s">
        <v>461</v>
      </c>
      <c r="D147">
        <f t="shared" si="4"/>
        <v>1</v>
      </c>
      <c r="E147" t="s">
        <v>1</v>
      </c>
      <c r="F147" s="6" t="s">
        <v>1</v>
      </c>
      <c r="G147" t="s">
        <v>1480</v>
      </c>
      <c r="H147" t="s">
        <v>1481</v>
      </c>
    </row>
    <row r="148" spans="1:8" ht="14.5" x14ac:dyDescent="0.3">
      <c r="A148" s="10">
        <v>49</v>
      </c>
      <c r="B148" s="42" t="s">
        <v>460</v>
      </c>
      <c r="C148" s="42" t="s">
        <v>461</v>
      </c>
      <c r="D148">
        <f t="shared" si="4"/>
        <v>0</v>
      </c>
      <c r="E148" t="s">
        <v>1</v>
      </c>
      <c r="F148" s="6" t="s">
        <v>0</v>
      </c>
      <c r="G148" t="s">
        <v>1482</v>
      </c>
      <c r="H148" t="s">
        <v>1483</v>
      </c>
    </row>
    <row r="149" spans="1:8" ht="14.5" x14ac:dyDescent="0.3">
      <c r="A149" s="10">
        <v>50</v>
      </c>
      <c r="B149" s="42" t="s">
        <v>462</v>
      </c>
      <c r="C149" s="42" t="s">
        <v>463</v>
      </c>
      <c r="D149">
        <f t="shared" si="4"/>
        <v>0</v>
      </c>
      <c r="E149" t="s">
        <v>5</v>
      </c>
      <c r="F149" s="6" t="s">
        <v>0</v>
      </c>
      <c r="G149" t="s">
        <v>1484</v>
      </c>
      <c r="H149" t="s">
        <v>1485</v>
      </c>
    </row>
    <row r="150" spans="1:8" ht="14.5" x14ac:dyDescent="0.3">
      <c r="A150" s="10">
        <v>50</v>
      </c>
      <c r="B150" s="42" t="s">
        <v>462</v>
      </c>
      <c r="C150" s="42" t="s">
        <v>463</v>
      </c>
      <c r="D150">
        <f t="shared" si="4"/>
        <v>0</v>
      </c>
      <c r="E150" t="s">
        <v>5</v>
      </c>
      <c r="F150" s="6" t="s">
        <v>0</v>
      </c>
      <c r="G150" t="s">
        <v>1486</v>
      </c>
      <c r="H150" t="s">
        <v>1487</v>
      </c>
    </row>
    <row r="151" spans="1:8" ht="14.5" x14ac:dyDescent="0.3">
      <c r="A151" s="10">
        <v>50</v>
      </c>
      <c r="B151" s="42" t="s">
        <v>462</v>
      </c>
      <c r="C151" s="42" t="s">
        <v>463</v>
      </c>
      <c r="D151">
        <f t="shared" si="4"/>
        <v>0</v>
      </c>
      <c r="E151" t="s">
        <v>5</v>
      </c>
      <c r="F151" s="6" t="s">
        <v>1</v>
      </c>
      <c r="G151" t="s">
        <v>1488</v>
      </c>
      <c r="H151" t="s">
        <v>1489</v>
      </c>
    </row>
    <row r="152" spans="1:8" ht="14.5" x14ac:dyDescent="0.3">
      <c r="A152" s="10">
        <v>51</v>
      </c>
      <c r="B152" s="42" t="s">
        <v>464</v>
      </c>
      <c r="C152" s="42" t="s">
        <v>465</v>
      </c>
      <c r="D152">
        <f t="shared" si="4"/>
        <v>1</v>
      </c>
      <c r="E152" t="s">
        <v>1</v>
      </c>
      <c r="F152" s="6" t="s">
        <v>1</v>
      </c>
      <c r="G152" t="s">
        <v>1490</v>
      </c>
      <c r="H152" t="s">
        <v>1491</v>
      </c>
    </row>
    <row r="153" spans="1:8" ht="14.5" x14ac:dyDescent="0.3">
      <c r="A153" s="10">
        <v>51</v>
      </c>
      <c r="B153" s="42" t="s">
        <v>464</v>
      </c>
      <c r="C153" s="42" t="s">
        <v>465</v>
      </c>
      <c r="D153">
        <f t="shared" si="4"/>
        <v>1</v>
      </c>
      <c r="E153" t="s">
        <v>1</v>
      </c>
      <c r="F153" s="6" t="s">
        <v>1</v>
      </c>
      <c r="G153" t="s">
        <v>1492</v>
      </c>
      <c r="H153" t="s">
        <v>1493</v>
      </c>
    </row>
    <row r="154" spans="1:8" ht="14.5" x14ac:dyDescent="0.3">
      <c r="A154" s="10">
        <v>51</v>
      </c>
      <c r="B154" s="42" t="s">
        <v>464</v>
      </c>
      <c r="C154" s="42" t="s">
        <v>465</v>
      </c>
      <c r="D154">
        <f t="shared" si="4"/>
        <v>1</v>
      </c>
      <c r="E154" t="s">
        <v>1</v>
      </c>
      <c r="F154" s="6" t="s">
        <v>1</v>
      </c>
      <c r="G154" t="s">
        <v>1494</v>
      </c>
      <c r="H154" t="s">
        <v>1495</v>
      </c>
    </row>
    <row r="155" spans="1:8" ht="14.5" x14ac:dyDescent="0.3">
      <c r="A155" s="10">
        <v>52</v>
      </c>
      <c r="B155" s="42" t="s">
        <v>466</v>
      </c>
      <c r="C155" s="42" t="s">
        <v>467</v>
      </c>
      <c r="D155">
        <f t="shared" si="4"/>
        <v>0</v>
      </c>
      <c r="E155" t="s">
        <v>0</v>
      </c>
      <c r="F155" s="6" t="s">
        <v>1</v>
      </c>
      <c r="G155" t="s">
        <v>1496</v>
      </c>
      <c r="H155" t="s">
        <v>1497</v>
      </c>
    </row>
    <row r="156" spans="1:8" ht="14.5" x14ac:dyDescent="0.3">
      <c r="A156" s="10">
        <v>52</v>
      </c>
      <c r="B156" s="42" t="s">
        <v>466</v>
      </c>
      <c r="C156" s="42" t="s">
        <v>467</v>
      </c>
      <c r="D156">
        <f t="shared" si="4"/>
        <v>0</v>
      </c>
      <c r="E156" t="s">
        <v>0</v>
      </c>
      <c r="F156" s="6" t="s">
        <v>1</v>
      </c>
      <c r="G156" t="s">
        <v>1498</v>
      </c>
      <c r="H156" t="s">
        <v>1499</v>
      </c>
    </row>
    <row r="157" spans="1:8" ht="14.5" x14ac:dyDescent="0.3">
      <c r="A157" s="10">
        <v>52</v>
      </c>
      <c r="B157" s="42" t="s">
        <v>466</v>
      </c>
      <c r="C157" s="42" t="s">
        <v>467</v>
      </c>
      <c r="D157">
        <f t="shared" si="4"/>
        <v>0</v>
      </c>
      <c r="E157" t="s">
        <v>0</v>
      </c>
      <c r="F157" s="6" t="s">
        <v>1</v>
      </c>
      <c r="G157" t="s">
        <v>1500</v>
      </c>
      <c r="H157" t="s">
        <v>1501</v>
      </c>
    </row>
    <row r="158" spans="1:8" ht="14.5" x14ac:dyDescent="0.3">
      <c r="A158" s="10">
        <v>53</v>
      </c>
      <c r="B158" s="42" t="s">
        <v>472</v>
      </c>
      <c r="C158" s="42" t="s">
        <v>473</v>
      </c>
      <c r="D158">
        <f t="shared" si="4"/>
        <v>0</v>
      </c>
      <c r="E158" t="s">
        <v>5</v>
      </c>
      <c r="F158" s="6" t="s">
        <v>0</v>
      </c>
      <c r="G158" t="s">
        <v>1514</v>
      </c>
      <c r="H158" t="s">
        <v>1515</v>
      </c>
    </row>
    <row r="159" spans="1:8" ht="14.5" x14ac:dyDescent="0.3">
      <c r="A159" s="10">
        <v>53</v>
      </c>
      <c r="B159" s="42" t="s">
        <v>472</v>
      </c>
      <c r="C159" s="42" t="s">
        <v>473</v>
      </c>
      <c r="D159">
        <f t="shared" si="4"/>
        <v>0</v>
      </c>
      <c r="E159" t="s">
        <v>5</v>
      </c>
      <c r="F159" s="6" t="s">
        <v>0</v>
      </c>
      <c r="G159" t="s">
        <v>1516</v>
      </c>
      <c r="H159" t="s">
        <v>1517</v>
      </c>
    </row>
    <row r="160" spans="1:8" ht="14.5" x14ac:dyDescent="0.3">
      <c r="A160" s="10">
        <v>53</v>
      </c>
      <c r="B160" s="42" t="s">
        <v>472</v>
      </c>
      <c r="C160" s="42" t="s">
        <v>473</v>
      </c>
      <c r="D160">
        <f t="shared" si="4"/>
        <v>0</v>
      </c>
      <c r="E160" t="s">
        <v>5</v>
      </c>
      <c r="F160" s="6" t="s">
        <v>0</v>
      </c>
      <c r="G160" t="s">
        <v>1518</v>
      </c>
      <c r="H160" t="s">
        <v>1519</v>
      </c>
    </row>
    <row r="161" spans="1:8" ht="14.5" x14ac:dyDescent="0.3">
      <c r="A161" s="10">
        <v>54</v>
      </c>
      <c r="B161" s="42" t="s">
        <v>470</v>
      </c>
      <c r="C161" s="42" t="s">
        <v>471</v>
      </c>
      <c r="D161">
        <f t="shared" si="4"/>
        <v>1</v>
      </c>
      <c r="E161" t="s">
        <v>1</v>
      </c>
      <c r="F161" s="6" t="s">
        <v>1</v>
      </c>
      <c r="G161" t="s">
        <v>1508</v>
      </c>
      <c r="H161" t="s">
        <v>1509</v>
      </c>
    </row>
    <row r="162" spans="1:8" ht="14.5" x14ac:dyDescent="0.3">
      <c r="A162" s="10">
        <v>54</v>
      </c>
      <c r="B162" s="42" t="s">
        <v>470</v>
      </c>
      <c r="C162" s="42" t="s">
        <v>471</v>
      </c>
      <c r="D162">
        <f t="shared" ref="D162:D193" si="5">IF(F162=E162,1,0)</f>
        <v>0</v>
      </c>
      <c r="E162" t="s">
        <v>1</v>
      </c>
      <c r="F162" s="6" t="s">
        <v>5</v>
      </c>
      <c r="G162" t="s">
        <v>1510</v>
      </c>
      <c r="H162" t="s">
        <v>1511</v>
      </c>
    </row>
    <row r="163" spans="1:8" ht="14.5" x14ac:dyDescent="0.3">
      <c r="A163" s="10">
        <v>54</v>
      </c>
      <c r="B163" s="42" t="s">
        <v>470</v>
      </c>
      <c r="C163" s="42" t="s">
        <v>471</v>
      </c>
      <c r="D163">
        <f t="shared" si="5"/>
        <v>1</v>
      </c>
      <c r="E163" t="s">
        <v>1</v>
      </c>
      <c r="F163" s="6" t="s">
        <v>1</v>
      </c>
      <c r="G163" t="s">
        <v>1512</v>
      </c>
      <c r="H163" t="s">
        <v>1513</v>
      </c>
    </row>
    <row r="164" spans="1:8" ht="14.5" x14ac:dyDescent="0.3">
      <c r="A164" s="10">
        <v>55</v>
      </c>
      <c r="B164" s="42" t="s">
        <v>476</v>
      </c>
      <c r="C164" s="42" t="s">
        <v>477</v>
      </c>
      <c r="D164">
        <f t="shared" si="5"/>
        <v>0</v>
      </c>
      <c r="E164" t="s">
        <v>5</v>
      </c>
      <c r="F164" s="6" t="s">
        <v>0</v>
      </c>
      <c r="G164" t="s">
        <v>1526</v>
      </c>
      <c r="H164" t="s">
        <v>1527</v>
      </c>
    </row>
    <row r="165" spans="1:8" ht="14.5" x14ac:dyDescent="0.3">
      <c r="A165" s="10">
        <v>55</v>
      </c>
      <c r="B165" s="42" t="s">
        <v>476</v>
      </c>
      <c r="C165" s="42" t="s">
        <v>477</v>
      </c>
      <c r="D165">
        <f t="shared" si="5"/>
        <v>0</v>
      </c>
      <c r="E165" t="s">
        <v>5</v>
      </c>
      <c r="F165" s="6" t="s">
        <v>1</v>
      </c>
      <c r="G165" t="s">
        <v>1528</v>
      </c>
      <c r="H165" t="s">
        <v>1529</v>
      </c>
    </row>
    <row r="166" spans="1:8" ht="14.5" x14ac:dyDescent="0.3">
      <c r="A166" s="10">
        <v>55</v>
      </c>
      <c r="B166" s="42" t="s">
        <v>476</v>
      </c>
      <c r="C166" s="42" t="s">
        <v>477</v>
      </c>
      <c r="D166">
        <f t="shared" si="5"/>
        <v>1</v>
      </c>
      <c r="E166" t="s">
        <v>5</v>
      </c>
      <c r="F166" s="6" t="s">
        <v>5</v>
      </c>
      <c r="G166" t="s">
        <v>1530</v>
      </c>
      <c r="H166" t="s">
        <v>1531</v>
      </c>
    </row>
    <row r="167" spans="1:8" ht="14.5" x14ac:dyDescent="0.3">
      <c r="A167" s="10">
        <v>56</v>
      </c>
      <c r="B167" s="42" t="s">
        <v>474</v>
      </c>
      <c r="C167" s="42" t="s">
        <v>475</v>
      </c>
      <c r="D167">
        <f t="shared" si="5"/>
        <v>0</v>
      </c>
      <c r="E167" t="s">
        <v>0</v>
      </c>
      <c r="F167" s="6" t="s">
        <v>1</v>
      </c>
      <c r="G167" t="s">
        <v>1520</v>
      </c>
      <c r="H167" t="s">
        <v>1521</v>
      </c>
    </row>
    <row r="168" spans="1:8" ht="14.5" x14ac:dyDescent="0.3">
      <c r="A168" s="10">
        <v>56</v>
      </c>
      <c r="B168" s="42" t="s">
        <v>474</v>
      </c>
      <c r="C168" s="42" t="s">
        <v>475</v>
      </c>
      <c r="D168">
        <f t="shared" si="5"/>
        <v>0</v>
      </c>
      <c r="E168" t="s">
        <v>0</v>
      </c>
      <c r="F168" s="6" t="s">
        <v>1</v>
      </c>
      <c r="G168" t="s">
        <v>1522</v>
      </c>
      <c r="H168" t="s">
        <v>1523</v>
      </c>
    </row>
    <row r="169" spans="1:8" ht="14.5" x14ac:dyDescent="0.3">
      <c r="A169" s="10">
        <v>56</v>
      </c>
      <c r="B169" s="42" t="s">
        <v>474</v>
      </c>
      <c r="C169" s="42" t="s">
        <v>475</v>
      </c>
      <c r="D169">
        <f t="shared" si="5"/>
        <v>0</v>
      </c>
      <c r="E169" t="s">
        <v>0</v>
      </c>
      <c r="F169" s="6" t="s">
        <v>1</v>
      </c>
      <c r="G169" t="s">
        <v>1524</v>
      </c>
      <c r="H169" t="s">
        <v>1525</v>
      </c>
    </row>
    <row r="170" spans="1:8" ht="14.5" x14ac:dyDescent="0.3">
      <c r="A170" s="10">
        <v>57</v>
      </c>
      <c r="B170" s="42" t="s">
        <v>468</v>
      </c>
      <c r="C170" s="42" t="s">
        <v>469</v>
      </c>
      <c r="D170">
        <f t="shared" si="5"/>
        <v>0</v>
      </c>
      <c r="E170" t="s">
        <v>1</v>
      </c>
      <c r="F170" s="6" t="s">
        <v>0</v>
      </c>
      <c r="G170" t="s">
        <v>1502</v>
      </c>
      <c r="H170" t="s">
        <v>1503</v>
      </c>
    </row>
    <row r="171" spans="1:8" ht="14.5" x14ac:dyDescent="0.3">
      <c r="A171" s="10">
        <v>57</v>
      </c>
      <c r="B171" s="42" t="s">
        <v>468</v>
      </c>
      <c r="C171" s="42" t="s">
        <v>469</v>
      </c>
      <c r="D171">
        <f t="shared" si="5"/>
        <v>0</v>
      </c>
      <c r="E171" t="s">
        <v>1</v>
      </c>
      <c r="F171" s="6" t="s">
        <v>0</v>
      </c>
      <c r="G171" t="s">
        <v>1504</v>
      </c>
      <c r="H171" t="s">
        <v>1505</v>
      </c>
    </row>
    <row r="172" spans="1:8" ht="14.5" x14ac:dyDescent="0.3">
      <c r="A172" s="10">
        <v>57</v>
      </c>
      <c r="B172" s="42" t="s">
        <v>468</v>
      </c>
      <c r="C172" s="42" t="s">
        <v>469</v>
      </c>
      <c r="D172">
        <f t="shared" si="5"/>
        <v>0</v>
      </c>
      <c r="E172" t="s">
        <v>1</v>
      </c>
      <c r="F172" s="6" t="s">
        <v>0</v>
      </c>
      <c r="G172" t="s">
        <v>1506</v>
      </c>
      <c r="H172" t="s">
        <v>1507</v>
      </c>
    </row>
    <row r="173" spans="1:8" ht="14.5" x14ac:dyDescent="0.3">
      <c r="A173" s="10">
        <v>58</v>
      </c>
      <c r="B173" s="42" t="s">
        <v>478</v>
      </c>
      <c r="C173" s="42" t="s">
        <v>479</v>
      </c>
      <c r="D173">
        <f t="shared" si="5"/>
        <v>0</v>
      </c>
      <c r="E173" t="s">
        <v>1</v>
      </c>
      <c r="F173" s="6" t="s">
        <v>0</v>
      </c>
      <c r="G173" t="s">
        <v>1532</v>
      </c>
      <c r="H173" t="s">
        <v>1533</v>
      </c>
    </row>
    <row r="174" spans="1:8" ht="14.5" x14ac:dyDescent="0.3">
      <c r="A174" s="10">
        <v>58</v>
      </c>
      <c r="B174" s="42" t="s">
        <v>478</v>
      </c>
      <c r="C174" s="42" t="s">
        <v>479</v>
      </c>
      <c r="D174">
        <f t="shared" si="5"/>
        <v>0</v>
      </c>
      <c r="E174" t="s">
        <v>1</v>
      </c>
      <c r="F174" s="6" t="s">
        <v>0</v>
      </c>
      <c r="G174" t="s">
        <v>1534</v>
      </c>
      <c r="H174" t="s">
        <v>1535</v>
      </c>
    </row>
    <row r="175" spans="1:8" ht="14.5" x14ac:dyDescent="0.3">
      <c r="A175" s="10">
        <v>58</v>
      </c>
      <c r="B175" s="42" t="s">
        <v>478</v>
      </c>
      <c r="C175" s="42" t="s">
        <v>479</v>
      </c>
      <c r="D175">
        <f t="shared" si="5"/>
        <v>1</v>
      </c>
      <c r="E175" t="s">
        <v>1</v>
      </c>
      <c r="F175" s="6" t="s">
        <v>1</v>
      </c>
      <c r="G175" t="s">
        <v>1536</v>
      </c>
      <c r="H175" t="s">
        <v>1537</v>
      </c>
    </row>
    <row r="176" spans="1:8" ht="14.5" x14ac:dyDescent="0.3">
      <c r="A176" s="10">
        <v>59</v>
      </c>
      <c r="B176" s="42" t="s">
        <v>480</v>
      </c>
      <c r="C176" s="42" t="s">
        <v>481</v>
      </c>
      <c r="D176">
        <f t="shared" si="5"/>
        <v>1</v>
      </c>
      <c r="E176" t="s">
        <v>1</v>
      </c>
      <c r="F176" s="6" t="s">
        <v>1</v>
      </c>
      <c r="G176" t="s">
        <v>1538</v>
      </c>
      <c r="H176" t="s">
        <v>1539</v>
      </c>
    </row>
    <row r="177" spans="1:8" ht="14.5" x14ac:dyDescent="0.3">
      <c r="A177" s="10">
        <v>59</v>
      </c>
      <c r="B177" s="42" t="s">
        <v>480</v>
      </c>
      <c r="C177" s="42" t="s">
        <v>481</v>
      </c>
      <c r="D177">
        <f t="shared" si="5"/>
        <v>1</v>
      </c>
      <c r="E177" t="s">
        <v>1</v>
      </c>
      <c r="F177" s="6" t="s">
        <v>1</v>
      </c>
      <c r="G177" t="s">
        <v>1540</v>
      </c>
      <c r="H177" t="s">
        <v>1541</v>
      </c>
    </row>
    <row r="178" spans="1:8" ht="14.5" x14ac:dyDescent="0.3">
      <c r="A178" s="10">
        <v>59</v>
      </c>
      <c r="B178" s="42" t="s">
        <v>480</v>
      </c>
      <c r="C178" s="42" t="s">
        <v>481</v>
      </c>
      <c r="D178">
        <f t="shared" si="5"/>
        <v>1</v>
      </c>
      <c r="E178" t="s">
        <v>1</v>
      </c>
      <c r="F178" s="6" t="s">
        <v>1</v>
      </c>
      <c r="G178" t="s">
        <v>1542</v>
      </c>
      <c r="H178" t="s">
        <v>1543</v>
      </c>
    </row>
    <row r="179" spans="1:8" ht="14.5" x14ac:dyDescent="0.3">
      <c r="A179" s="10">
        <v>60</v>
      </c>
      <c r="B179" s="42" t="s">
        <v>482</v>
      </c>
      <c r="C179" s="42" t="s">
        <v>483</v>
      </c>
      <c r="D179">
        <f t="shared" si="5"/>
        <v>0</v>
      </c>
      <c r="E179" t="s">
        <v>5</v>
      </c>
      <c r="F179" s="6" t="s">
        <v>1</v>
      </c>
      <c r="G179" t="s">
        <v>1544</v>
      </c>
      <c r="H179" t="s">
        <v>1545</v>
      </c>
    </row>
    <row r="180" spans="1:8" ht="14.5" x14ac:dyDescent="0.3">
      <c r="A180" s="10">
        <v>60</v>
      </c>
      <c r="B180" s="42" t="s">
        <v>482</v>
      </c>
      <c r="C180" s="42" t="s">
        <v>483</v>
      </c>
      <c r="D180">
        <f t="shared" si="5"/>
        <v>1</v>
      </c>
      <c r="E180" t="s">
        <v>5</v>
      </c>
      <c r="F180" s="6" t="s">
        <v>5</v>
      </c>
      <c r="G180" t="s">
        <v>1546</v>
      </c>
      <c r="H180" t="s">
        <v>1547</v>
      </c>
    </row>
    <row r="181" spans="1:8" ht="14.5" x14ac:dyDescent="0.3">
      <c r="A181" s="10">
        <v>60</v>
      </c>
      <c r="B181" s="42" t="s">
        <v>482</v>
      </c>
      <c r="C181" s="42" t="s">
        <v>483</v>
      </c>
      <c r="D181">
        <f t="shared" si="5"/>
        <v>0</v>
      </c>
      <c r="E181" t="s">
        <v>5</v>
      </c>
      <c r="F181" s="6" t="s">
        <v>1</v>
      </c>
      <c r="G181" t="s">
        <v>1548</v>
      </c>
      <c r="H181" t="s">
        <v>1549</v>
      </c>
    </row>
  </sheetData>
  <sortState xmlns:xlrd2="http://schemas.microsoft.com/office/spreadsheetml/2017/richdata2" ref="A2:H181">
    <sortCondition ref="A73:A181"/>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FD75B-64BF-4C18-807E-531719713B48}">
  <sheetPr codeName="Worksheet______3"/>
  <dimension ref="A1:H182"/>
  <sheetViews>
    <sheetView topLeftCell="A167" workbookViewId="0">
      <selection activeCell="A186" sqref="A186"/>
    </sheetView>
  </sheetViews>
  <sheetFormatPr defaultRowHeight="13.5" customHeight="1" x14ac:dyDescent="0.3"/>
  <sheetData>
    <row r="1" spans="1:8" ht="13.5" customHeight="1" x14ac:dyDescent="0.3">
      <c r="A1" s="15" t="s">
        <v>356</v>
      </c>
      <c r="B1" s="15" t="s">
        <v>357</v>
      </c>
      <c r="C1" s="15" t="s">
        <v>358</v>
      </c>
      <c r="D1" s="15" t="s">
        <v>62</v>
      </c>
      <c r="E1" s="13" t="s">
        <v>63</v>
      </c>
      <c r="F1" s="13" t="s">
        <v>64</v>
      </c>
      <c r="G1" s="13" t="s">
        <v>29</v>
      </c>
      <c r="H1" s="14" t="s">
        <v>30</v>
      </c>
    </row>
    <row r="2" spans="1:8" ht="13.5" customHeight="1" x14ac:dyDescent="0.3">
      <c r="A2" s="10">
        <v>1</v>
      </c>
      <c r="B2" s="18" t="s">
        <v>384</v>
      </c>
      <c r="C2" s="17" t="s">
        <v>385</v>
      </c>
      <c r="D2" s="10">
        <f t="shared" ref="D2:D33" si="0">IF(E2=F2,1,0)</f>
        <v>0</v>
      </c>
      <c r="E2" s="16" t="s">
        <v>0</v>
      </c>
      <c r="F2" s="6" t="s">
        <v>5</v>
      </c>
      <c r="G2" t="s">
        <v>1610</v>
      </c>
      <c r="H2" t="s">
        <v>1611</v>
      </c>
    </row>
    <row r="3" spans="1:8" ht="13.5" customHeight="1" x14ac:dyDescent="0.3">
      <c r="A3" s="10">
        <v>1</v>
      </c>
      <c r="B3" s="18" t="s">
        <v>384</v>
      </c>
      <c r="C3" s="17" t="s">
        <v>385</v>
      </c>
      <c r="D3" s="10">
        <f t="shared" si="0"/>
        <v>0</v>
      </c>
      <c r="E3" s="16" t="s">
        <v>0</v>
      </c>
      <c r="F3" s="6" t="s">
        <v>1</v>
      </c>
      <c r="G3" t="s">
        <v>1612</v>
      </c>
      <c r="H3" t="s">
        <v>1613</v>
      </c>
    </row>
    <row r="4" spans="1:8" ht="13.5" customHeight="1" x14ac:dyDescent="0.3">
      <c r="A4" s="10">
        <v>1</v>
      </c>
      <c r="B4" s="18" t="s">
        <v>384</v>
      </c>
      <c r="C4" s="17" t="s">
        <v>385</v>
      </c>
      <c r="D4" s="10">
        <f t="shared" si="0"/>
        <v>0</v>
      </c>
      <c r="E4" s="16" t="s">
        <v>0</v>
      </c>
      <c r="F4" s="6" t="s">
        <v>1</v>
      </c>
      <c r="G4" t="s">
        <v>1614</v>
      </c>
      <c r="H4" t="s">
        <v>1615</v>
      </c>
    </row>
    <row r="5" spans="1:8" ht="13.5" customHeight="1" x14ac:dyDescent="0.35">
      <c r="A5" s="10">
        <v>2</v>
      </c>
      <c r="B5" s="17" t="s">
        <v>402</v>
      </c>
      <c r="C5" s="17" t="s">
        <v>403</v>
      </c>
      <c r="D5" s="10">
        <f t="shared" si="0"/>
        <v>0</v>
      </c>
      <c r="E5" s="16" t="s">
        <v>0</v>
      </c>
      <c r="F5" s="11" t="s">
        <v>1</v>
      </c>
      <c r="G5" s="12" t="s">
        <v>1661</v>
      </c>
      <c r="H5" t="s">
        <v>1662</v>
      </c>
    </row>
    <row r="6" spans="1:8" ht="13.5" customHeight="1" x14ac:dyDescent="0.35">
      <c r="A6" s="10">
        <v>2</v>
      </c>
      <c r="B6" s="17" t="s">
        <v>402</v>
      </c>
      <c r="C6" s="17" t="s">
        <v>403</v>
      </c>
      <c r="D6" s="10">
        <f t="shared" si="0"/>
        <v>0</v>
      </c>
      <c r="E6" s="16" t="s">
        <v>0</v>
      </c>
      <c r="F6" s="11" t="s">
        <v>5</v>
      </c>
      <c r="G6" s="12" t="s">
        <v>1663</v>
      </c>
      <c r="H6" t="s">
        <v>1664</v>
      </c>
    </row>
    <row r="7" spans="1:8" ht="13.5" customHeight="1" x14ac:dyDescent="0.35">
      <c r="A7" s="10">
        <v>2</v>
      </c>
      <c r="B7" s="17" t="s">
        <v>402</v>
      </c>
      <c r="C7" s="17" t="s">
        <v>403</v>
      </c>
      <c r="D7" s="10">
        <f t="shared" si="0"/>
        <v>0</v>
      </c>
      <c r="E7" s="16" t="s">
        <v>0</v>
      </c>
      <c r="F7" s="11" t="s">
        <v>5</v>
      </c>
      <c r="G7" s="12" t="s">
        <v>1665</v>
      </c>
      <c r="H7" t="s">
        <v>1666</v>
      </c>
    </row>
    <row r="8" spans="1:8" ht="13.5" customHeight="1" x14ac:dyDescent="0.35">
      <c r="A8" s="10">
        <v>3</v>
      </c>
      <c r="B8" s="17" t="s">
        <v>408</v>
      </c>
      <c r="C8" s="17" t="s">
        <v>409</v>
      </c>
      <c r="D8" s="10">
        <f t="shared" si="0"/>
        <v>0</v>
      </c>
      <c r="E8" s="16" t="s">
        <v>0</v>
      </c>
      <c r="F8" s="11" t="s">
        <v>1</v>
      </c>
      <c r="G8" s="12" t="s">
        <v>1679</v>
      </c>
      <c r="H8" t="s">
        <v>1680</v>
      </c>
    </row>
    <row r="9" spans="1:8" ht="13.5" customHeight="1" x14ac:dyDescent="0.35">
      <c r="A9" s="10">
        <v>3</v>
      </c>
      <c r="B9" s="17" t="s">
        <v>408</v>
      </c>
      <c r="C9" s="17" t="s">
        <v>409</v>
      </c>
      <c r="D9" s="10">
        <f t="shared" si="0"/>
        <v>0</v>
      </c>
      <c r="E9" s="16" t="s">
        <v>0</v>
      </c>
      <c r="F9" s="11" t="s">
        <v>5</v>
      </c>
      <c r="G9" s="12" t="s">
        <v>1681</v>
      </c>
      <c r="H9" t="s">
        <v>1682</v>
      </c>
    </row>
    <row r="10" spans="1:8" ht="13.5" customHeight="1" x14ac:dyDescent="0.35">
      <c r="A10" s="10">
        <v>3</v>
      </c>
      <c r="B10" s="17" t="s">
        <v>408</v>
      </c>
      <c r="C10" s="17" t="s">
        <v>409</v>
      </c>
      <c r="D10" s="10">
        <f t="shared" si="0"/>
        <v>0</v>
      </c>
      <c r="E10" s="16" t="s">
        <v>0</v>
      </c>
      <c r="F10" s="11" t="s">
        <v>5</v>
      </c>
      <c r="G10" s="12" t="s">
        <v>1683</v>
      </c>
      <c r="H10" t="s">
        <v>1684</v>
      </c>
    </row>
    <row r="11" spans="1:8" ht="13.5" customHeight="1" x14ac:dyDescent="0.3">
      <c r="A11" s="10">
        <v>4</v>
      </c>
      <c r="B11" s="17" t="s">
        <v>378</v>
      </c>
      <c r="C11" s="17" t="s">
        <v>379</v>
      </c>
      <c r="D11" s="10">
        <f t="shared" si="0"/>
        <v>0</v>
      </c>
      <c r="E11" s="16" t="s">
        <v>0</v>
      </c>
      <c r="F11" s="6" t="s">
        <v>5</v>
      </c>
      <c r="G11" t="s">
        <v>1592</v>
      </c>
      <c r="H11" t="s">
        <v>1593</v>
      </c>
    </row>
    <row r="12" spans="1:8" ht="13.5" customHeight="1" x14ac:dyDescent="0.3">
      <c r="A12" s="10">
        <v>4</v>
      </c>
      <c r="B12" s="17" t="s">
        <v>378</v>
      </c>
      <c r="C12" s="17" t="s">
        <v>379</v>
      </c>
      <c r="D12" s="10">
        <f t="shared" si="0"/>
        <v>1</v>
      </c>
      <c r="E12" s="16" t="s">
        <v>0</v>
      </c>
      <c r="F12" s="6" t="s">
        <v>0</v>
      </c>
      <c r="G12" t="s">
        <v>1594</v>
      </c>
      <c r="H12" t="s">
        <v>1595</v>
      </c>
    </row>
    <row r="13" spans="1:8" ht="13.5" customHeight="1" x14ac:dyDescent="0.3">
      <c r="A13" s="10">
        <v>4</v>
      </c>
      <c r="B13" s="17" t="s">
        <v>378</v>
      </c>
      <c r="C13" s="17" t="s">
        <v>379</v>
      </c>
      <c r="D13" s="10">
        <f t="shared" si="0"/>
        <v>0</v>
      </c>
      <c r="E13" s="16" t="s">
        <v>0</v>
      </c>
      <c r="F13" s="6" t="s">
        <v>1</v>
      </c>
      <c r="G13" t="s">
        <v>1596</v>
      </c>
      <c r="H13" t="s">
        <v>1597</v>
      </c>
    </row>
    <row r="14" spans="1:8" ht="13.5" customHeight="1" x14ac:dyDescent="0.3">
      <c r="A14" s="10">
        <v>5</v>
      </c>
      <c r="B14" s="18" t="s">
        <v>380</v>
      </c>
      <c r="C14" s="18" t="s">
        <v>381</v>
      </c>
      <c r="D14" s="10">
        <f t="shared" si="0"/>
        <v>0</v>
      </c>
      <c r="E14" s="16" t="s">
        <v>0</v>
      </c>
      <c r="F14" s="6" t="s">
        <v>5</v>
      </c>
      <c r="G14" t="s">
        <v>1598</v>
      </c>
      <c r="H14" t="s">
        <v>1599</v>
      </c>
    </row>
    <row r="15" spans="1:8" ht="13.5" customHeight="1" x14ac:dyDescent="0.3">
      <c r="A15" s="10">
        <v>5</v>
      </c>
      <c r="B15" s="18" t="s">
        <v>380</v>
      </c>
      <c r="C15" s="18" t="s">
        <v>381</v>
      </c>
      <c r="D15" s="10">
        <f t="shared" si="0"/>
        <v>0</v>
      </c>
      <c r="E15" s="16" t="s">
        <v>0</v>
      </c>
      <c r="F15" s="6" t="s">
        <v>1</v>
      </c>
      <c r="G15" t="s">
        <v>1600</v>
      </c>
      <c r="H15" t="s">
        <v>1601</v>
      </c>
    </row>
    <row r="16" spans="1:8" ht="13.5" customHeight="1" x14ac:dyDescent="0.3">
      <c r="A16" s="10">
        <v>5</v>
      </c>
      <c r="B16" s="18" t="s">
        <v>380</v>
      </c>
      <c r="C16" s="18" t="s">
        <v>381</v>
      </c>
      <c r="D16" s="10">
        <f t="shared" si="0"/>
        <v>0</v>
      </c>
      <c r="E16" s="16" t="s">
        <v>0</v>
      </c>
      <c r="F16" s="6" t="s">
        <v>5</v>
      </c>
      <c r="G16" t="s">
        <v>1602</v>
      </c>
      <c r="H16" t="s">
        <v>1603</v>
      </c>
    </row>
    <row r="17" spans="1:8" ht="13.5" customHeight="1" x14ac:dyDescent="0.35">
      <c r="A17" s="10">
        <v>6</v>
      </c>
      <c r="B17" s="18" t="s">
        <v>394</v>
      </c>
      <c r="C17" s="18" t="s">
        <v>395</v>
      </c>
      <c r="D17" s="10">
        <f t="shared" si="0"/>
        <v>1</v>
      </c>
      <c r="E17" s="16" t="s">
        <v>5</v>
      </c>
      <c r="F17" s="11" t="s">
        <v>5</v>
      </c>
      <c r="G17" s="12" t="s">
        <v>1637</v>
      </c>
      <c r="H17" t="s">
        <v>1638</v>
      </c>
    </row>
    <row r="18" spans="1:8" ht="13.5" customHeight="1" x14ac:dyDescent="0.35">
      <c r="A18" s="10">
        <v>6</v>
      </c>
      <c r="B18" s="18" t="s">
        <v>394</v>
      </c>
      <c r="C18" s="18" t="s">
        <v>395</v>
      </c>
      <c r="D18" s="10">
        <f t="shared" si="0"/>
        <v>1</v>
      </c>
      <c r="E18" s="16" t="s">
        <v>5</v>
      </c>
      <c r="F18" s="11" t="s">
        <v>5</v>
      </c>
      <c r="G18" s="12" t="s">
        <v>1639</v>
      </c>
      <c r="H18" t="s">
        <v>1640</v>
      </c>
    </row>
    <row r="19" spans="1:8" ht="13.5" customHeight="1" x14ac:dyDescent="0.35">
      <c r="A19" s="10">
        <v>6</v>
      </c>
      <c r="B19" s="18" t="s">
        <v>394</v>
      </c>
      <c r="C19" s="18" t="s">
        <v>395</v>
      </c>
      <c r="D19" s="10">
        <f t="shared" si="0"/>
        <v>1</v>
      </c>
      <c r="E19" s="16" t="s">
        <v>5</v>
      </c>
      <c r="F19" s="11" t="s">
        <v>5</v>
      </c>
      <c r="G19" s="12" t="s">
        <v>1641</v>
      </c>
      <c r="H19" t="s">
        <v>1642</v>
      </c>
    </row>
    <row r="20" spans="1:8" ht="13.5" customHeight="1" x14ac:dyDescent="0.3">
      <c r="A20" s="10">
        <v>7</v>
      </c>
      <c r="B20" s="17" t="s">
        <v>368</v>
      </c>
      <c r="C20" s="17" t="s">
        <v>369</v>
      </c>
      <c r="D20" s="10">
        <f t="shared" si="0"/>
        <v>0</v>
      </c>
      <c r="E20" s="16" t="s">
        <v>1</v>
      </c>
      <c r="F20" s="6" t="s">
        <v>5</v>
      </c>
      <c r="G20" t="s">
        <v>1562</v>
      </c>
      <c r="H20" t="s">
        <v>1563</v>
      </c>
    </row>
    <row r="21" spans="1:8" ht="13.5" customHeight="1" x14ac:dyDescent="0.3">
      <c r="A21" s="10">
        <v>7</v>
      </c>
      <c r="B21" s="17" t="s">
        <v>368</v>
      </c>
      <c r="C21" s="17" t="s">
        <v>369</v>
      </c>
      <c r="D21" s="10">
        <f t="shared" si="0"/>
        <v>0</v>
      </c>
      <c r="E21" s="16" t="s">
        <v>1</v>
      </c>
      <c r="F21" s="6" t="s">
        <v>0</v>
      </c>
      <c r="G21" t="s">
        <v>1564</v>
      </c>
      <c r="H21" t="s">
        <v>1565</v>
      </c>
    </row>
    <row r="22" spans="1:8" ht="13.5" customHeight="1" x14ac:dyDescent="0.3">
      <c r="A22" s="10">
        <v>7</v>
      </c>
      <c r="B22" s="17" t="s">
        <v>368</v>
      </c>
      <c r="C22" s="17" t="s">
        <v>369</v>
      </c>
      <c r="D22" s="10">
        <f t="shared" si="0"/>
        <v>1</v>
      </c>
      <c r="E22" s="16" t="s">
        <v>1</v>
      </c>
      <c r="F22" s="6" t="s">
        <v>1</v>
      </c>
      <c r="G22" t="s">
        <v>1566</v>
      </c>
      <c r="H22" t="s">
        <v>1567</v>
      </c>
    </row>
    <row r="23" spans="1:8" ht="13.5" customHeight="1" x14ac:dyDescent="0.3">
      <c r="A23" s="10">
        <v>8</v>
      </c>
      <c r="B23" s="17" t="s">
        <v>372</v>
      </c>
      <c r="C23" s="17" t="s">
        <v>373</v>
      </c>
      <c r="D23" s="10">
        <f t="shared" si="0"/>
        <v>0</v>
      </c>
      <c r="E23" s="16" t="s">
        <v>0</v>
      </c>
      <c r="F23" s="6" t="s">
        <v>1</v>
      </c>
      <c r="G23" t="s">
        <v>1574</v>
      </c>
      <c r="H23" t="s">
        <v>1575</v>
      </c>
    </row>
    <row r="24" spans="1:8" ht="13.5" customHeight="1" x14ac:dyDescent="0.3">
      <c r="A24" s="10">
        <v>8</v>
      </c>
      <c r="B24" s="17" t="s">
        <v>372</v>
      </c>
      <c r="C24" s="17" t="s">
        <v>373</v>
      </c>
      <c r="D24" s="10">
        <f t="shared" si="0"/>
        <v>0</v>
      </c>
      <c r="E24" s="16" t="s">
        <v>0</v>
      </c>
      <c r="F24" s="6" t="s">
        <v>1</v>
      </c>
      <c r="G24" s="2" t="s">
        <v>1576</v>
      </c>
      <c r="H24" t="s">
        <v>1577</v>
      </c>
    </row>
    <row r="25" spans="1:8" ht="13.5" customHeight="1" x14ac:dyDescent="0.3">
      <c r="A25" s="10">
        <v>8</v>
      </c>
      <c r="B25" s="17" t="s">
        <v>372</v>
      </c>
      <c r="C25" s="17" t="s">
        <v>373</v>
      </c>
      <c r="D25" s="10">
        <f t="shared" si="0"/>
        <v>0</v>
      </c>
      <c r="E25" s="16" t="s">
        <v>0</v>
      </c>
      <c r="F25" s="6" t="s">
        <v>1</v>
      </c>
      <c r="G25" t="s">
        <v>1578</v>
      </c>
      <c r="H25" t="s">
        <v>1579</v>
      </c>
    </row>
    <row r="26" spans="1:8" ht="13.5" customHeight="1" x14ac:dyDescent="0.35">
      <c r="A26" s="10">
        <v>9</v>
      </c>
      <c r="B26" s="17" t="s">
        <v>410</v>
      </c>
      <c r="C26" s="17" t="s">
        <v>411</v>
      </c>
      <c r="D26" s="10">
        <f t="shared" si="0"/>
        <v>0</v>
      </c>
      <c r="E26" s="16" t="s">
        <v>5</v>
      </c>
      <c r="F26" s="11" t="s">
        <v>0</v>
      </c>
      <c r="G26" s="12" t="s">
        <v>1685</v>
      </c>
      <c r="H26" t="s">
        <v>1686</v>
      </c>
    </row>
    <row r="27" spans="1:8" ht="13.5" customHeight="1" x14ac:dyDescent="0.35">
      <c r="A27" s="10">
        <v>9</v>
      </c>
      <c r="B27" s="17" t="s">
        <v>410</v>
      </c>
      <c r="C27" s="17" t="s">
        <v>411</v>
      </c>
      <c r="D27" s="10">
        <f t="shared" si="0"/>
        <v>1</v>
      </c>
      <c r="E27" s="16" t="s">
        <v>5</v>
      </c>
      <c r="F27" s="11" t="s">
        <v>5</v>
      </c>
      <c r="G27" s="12" t="s">
        <v>1687</v>
      </c>
      <c r="H27" t="s">
        <v>1688</v>
      </c>
    </row>
    <row r="28" spans="1:8" ht="13.5" customHeight="1" x14ac:dyDescent="0.35">
      <c r="A28" s="10">
        <v>9</v>
      </c>
      <c r="B28" s="17" t="s">
        <v>410</v>
      </c>
      <c r="C28" s="17" t="s">
        <v>411</v>
      </c>
      <c r="D28" s="10">
        <f t="shared" si="0"/>
        <v>0</v>
      </c>
      <c r="E28" s="16" t="s">
        <v>5</v>
      </c>
      <c r="F28" s="11" t="s">
        <v>0</v>
      </c>
      <c r="G28" s="12" t="s">
        <v>1689</v>
      </c>
      <c r="H28" t="s">
        <v>1690</v>
      </c>
    </row>
    <row r="29" spans="1:8" ht="13.5" customHeight="1" x14ac:dyDescent="0.3">
      <c r="A29" s="10">
        <v>10</v>
      </c>
      <c r="B29" s="17" t="s">
        <v>392</v>
      </c>
      <c r="C29" s="17" t="s">
        <v>393</v>
      </c>
      <c r="D29" s="10">
        <f t="shared" si="0"/>
        <v>0</v>
      </c>
      <c r="E29" s="16" t="s">
        <v>1</v>
      </c>
      <c r="F29" s="6" t="s">
        <v>5</v>
      </c>
      <c r="G29" t="s">
        <v>1632</v>
      </c>
      <c r="H29" t="s">
        <v>1633</v>
      </c>
    </row>
    <row r="30" spans="1:8" ht="13.5" customHeight="1" x14ac:dyDescent="0.3">
      <c r="A30" s="10">
        <v>10</v>
      </c>
      <c r="B30" s="17" t="s">
        <v>392</v>
      </c>
      <c r="C30" s="17" t="s">
        <v>393</v>
      </c>
      <c r="D30" s="10">
        <f t="shared" si="0"/>
        <v>0</v>
      </c>
      <c r="E30" s="16" t="s">
        <v>1</v>
      </c>
      <c r="F30" s="6" t="s">
        <v>5</v>
      </c>
      <c r="G30" t="s">
        <v>1634</v>
      </c>
      <c r="H30" t="s">
        <v>1635</v>
      </c>
    </row>
    <row r="31" spans="1:8" ht="13.5" customHeight="1" x14ac:dyDescent="0.3">
      <c r="A31" s="10">
        <v>10</v>
      </c>
      <c r="B31" s="17" t="s">
        <v>392</v>
      </c>
      <c r="C31" s="17" t="s">
        <v>393</v>
      </c>
      <c r="D31" s="10">
        <f t="shared" si="0"/>
        <v>1</v>
      </c>
      <c r="E31" s="16" t="s">
        <v>1</v>
      </c>
      <c r="F31" s="6" t="s">
        <v>1</v>
      </c>
      <c r="G31" t="s">
        <v>88</v>
      </c>
      <c r="H31" t="s">
        <v>1636</v>
      </c>
    </row>
    <row r="32" spans="1:8" ht="13.5" customHeight="1" x14ac:dyDescent="0.3">
      <c r="A32" s="10">
        <v>11</v>
      </c>
      <c r="B32" s="17" t="s">
        <v>366</v>
      </c>
      <c r="C32" s="17" t="s">
        <v>367</v>
      </c>
      <c r="D32" s="10">
        <f t="shared" si="0"/>
        <v>1</v>
      </c>
      <c r="E32" s="16" t="s">
        <v>5</v>
      </c>
      <c r="F32" s="6" t="s">
        <v>5</v>
      </c>
      <c r="G32" t="s">
        <v>1556</v>
      </c>
      <c r="H32" t="s">
        <v>1557</v>
      </c>
    </row>
    <row r="33" spans="1:8" ht="13.5" customHeight="1" x14ac:dyDescent="0.3">
      <c r="A33" s="10">
        <v>11</v>
      </c>
      <c r="B33" s="17" t="s">
        <v>366</v>
      </c>
      <c r="C33" s="17" t="s">
        <v>367</v>
      </c>
      <c r="D33" s="10">
        <f t="shared" si="0"/>
        <v>0</v>
      </c>
      <c r="E33" s="16" t="s">
        <v>5</v>
      </c>
      <c r="F33" s="6" t="s">
        <v>1</v>
      </c>
      <c r="G33" t="s">
        <v>1558</v>
      </c>
      <c r="H33" t="s">
        <v>1559</v>
      </c>
    </row>
    <row r="34" spans="1:8" ht="13.5" customHeight="1" x14ac:dyDescent="0.3">
      <c r="A34" s="10">
        <v>11</v>
      </c>
      <c r="B34" s="17" t="s">
        <v>366</v>
      </c>
      <c r="C34" s="17" t="s">
        <v>367</v>
      </c>
      <c r="D34" s="10">
        <f t="shared" ref="D34:D65" si="1">IF(E34=F34,1,0)</f>
        <v>1</v>
      </c>
      <c r="E34" s="16" t="s">
        <v>5</v>
      </c>
      <c r="F34" s="6" t="s">
        <v>5</v>
      </c>
      <c r="G34" t="s">
        <v>1560</v>
      </c>
      <c r="H34" t="s">
        <v>1561</v>
      </c>
    </row>
    <row r="35" spans="1:8" ht="13.5" customHeight="1" x14ac:dyDescent="0.3">
      <c r="A35" s="44">
        <v>12</v>
      </c>
      <c r="B35" s="17" t="s">
        <v>382</v>
      </c>
      <c r="C35" s="18" t="s">
        <v>383</v>
      </c>
      <c r="D35" s="10">
        <f t="shared" si="1"/>
        <v>1</v>
      </c>
      <c r="E35" s="16" t="s">
        <v>1</v>
      </c>
      <c r="F35" s="6" t="s">
        <v>1</v>
      </c>
      <c r="G35" t="s">
        <v>1604</v>
      </c>
      <c r="H35" t="s">
        <v>1605</v>
      </c>
    </row>
    <row r="36" spans="1:8" ht="13.5" customHeight="1" x14ac:dyDescent="0.3">
      <c r="A36" s="44">
        <v>12</v>
      </c>
      <c r="B36" s="17" t="s">
        <v>382</v>
      </c>
      <c r="C36" s="18" t="s">
        <v>383</v>
      </c>
      <c r="D36" s="10">
        <f t="shared" si="1"/>
        <v>0</v>
      </c>
      <c r="E36" s="16" t="s">
        <v>1</v>
      </c>
      <c r="F36" s="6" t="s">
        <v>5</v>
      </c>
      <c r="G36" t="s">
        <v>1606</v>
      </c>
      <c r="H36" t="s">
        <v>1607</v>
      </c>
    </row>
    <row r="37" spans="1:8" ht="13.5" customHeight="1" x14ac:dyDescent="0.3">
      <c r="A37" s="44">
        <v>12</v>
      </c>
      <c r="B37" s="17" t="s">
        <v>382</v>
      </c>
      <c r="C37" s="18" t="s">
        <v>383</v>
      </c>
      <c r="D37" s="10">
        <f t="shared" si="1"/>
        <v>0</v>
      </c>
      <c r="E37" s="16" t="s">
        <v>1</v>
      </c>
      <c r="F37" s="6" t="s">
        <v>0</v>
      </c>
      <c r="G37" t="s">
        <v>1608</v>
      </c>
      <c r="H37" t="s">
        <v>1609</v>
      </c>
    </row>
    <row r="38" spans="1:8" ht="13.5" customHeight="1" x14ac:dyDescent="0.3">
      <c r="A38" s="10">
        <v>13</v>
      </c>
      <c r="B38" s="17" t="s">
        <v>374</v>
      </c>
      <c r="C38" s="17" t="s">
        <v>375</v>
      </c>
      <c r="D38" s="10">
        <f t="shared" si="1"/>
        <v>1</v>
      </c>
      <c r="E38" s="16" t="s">
        <v>5</v>
      </c>
      <c r="F38" s="6" t="s">
        <v>5</v>
      </c>
      <c r="G38" t="s">
        <v>1580</v>
      </c>
      <c r="H38" t="s">
        <v>1581</v>
      </c>
    </row>
    <row r="39" spans="1:8" ht="13.5" customHeight="1" x14ac:dyDescent="0.3">
      <c r="A39" s="10">
        <v>13</v>
      </c>
      <c r="B39" s="17" t="s">
        <v>374</v>
      </c>
      <c r="C39" s="17" t="s">
        <v>375</v>
      </c>
      <c r="D39" s="10">
        <f t="shared" si="1"/>
        <v>1</v>
      </c>
      <c r="E39" s="16" t="s">
        <v>5</v>
      </c>
      <c r="F39" s="6" t="s">
        <v>5</v>
      </c>
      <c r="G39" t="s">
        <v>1582</v>
      </c>
      <c r="H39" t="s">
        <v>1583</v>
      </c>
    </row>
    <row r="40" spans="1:8" ht="13.5" customHeight="1" x14ac:dyDescent="0.3">
      <c r="A40" s="10">
        <v>13</v>
      </c>
      <c r="B40" s="17" t="s">
        <v>374</v>
      </c>
      <c r="C40" s="17" t="s">
        <v>375</v>
      </c>
      <c r="D40" s="10">
        <f t="shared" si="1"/>
        <v>0</v>
      </c>
      <c r="E40" s="16" t="s">
        <v>5</v>
      </c>
      <c r="F40" s="6" t="s">
        <v>1</v>
      </c>
      <c r="G40" t="s">
        <v>1584</v>
      </c>
      <c r="H40" t="s">
        <v>1585</v>
      </c>
    </row>
    <row r="41" spans="1:8" ht="13.5" customHeight="1" x14ac:dyDescent="0.3">
      <c r="A41" s="10">
        <v>14</v>
      </c>
      <c r="B41" s="17" t="s">
        <v>376</v>
      </c>
      <c r="C41" s="17" t="s">
        <v>377</v>
      </c>
      <c r="D41" s="10">
        <f t="shared" si="1"/>
        <v>1</v>
      </c>
      <c r="E41" s="16" t="s">
        <v>5</v>
      </c>
      <c r="F41" s="6" t="s">
        <v>5</v>
      </c>
      <c r="G41" t="s">
        <v>1586</v>
      </c>
      <c r="H41" t="s">
        <v>1587</v>
      </c>
    </row>
    <row r="42" spans="1:8" ht="13.5" customHeight="1" x14ac:dyDescent="0.3">
      <c r="A42" s="10">
        <v>14</v>
      </c>
      <c r="B42" s="17" t="s">
        <v>376</v>
      </c>
      <c r="C42" s="17" t="s">
        <v>377</v>
      </c>
      <c r="D42" s="10">
        <f t="shared" si="1"/>
        <v>1</v>
      </c>
      <c r="E42" s="16" t="s">
        <v>5</v>
      </c>
      <c r="F42" s="6" t="s">
        <v>5</v>
      </c>
      <c r="G42" t="s">
        <v>1588</v>
      </c>
      <c r="H42" t="s">
        <v>1589</v>
      </c>
    </row>
    <row r="43" spans="1:8" ht="13.5" customHeight="1" x14ac:dyDescent="0.3">
      <c r="A43" s="10">
        <v>14</v>
      </c>
      <c r="B43" s="17" t="s">
        <v>376</v>
      </c>
      <c r="C43" s="17" t="s">
        <v>377</v>
      </c>
      <c r="D43" s="10">
        <f t="shared" si="1"/>
        <v>0</v>
      </c>
      <c r="E43" s="16" t="s">
        <v>5</v>
      </c>
      <c r="F43" s="6" t="s">
        <v>1</v>
      </c>
      <c r="G43" t="s">
        <v>1590</v>
      </c>
      <c r="H43" t="s">
        <v>1591</v>
      </c>
    </row>
    <row r="44" spans="1:8" ht="13.5" customHeight="1" x14ac:dyDescent="0.3">
      <c r="A44" s="10">
        <v>15</v>
      </c>
      <c r="B44" s="17" t="s">
        <v>388</v>
      </c>
      <c r="C44" s="17" t="s">
        <v>389</v>
      </c>
      <c r="D44" s="10">
        <f t="shared" si="1"/>
        <v>0</v>
      </c>
      <c r="E44" s="16" t="s">
        <v>1</v>
      </c>
      <c r="F44" s="6" t="s">
        <v>5</v>
      </c>
      <c r="G44" t="s">
        <v>1622</v>
      </c>
      <c r="H44" t="s">
        <v>1623</v>
      </c>
    </row>
    <row r="45" spans="1:8" ht="13.5" customHeight="1" x14ac:dyDescent="0.3">
      <c r="A45" s="10">
        <v>15</v>
      </c>
      <c r="B45" s="17" t="s">
        <v>388</v>
      </c>
      <c r="C45" s="17" t="s">
        <v>389</v>
      </c>
      <c r="D45" s="10">
        <f t="shared" si="1"/>
        <v>1</v>
      </c>
      <c r="E45" s="16" t="s">
        <v>1</v>
      </c>
      <c r="F45" s="6" t="s">
        <v>1</v>
      </c>
      <c r="G45" t="s">
        <v>1624</v>
      </c>
      <c r="H45" t="s">
        <v>1625</v>
      </c>
    </row>
    <row r="46" spans="1:8" ht="13.5" customHeight="1" x14ac:dyDescent="0.3">
      <c r="A46" s="10">
        <v>15</v>
      </c>
      <c r="B46" s="17" t="s">
        <v>388</v>
      </c>
      <c r="C46" s="17" t="s">
        <v>389</v>
      </c>
      <c r="D46" s="10">
        <f t="shared" si="1"/>
        <v>0</v>
      </c>
      <c r="E46" s="16" t="s">
        <v>1</v>
      </c>
      <c r="F46" s="6" t="s">
        <v>5</v>
      </c>
      <c r="G46" t="s">
        <v>1626</v>
      </c>
      <c r="H46" t="s">
        <v>1627</v>
      </c>
    </row>
    <row r="47" spans="1:8" ht="13.5" customHeight="1" x14ac:dyDescent="0.35">
      <c r="A47" s="10">
        <v>16</v>
      </c>
      <c r="B47" s="18" t="s">
        <v>414</v>
      </c>
      <c r="C47" s="17" t="s">
        <v>415</v>
      </c>
      <c r="D47" s="10">
        <f t="shared" si="1"/>
        <v>0</v>
      </c>
      <c r="E47" s="16" t="s">
        <v>0</v>
      </c>
      <c r="F47" s="11" t="s">
        <v>5</v>
      </c>
      <c r="G47" s="12" t="s">
        <v>1696</v>
      </c>
      <c r="H47" t="s">
        <v>1697</v>
      </c>
    </row>
    <row r="48" spans="1:8" ht="13.5" customHeight="1" x14ac:dyDescent="0.35">
      <c r="A48" s="10">
        <v>16</v>
      </c>
      <c r="B48" s="18" t="s">
        <v>414</v>
      </c>
      <c r="C48" s="17" t="s">
        <v>415</v>
      </c>
      <c r="D48" s="10">
        <f t="shared" si="1"/>
        <v>0</v>
      </c>
      <c r="E48" s="16" t="s">
        <v>0</v>
      </c>
      <c r="F48" s="11" t="s">
        <v>5</v>
      </c>
      <c r="G48" s="12" t="s">
        <v>1698</v>
      </c>
      <c r="H48" t="s">
        <v>1699</v>
      </c>
    </row>
    <row r="49" spans="1:8" ht="13.5" customHeight="1" x14ac:dyDescent="0.35">
      <c r="A49" s="10">
        <v>16</v>
      </c>
      <c r="B49" s="18" t="s">
        <v>414</v>
      </c>
      <c r="C49" s="17" t="s">
        <v>415</v>
      </c>
      <c r="D49" s="10">
        <f t="shared" si="1"/>
        <v>0</v>
      </c>
      <c r="E49" s="16" t="s">
        <v>0</v>
      </c>
      <c r="F49" s="11" t="s">
        <v>5</v>
      </c>
      <c r="G49" s="12" t="s">
        <v>1700</v>
      </c>
      <c r="H49" t="s">
        <v>1701</v>
      </c>
    </row>
    <row r="50" spans="1:8" ht="13.5" customHeight="1" x14ac:dyDescent="0.3">
      <c r="A50" s="43">
        <v>17</v>
      </c>
      <c r="B50" s="18" t="s">
        <v>386</v>
      </c>
      <c r="C50" s="18" t="s">
        <v>387</v>
      </c>
      <c r="D50" s="10">
        <f t="shared" si="1"/>
        <v>1</v>
      </c>
      <c r="E50" s="16" t="s">
        <v>5</v>
      </c>
      <c r="F50" s="6" t="s">
        <v>5</v>
      </c>
      <c r="G50" t="s">
        <v>1616</v>
      </c>
      <c r="H50" t="s">
        <v>1617</v>
      </c>
    </row>
    <row r="51" spans="1:8" ht="13.5" customHeight="1" x14ac:dyDescent="0.3">
      <c r="A51" s="43">
        <v>17</v>
      </c>
      <c r="B51" s="18" t="s">
        <v>386</v>
      </c>
      <c r="C51" s="18" t="s">
        <v>387</v>
      </c>
      <c r="D51" s="10">
        <f t="shared" si="1"/>
        <v>1</v>
      </c>
      <c r="E51" s="16" t="s">
        <v>5</v>
      </c>
      <c r="F51" s="6" t="s">
        <v>5</v>
      </c>
      <c r="G51" t="s">
        <v>1618</v>
      </c>
      <c r="H51" t="s">
        <v>1619</v>
      </c>
    </row>
    <row r="52" spans="1:8" ht="13.5" customHeight="1" x14ac:dyDescent="0.3">
      <c r="A52" s="43">
        <v>17</v>
      </c>
      <c r="B52" s="18" t="s">
        <v>386</v>
      </c>
      <c r="C52" s="18" t="s">
        <v>387</v>
      </c>
      <c r="D52" s="10">
        <f t="shared" si="1"/>
        <v>1</v>
      </c>
      <c r="E52" s="16" t="s">
        <v>5</v>
      </c>
      <c r="F52" s="6" t="s">
        <v>5</v>
      </c>
      <c r="G52" t="s">
        <v>1620</v>
      </c>
      <c r="H52" t="s">
        <v>1621</v>
      </c>
    </row>
    <row r="53" spans="1:8" ht="13.5" customHeight="1" x14ac:dyDescent="0.3">
      <c r="A53" s="10">
        <v>18</v>
      </c>
      <c r="B53" s="17" t="s">
        <v>370</v>
      </c>
      <c r="C53" s="17" t="s">
        <v>371</v>
      </c>
      <c r="D53" s="10">
        <f t="shared" si="1"/>
        <v>1</v>
      </c>
      <c r="E53" s="16" t="s">
        <v>5</v>
      </c>
      <c r="F53" s="6" t="s">
        <v>5</v>
      </c>
      <c r="G53" t="s">
        <v>1568</v>
      </c>
      <c r="H53" t="s">
        <v>1569</v>
      </c>
    </row>
    <row r="54" spans="1:8" ht="13.5" customHeight="1" x14ac:dyDescent="0.3">
      <c r="A54" s="10">
        <v>18</v>
      </c>
      <c r="B54" s="17" t="s">
        <v>370</v>
      </c>
      <c r="C54" s="17" t="s">
        <v>371</v>
      </c>
      <c r="D54" s="10">
        <f t="shared" si="1"/>
        <v>0</v>
      </c>
      <c r="E54" s="16" t="s">
        <v>5</v>
      </c>
      <c r="F54" s="6" t="s">
        <v>0</v>
      </c>
      <c r="G54" t="s">
        <v>1570</v>
      </c>
      <c r="H54" t="s">
        <v>1571</v>
      </c>
    </row>
    <row r="55" spans="1:8" ht="13.5" customHeight="1" x14ac:dyDescent="0.3">
      <c r="A55" s="10">
        <v>18</v>
      </c>
      <c r="B55" s="17" t="s">
        <v>370</v>
      </c>
      <c r="C55" s="17" t="s">
        <v>371</v>
      </c>
      <c r="D55" s="10">
        <f t="shared" si="1"/>
        <v>0</v>
      </c>
      <c r="E55" s="16" t="s">
        <v>5</v>
      </c>
      <c r="F55" s="6" t="s">
        <v>1</v>
      </c>
      <c r="G55" t="s">
        <v>1572</v>
      </c>
      <c r="H55" t="s">
        <v>1573</v>
      </c>
    </row>
    <row r="56" spans="1:8" ht="13.5" customHeight="1" x14ac:dyDescent="0.3">
      <c r="A56" s="10">
        <v>19</v>
      </c>
      <c r="B56" s="18" t="s">
        <v>426</v>
      </c>
      <c r="C56" s="18" t="s">
        <v>427</v>
      </c>
      <c r="D56" s="10">
        <f t="shared" si="1"/>
        <v>0</v>
      </c>
      <c r="E56" s="16" t="s">
        <v>0</v>
      </c>
      <c r="F56" s="6" t="s">
        <v>5</v>
      </c>
      <c r="G56" t="s">
        <v>1732</v>
      </c>
      <c r="H56" t="s">
        <v>1733</v>
      </c>
    </row>
    <row r="57" spans="1:8" ht="13.5" customHeight="1" x14ac:dyDescent="0.3">
      <c r="A57" s="10">
        <v>19</v>
      </c>
      <c r="B57" s="18" t="s">
        <v>426</v>
      </c>
      <c r="C57" s="18" t="s">
        <v>427</v>
      </c>
      <c r="D57" s="10">
        <f t="shared" si="1"/>
        <v>0</v>
      </c>
      <c r="E57" s="16" t="s">
        <v>0</v>
      </c>
      <c r="F57" s="6" t="s">
        <v>1</v>
      </c>
      <c r="G57" t="s">
        <v>1734</v>
      </c>
      <c r="H57" t="s">
        <v>1735</v>
      </c>
    </row>
    <row r="58" spans="1:8" ht="13.5" customHeight="1" x14ac:dyDescent="0.3">
      <c r="A58" s="10">
        <v>19</v>
      </c>
      <c r="B58" s="18" t="s">
        <v>426</v>
      </c>
      <c r="C58" s="18" t="s">
        <v>427</v>
      </c>
      <c r="D58" s="10">
        <f t="shared" si="1"/>
        <v>0</v>
      </c>
      <c r="E58" s="16" t="s">
        <v>0</v>
      </c>
      <c r="F58" s="6" t="s">
        <v>5</v>
      </c>
      <c r="G58" t="s">
        <v>1736</v>
      </c>
      <c r="H58" t="s">
        <v>1737</v>
      </c>
    </row>
    <row r="59" spans="1:8" ht="13.5" customHeight="1" x14ac:dyDescent="0.35">
      <c r="A59" s="10">
        <v>20</v>
      </c>
      <c r="B59" s="17" t="s">
        <v>398</v>
      </c>
      <c r="C59" s="17" t="s">
        <v>399</v>
      </c>
      <c r="D59" s="10">
        <f t="shared" si="1"/>
        <v>0</v>
      </c>
      <c r="E59" s="16" t="s">
        <v>0</v>
      </c>
      <c r="F59" s="11" t="s">
        <v>1</v>
      </c>
      <c r="G59" s="12" t="s">
        <v>1649</v>
      </c>
      <c r="H59" t="s">
        <v>1650</v>
      </c>
    </row>
    <row r="60" spans="1:8" ht="13.5" customHeight="1" x14ac:dyDescent="0.35">
      <c r="A60" s="10">
        <v>20</v>
      </c>
      <c r="B60" s="17" t="s">
        <v>398</v>
      </c>
      <c r="C60" s="17" t="s">
        <v>399</v>
      </c>
      <c r="D60" s="10">
        <f t="shared" si="1"/>
        <v>0</v>
      </c>
      <c r="E60" s="16" t="s">
        <v>0</v>
      </c>
      <c r="F60" s="11" t="s">
        <v>5</v>
      </c>
      <c r="G60" s="12" t="s">
        <v>1651</v>
      </c>
      <c r="H60" t="s">
        <v>1652</v>
      </c>
    </row>
    <row r="61" spans="1:8" ht="13.5" customHeight="1" x14ac:dyDescent="0.35">
      <c r="A61" s="10">
        <v>20</v>
      </c>
      <c r="B61" s="17" t="s">
        <v>398</v>
      </c>
      <c r="C61" s="17" t="s">
        <v>399</v>
      </c>
      <c r="D61" s="10">
        <f t="shared" si="1"/>
        <v>0</v>
      </c>
      <c r="E61" s="16" t="s">
        <v>0</v>
      </c>
      <c r="F61" s="11" t="s">
        <v>5</v>
      </c>
      <c r="G61" s="12" t="s">
        <v>1653</v>
      </c>
      <c r="H61" t="s">
        <v>1654</v>
      </c>
    </row>
    <row r="62" spans="1:8" ht="13.5" customHeight="1" x14ac:dyDescent="0.35">
      <c r="A62" s="10">
        <v>21</v>
      </c>
      <c r="B62" s="17" t="s">
        <v>416</v>
      </c>
      <c r="C62" s="17" t="s">
        <v>417</v>
      </c>
      <c r="D62" s="10">
        <f t="shared" si="1"/>
        <v>0</v>
      </c>
      <c r="E62" s="16" t="s">
        <v>1</v>
      </c>
      <c r="F62" s="11" t="s">
        <v>0</v>
      </c>
      <c r="G62" s="12" t="s">
        <v>1702</v>
      </c>
      <c r="H62" t="s">
        <v>1703</v>
      </c>
    </row>
    <row r="63" spans="1:8" ht="13.5" customHeight="1" x14ac:dyDescent="0.35">
      <c r="A63" s="10">
        <v>21</v>
      </c>
      <c r="B63" s="17" t="s">
        <v>416</v>
      </c>
      <c r="C63" s="17" t="s">
        <v>417</v>
      </c>
      <c r="D63" s="10">
        <f t="shared" si="1"/>
        <v>1</v>
      </c>
      <c r="E63" s="16" t="s">
        <v>1</v>
      </c>
      <c r="F63" s="11" t="s">
        <v>1</v>
      </c>
      <c r="G63" s="12" t="s">
        <v>1704</v>
      </c>
      <c r="H63" t="s">
        <v>1705</v>
      </c>
    </row>
    <row r="64" spans="1:8" ht="13.5" customHeight="1" x14ac:dyDescent="0.35">
      <c r="A64" s="10">
        <v>21</v>
      </c>
      <c r="B64" s="17" t="s">
        <v>416</v>
      </c>
      <c r="C64" s="17" t="s">
        <v>417</v>
      </c>
      <c r="D64" s="10">
        <f t="shared" si="1"/>
        <v>0</v>
      </c>
      <c r="E64" s="16" t="s">
        <v>1</v>
      </c>
      <c r="F64" s="11" t="s">
        <v>5</v>
      </c>
      <c r="G64" s="12" t="s">
        <v>1706</v>
      </c>
      <c r="H64" t="s">
        <v>1707</v>
      </c>
    </row>
    <row r="65" spans="1:8" ht="13.5" customHeight="1" x14ac:dyDescent="0.3">
      <c r="A65" s="10">
        <v>22</v>
      </c>
      <c r="B65" s="17" t="s">
        <v>424</v>
      </c>
      <c r="C65" s="18" t="s">
        <v>425</v>
      </c>
      <c r="D65" s="10">
        <f t="shared" si="1"/>
        <v>0</v>
      </c>
      <c r="E65" s="16" t="s">
        <v>5</v>
      </c>
      <c r="F65" s="6" t="s">
        <v>1</v>
      </c>
      <c r="G65" t="s">
        <v>1726</v>
      </c>
      <c r="H65" t="s">
        <v>1727</v>
      </c>
    </row>
    <row r="66" spans="1:8" ht="13.5" customHeight="1" x14ac:dyDescent="0.3">
      <c r="A66" s="10">
        <v>22</v>
      </c>
      <c r="B66" s="17" t="s">
        <v>424</v>
      </c>
      <c r="C66" s="18" t="s">
        <v>425</v>
      </c>
      <c r="D66" s="10">
        <f t="shared" ref="D66:D97" si="2">IF(E66=F66,1,0)</f>
        <v>1</v>
      </c>
      <c r="E66" s="16" t="s">
        <v>5</v>
      </c>
      <c r="F66" s="6" t="s">
        <v>5</v>
      </c>
      <c r="G66" t="s">
        <v>1728</v>
      </c>
      <c r="H66" t="s">
        <v>1729</v>
      </c>
    </row>
    <row r="67" spans="1:8" ht="13.5" customHeight="1" x14ac:dyDescent="0.3">
      <c r="A67" s="10">
        <v>22</v>
      </c>
      <c r="B67" s="17" t="s">
        <v>424</v>
      </c>
      <c r="C67" s="18" t="s">
        <v>425</v>
      </c>
      <c r="D67" s="10">
        <f t="shared" si="2"/>
        <v>1</v>
      </c>
      <c r="E67" s="16" t="s">
        <v>5</v>
      </c>
      <c r="F67" s="6" t="s">
        <v>5</v>
      </c>
      <c r="G67" t="s">
        <v>1730</v>
      </c>
      <c r="H67" t="s">
        <v>1731</v>
      </c>
    </row>
    <row r="68" spans="1:8" ht="13.5" customHeight="1" x14ac:dyDescent="0.35">
      <c r="A68" s="10">
        <v>23</v>
      </c>
      <c r="B68" s="17" t="s">
        <v>412</v>
      </c>
      <c r="C68" s="17" t="s">
        <v>413</v>
      </c>
      <c r="D68" s="10">
        <f t="shared" si="2"/>
        <v>0</v>
      </c>
      <c r="E68" s="16" t="s">
        <v>1</v>
      </c>
      <c r="F68" s="11" t="s">
        <v>0</v>
      </c>
      <c r="G68" s="12" t="s">
        <v>1691</v>
      </c>
      <c r="H68" t="s">
        <v>1692</v>
      </c>
    </row>
    <row r="69" spans="1:8" ht="13.5" customHeight="1" x14ac:dyDescent="0.35">
      <c r="A69" s="10">
        <v>23</v>
      </c>
      <c r="B69" s="17" t="s">
        <v>412</v>
      </c>
      <c r="C69" s="17" t="s">
        <v>413</v>
      </c>
      <c r="D69" s="10">
        <f t="shared" si="2"/>
        <v>1</v>
      </c>
      <c r="E69" s="16" t="s">
        <v>1</v>
      </c>
      <c r="F69" s="11" t="s">
        <v>1</v>
      </c>
      <c r="G69" s="12" t="s">
        <v>1924</v>
      </c>
      <c r="H69" t="s">
        <v>1693</v>
      </c>
    </row>
    <row r="70" spans="1:8" ht="13.5" customHeight="1" x14ac:dyDescent="0.35">
      <c r="A70" s="10">
        <v>23</v>
      </c>
      <c r="B70" s="17" t="s">
        <v>412</v>
      </c>
      <c r="C70" s="17" t="s">
        <v>413</v>
      </c>
      <c r="D70" s="10">
        <f t="shared" si="2"/>
        <v>0</v>
      </c>
      <c r="E70" s="16" t="s">
        <v>1</v>
      </c>
      <c r="F70" s="11" t="s">
        <v>5</v>
      </c>
      <c r="G70" s="12" t="s">
        <v>1694</v>
      </c>
      <c r="H70" t="s">
        <v>1695</v>
      </c>
    </row>
    <row r="71" spans="1:8" ht="13.5" customHeight="1" x14ac:dyDescent="0.35">
      <c r="A71" s="10">
        <v>24</v>
      </c>
      <c r="B71" s="17" t="s">
        <v>404</v>
      </c>
      <c r="C71" s="17" t="s">
        <v>405</v>
      </c>
      <c r="D71" s="10">
        <f t="shared" si="2"/>
        <v>0</v>
      </c>
      <c r="E71" s="16" t="s">
        <v>0</v>
      </c>
      <c r="F71" s="11" t="s">
        <v>5</v>
      </c>
      <c r="G71" s="12" t="s">
        <v>1667</v>
      </c>
      <c r="H71" t="s">
        <v>1668</v>
      </c>
    </row>
    <row r="72" spans="1:8" ht="13.5" customHeight="1" x14ac:dyDescent="0.35">
      <c r="A72" s="10">
        <v>24</v>
      </c>
      <c r="B72" s="17" t="s">
        <v>404</v>
      </c>
      <c r="C72" s="17" t="s">
        <v>405</v>
      </c>
      <c r="D72" s="10">
        <f t="shared" si="2"/>
        <v>0</v>
      </c>
      <c r="E72" s="16" t="s">
        <v>0</v>
      </c>
      <c r="F72" s="11" t="s">
        <v>5</v>
      </c>
      <c r="G72" s="12" t="s">
        <v>1669</v>
      </c>
      <c r="H72" t="s">
        <v>1670</v>
      </c>
    </row>
    <row r="73" spans="1:8" ht="13.5" customHeight="1" x14ac:dyDescent="0.35">
      <c r="A73" s="10">
        <v>24</v>
      </c>
      <c r="B73" s="17" t="s">
        <v>404</v>
      </c>
      <c r="C73" s="17" t="s">
        <v>405</v>
      </c>
      <c r="D73" s="10">
        <f t="shared" si="2"/>
        <v>0</v>
      </c>
      <c r="E73" s="16" t="s">
        <v>0</v>
      </c>
      <c r="F73" s="11" t="s">
        <v>5</v>
      </c>
      <c r="G73" s="12" t="s">
        <v>1671</v>
      </c>
      <c r="H73" t="s">
        <v>1672</v>
      </c>
    </row>
    <row r="74" spans="1:8" ht="13.5" customHeight="1" x14ac:dyDescent="0.3">
      <c r="A74" s="10">
        <v>25</v>
      </c>
      <c r="B74" s="17" t="s">
        <v>390</v>
      </c>
      <c r="C74" s="17" t="s">
        <v>391</v>
      </c>
      <c r="D74" s="10">
        <f t="shared" si="2"/>
        <v>1</v>
      </c>
      <c r="E74" s="16" t="s">
        <v>1</v>
      </c>
      <c r="F74" s="6" t="s">
        <v>1</v>
      </c>
      <c r="G74" t="s">
        <v>1628</v>
      </c>
      <c r="H74" t="s">
        <v>1629</v>
      </c>
    </row>
    <row r="75" spans="1:8" ht="13.5" customHeight="1" x14ac:dyDescent="0.3">
      <c r="A75" s="10">
        <v>25</v>
      </c>
      <c r="B75" s="17" t="s">
        <v>390</v>
      </c>
      <c r="C75" s="17" t="s">
        <v>391</v>
      </c>
      <c r="D75" s="10">
        <f t="shared" si="2"/>
        <v>0</v>
      </c>
      <c r="E75" s="16" t="s">
        <v>1</v>
      </c>
      <c r="F75" s="6" t="s">
        <v>0</v>
      </c>
      <c r="G75" t="s">
        <v>1912</v>
      </c>
      <c r="H75" t="s">
        <v>1630</v>
      </c>
    </row>
    <row r="76" spans="1:8" ht="13.5" customHeight="1" x14ac:dyDescent="0.3">
      <c r="A76" s="10">
        <v>25</v>
      </c>
      <c r="B76" s="17" t="s">
        <v>390</v>
      </c>
      <c r="C76" s="17" t="s">
        <v>391</v>
      </c>
      <c r="D76" s="10">
        <f t="shared" si="2"/>
        <v>1</v>
      </c>
      <c r="E76" s="16" t="s">
        <v>1</v>
      </c>
      <c r="F76" s="6" t="s">
        <v>1</v>
      </c>
      <c r="G76" t="s">
        <v>88</v>
      </c>
      <c r="H76" t="s">
        <v>1631</v>
      </c>
    </row>
    <row r="77" spans="1:8" ht="13.5" customHeight="1" x14ac:dyDescent="0.35">
      <c r="A77" s="10">
        <v>26</v>
      </c>
      <c r="B77" s="17" t="s">
        <v>418</v>
      </c>
      <c r="C77" s="17" t="s">
        <v>419</v>
      </c>
      <c r="D77" s="10">
        <f t="shared" si="2"/>
        <v>0</v>
      </c>
      <c r="E77" s="16" t="s">
        <v>1</v>
      </c>
      <c r="F77" s="11" t="s">
        <v>0</v>
      </c>
      <c r="G77" s="12" t="s">
        <v>1708</v>
      </c>
      <c r="H77" t="s">
        <v>1709</v>
      </c>
    </row>
    <row r="78" spans="1:8" ht="13.5" customHeight="1" x14ac:dyDescent="0.35">
      <c r="A78" s="10">
        <v>26</v>
      </c>
      <c r="B78" s="17" t="s">
        <v>418</v>
      </c>
      <c r="C78" s="17" t="s">
        <v>419</v>
      </c>
      <c r="D78" s="10">
        <f t="shared" si="2"/>
        <v>0</v>
      </c>
      <c r="E78" s="16" t="s">
        <v>1</v>
      </c>
      <c r="F78" s="11" t="s">
        <v>5</v>
      </c>
      <c r="G78" s="12" t="s">
        <v>1710</v>
      </c>
      <c r="H78" t="s">
        <v>1711</v>
      </c>
    </row>
    <row r="79" spans="1:8" ht="13.5" customHeight="1" x14ac:dyDescent="0.35">
      <c r="A79" s="10">
        <v>26</v>
      </c>
      <c r="B79" s="17" t="s">
        <v>418</v>
      </c>
      <c r="C79" s="17" t="s">
        <v>419</v>
      </c>
      <c r="D79" s="10">
        <f t="shared" si="2"/>
        <v>0</v>
      </c>
      <c r="E79" s="16" t="s">
        <v>1</v>
      </c>
      <c r="F79" s="11" t="s">
        <v>5</v>
      </c>
      <c r="G79" s="12" t="s">
        <v>1712</v>
      </c>
      <c r="H79" t="s">
        <v>1713</v>
      </c>
    </row>
    <row r="80" spans="1:8" ht="13.5" customHeight="1" x14ac:dyDescent="0.3">
      <c r="A80" s="10">
        <v>27</v>
      </c>
      <c r="B80" s="17" t="s">
        <v>364</v>
      </c>
      <c r="C80" s="17" t="s">
        <v>365</v>
      </c>
      <c r="D80" s="10">
        <f t="shared" si="2"/>
        <v>0</v>
      </c>
      <c r="E80" s="16" t="s">
        <v>1</v>
      </c>
      <c r="F80" s="6" t="s">
        <v>5</v>
      </c>
      <c r="G80" t="s">
        <v>1550</v>
      </c>
      <c r="H80" t="s">
        <v>1551</v>
      </c>
    </row>
    <row r="81" spans="1:8" ht="13.5" customHeight="1" x14ac:dyDescent="0.3">
      <c r="A81" s="10">
        <v>27</v>
      </c>
      <c r="B81" s="17" t="s">
        <v>364</v>
      </c>
      <c r="C81" s="17" t="s">
        <v>365</v>
      </c>
      <c r="D81" s="10">
        <f t="shared" si="2"/>
        <v>1</v>
      </c>
      <c r="E81" s="16" t="s">
        <v>1</v>
      </c>
      <c r="F81" s="6" t="s">
        <v>1</v>
      </c>
      <c r="G81" t="s">
        <v>1552</v>
      </c>
      <c r="H81" t="s">
        <v>1553</v>
      </c>
    </row>
    <row r="82" spans="1:8" ht="13.5" customHeight="1" x14ac:dyDescent="0.3">
      <c r="A82" s="10">
        <v>27</v>
      </c>
      <c r="B82" s="17" t="s">
        <v>364</v>
      </c>
      <c r="C82" s="17" t="s">
        <v>365</v>
      </c>
      <c r="D82" s="10">
        <f t="shared" si="2"/>
        <v>0</v>
      </c>
      <c r="E82" s="16" t="s">
        <v>1</v>
      </c>
      <c r="F82" s="6" t="s">
        <v>5</v>
      </c>
      <c r="G82" t="s">
        <v>1554</v>
      </c>
      <c r="H82" t="s">
        <v>1555</v>
      </c>
    </row>
    <row r="83" spans="1:8" ht="13.5" customHeight="1" x14ac:dyDescent="0.35">
      <c r="A83" s="10">
        <v>28</v>
      </c>
      <c r="B83" s="17" t="s">
        <v>396</v>
      </c>
      <c r="C83" s="17" t="s">
        <v>397</v>
      </c>
      <c r="D83" s="10">
        <f t="shared" si="2"/>
        <v>1</v>
      </c>
      <c r="E83" s="16" t="s">
        <v>5</v>
      </c>
      <c r="F83" s="11" t="s">
        <v>5</v>
      </c>
      <c r="G83" s="12" t="s">
        <v>1643</v>
      </c>
      <c r="H83" t="s">
        <v>1644</v>
      </c>
    </row>
    <row r="84" spans="1:8" ht="13.5" customHeight="1" x14ac:dyDescent="0.35">
      <c r="A84" s="10">
        <v>28</v>
      </c>
      <c r="B84" s="17" t="s">
        <v>396</v>
      </c>
      <c r="C84" s="17" t="s">
        <v>397</v>
      </c>
      <c r="D84" s="10">
        <f t="shared" si="2"/>
        <v>1</v>
      </c>
      <c r="E84" s="16" t="s">
        <v>5</v>
      </c>
      <c r="F84" s="11" t="s">
        <v>5</v>
      </c>
      <c r="G84" s="12" t="s">
        <v>1645</v>
      </c>
      <c r="H84" t="s">
        <v>1646</v>
      </c>
    </row>
    <row r="85" spans="1:8" ht="13.5" customHeight="1" x14ac:dyDescent="0.35">
      <c r="A85" s="10">
        <v>28</v>
      </c>
      <c r="B85" s="17" t="s">
        <v>396</v>
      </c>
      <c r="C85" s="17" t="s">
        <v>397</v>
      </c>
      <c r="D85" s="10">
        <f t="shared" si="2"/>
        <v>1</v>
      </c>
      <c r="E85" s="16" t="s">
        <v>5</v>
      </c>
      <c r="F85" s="11" t="s">
        <v>5</v>
      </c>
      <c r="G85" s="12" t="s">
        <v>1647</v>
      </c>
      <c r="H85" t="s">
        <v>1648</v>
      </c>
    </row>
    <row r="86" spans="1:8" ht="13.5" customHeight="1" x14ac:dyDescent="0.35">
      <c r="A86" s="10">
        <v>29</v>
      </c>
      <c r="B86" s="17" t="s">
        <v>406</v>
      </c>
      <c r="C86" s="17" t="s">
        <v>407</v>
      </c>
      <c r="D86" s="10">
        <f t="shared" si="2"/>
        <v>0</v>
      </c>
      <c r="E86" s="16" t="s">
        <v>5</v>
      </c>
      <c r="F86" s="11" t="s">
        <v>0</v>
      </c>
      <c r="G86" s="12" t="s">
        <v>1673</v>
      </c>
      <c r="H86" t="s">
        <v>1674</v>
      </c>
    </row>
    <row r="87" spans="1:8" ht="13.5" customHeight="1" x14ac:dyDescent="0.35">
      <c r="A87" s="10">
        <v>29</v>
      </c>
      <c r="B87" s="17" t="s">
        <v>406</v>
      </c>
      <c r="C87" s="17" t="s">
        <v>407</v>
      </c>
      <c r="D87" s="10">
        <f t="shared" si="2"/>
        <v>1</v>
      </c>
      <c r="E87" s="16" t="s">
        <v>5</v>
      </c>
      <c r="F87" s="11" t="s">
        <v>5</v>
      </c>
      <c r="G87" s="12" t="s">
        <v>1675</v>
      </c>
      <c r="H87" t="s">
        <v>1676</v>
      </c>
    </row>
    <row r="88" spans="1:8" ht="13.5" customHeight="1" x14ac:dyDescent="0.35">
      <c r="A88" s="10">
        <v>29</v>
      </c>
      <c r="B88" s="17" t="s">
        <v>406</v>
      </c>
      <c r="C88" s="17" t="s">
        <v>407</v>
      </c>
      <c r="D88" s="10">
        <f t="shared" si="2"/>
        <v>1</v>
      </c>
      <c r="E88" s="16" t="s">
        <v>5</v>
      </c>
      <c r="F88" s="11" t="s">
        <v>5</v>
      </c>
      <c r="G88" s="12" t="s">
        <v>1677</v>
      </c>
      <c r="H88" t="s">
        <v>1678</v>
      </c>
    </row>
    <row r="89" spans="1:8" ht="13.5" customHeight="1" x14ac:dyDescent="0.35">
      <c r="A89" s="10">
        <v>30</v>
      </c>
      <c r="B89" s="17" t="s">
        <v>400</v>
      </c>
      <c r="C89" s="17" t="s">
        <v>401</v>
      </c>
      <c r="D89" s="10">
        <f t="shared" si="2"/>
        <v>1</v>
      </c>
      <c r="E89" s="16" t="s">
        <v>0</v>
      </c>
      <c r="F89" s="11" t="s">
        <v>0</v>
      </c>
      <c r="G89" s="12" t="s">
        <v>1655</v>
      </c>
      <c r="H89" t="s">
        <v>1656</v>
      </c>
    </row>
    <row r="90" spans="1:8" ht="13.5" customHeight="1" x14ac:dyDescent="0.35">
      <c r="A90" s="10">
        <v>30</v>
      </c>
      <c r="B90" s="17" t="s">
        <v>400</v>
      </c>
      <c r="C90" s="17" t="s">
        <v>401</v>
      </c>
      <c r="D90" s="10">
        <f t="shared" si="2"/>
        <v>0</v>
      </c>
      <c r="E90" s="16" t="s">
        <v>0</v>
      </c>
      <c r="F90" s="11" t="s">
        <v>1</v>
      </c>
      <c r="G90" s="12" t="s">
        <v>1657</v>
      </c>
      <c r="H90" t="s">
        <v>1658</v>
      </c>
    </row>
    <row r="91" spans="1:8" ht="13.5" customHeight="1" x14ac:dyDescent="0.35">
      <c r="A91" s="10">
        <v>30</v>
      </c>
      <c r="B91" s="17" t="s">
        <v>400</v>
      </c>
      <c r="C91" s="17" t="s">
        <v>401</v>
      </c>
      <c r="D91" s="10">
        <f t="shared" si="2"/>
        <v>0</v>
      </c>
      <c r="E91" s="16" t="s">
        <v>0</v>
      </c>
      <c r="F91" s="11" t="s">
        <v>5</v>
      </c>
      <c r="G91" s="12" t="s">
        <v>1659</v>
      </c>
      <c r="H91" t="s">
        <v>1660</v>
      </c>
    </row>
    <row r="92" spans="1:8" ht="13.5" customHeight="1" x14ac:dyDescent="0.35">
      <c r="A92" s="10">
        <v>31</v>
      </c>
      <c r="B92" s="18" t="s">
        <v>420</v>
      </c>
      <c r="C92" s="18" t="s">
        <v>421</v>
      </c>
      <c r="D92" s="10">
        <f t="shared" si="2"/>
        <v>0</v>
      </c>
      <c r="E92" s="16" t="s">
        <v>5</v>
      </c>
      <c r="F92" s="11" t="s">
        <v>0</v>
      </c>
      <c r="G92" s="12" t="s">
        <v>1714</v>
      </c>
      <c r="H92" t="s">
        <v>1715</v>
      </c>
    </row>
    <row r="93" spans="1:8" ht="13.5" customHeight="1" x14ac:dyDescent="0.35">
      <c r="A93" s="10">
        <v>31</v>
      </c>
      <c r="B93" s="18" t="s">
        <v>420</v>
      </c>
      <c r="C93" s="18" t="s">
        <v>421</v>
      </c>
      <c r="D93" s="10">
        <f t="shared" si="2"/>
        <v>1</v>
      </c>
      <c r="E93" s="16" t="s">
        <v>5</v>
      </c>
      <c r="F93" s="11" t="s">
        <v>5</v>
      </c>
      <c r="G93" s="12" t="s">
        <v>1716</v>
      </c>
      <c r="H93" t="s">
        <v>1717</v>
      </c>
    </row>
    <row r="94" spans="1:8" ht="13.5" customHeight="1" x14ac:dyDescent="0.35">
      <c r="A94" s="10">
        <v>31</v>
      </c>
      <c r="B94" s="18" t="s">
        <v>420</v>
      </c>
      <c r="C94" s="18" t="s">
        <v>421</v>
      </c>
      <c r="D94" s="10">
        <f t="shared" si="2"/>
        <v>1</v>
      </c>
      <c r="E94" s="16" t="s">
        <v>5</v>
      </c>
      <c r="F94" s="11" t="s">
        <v>5</v>
      </c>
      <c r="G94" s="12" t="s">
        <v>1718</v>
      </c>
      <c r="H94" t="s">
        <v>1719</v>
      </c>
    </row>
    <row r="95" spans="1:8" ht="13.5" customHeight="1" x14ac:dyDescent="0.3">
      <c r="A95" s="10">
        <v>32</v>
      </c>
      <c r="B95" s="17" t="s">
        <v>428</v>
      </c>
      <c r="C95" s="17" t="s">
        <v>429</v>
      </c>
      <c r="D95" s="10">
        <f t="shared" si="2"/>
        <v>0</v>
      </c>
      <c r="E95" s="16" t="s">
        <v>1</v>
      </c>
      <c r="F95" s="6" t="s">
        <v>5</v>
      </c>
      <c r="G95" t="s">
        <v>1738</v>
      </c>
      <c r="H95" t="s">
        <v>1739</v>
      </c>
    </row>
    <row r="96" spans="1:8" ht="13.5" customHeight="1" x14ac:dyDescent="0.3">
      <c r="A96" s="10">
        <v>32</v>
      </c>
      <c r="B96" s="17" t="s">
        <v>428</v>
      </c>
      <c r="C96" s="17" t="s">
        <v>429</v>
      </c>
      <c r="D96" s="10">
        <f t="shared" si="2"/>
        <v>0</v>
      </c>
      <c r="E96" s="16" t="s">
        <v>1</v>
      </c>
      <c r="F96" s="6" t="s">
        <v>0</v>
      </c>
      <c r="G96" t="s">
        <v>1740</v>
      </c>
      <c r="H96" t="s">
        <v>1741</v>
      </c>
    </row>
    <row r="97" spans="1:8" ht="13.5" customHeight="1" x14ac:dyDescent="0.3">
      <c r="A97" s="10">
        <v>32</v>
      </c>
      <c r="B97" s="17" t="s">
        <v>428</v>
      </c>
      <c r="C97" s="17" t="s">
        <v>429</v>
      </c>
      <c r="D97" s="10">
        <f t="shared" si="2"/>
        <v>1</v>
      </c>
      <c r="E97" s="16" t="s">
        <v>1</v>
      </c>
      <c r="F97" s="6" t="s">
        <v>1</v>
      </c>
      <c r="G97" t="s">
        <v>1742</v>
      </c>
      <c r="H97" t="s">
        <v>1743</v>
      </c>
    </row>
    <row r="98" spans="1:8" ht="13.5" customHeight="1" x14ac:dyDescent="0.35">
      <c r="A98" s="10">
        <v>33</v>
      </c>
      <c r="B98" s="18" t="s">
        <v>422</v>
      </c>
      <c r="C98" s="18" t="s">
        <v>423</v>
      </c>
      <c r="D98" s="10">
        <f t="shared" ref="D98:D129" si="3">IF(E98=F98,1,0)</f>
        <v>0</v>
      </c>
      <c r="E98" s="16" t="s">
        <v>1</v>
      </c>
      <c r="F98" s="11" t="s">
        <v>0</v>
      </c>
      <c r="G98" s="12" t="s">
        <v>1720</v>
      </c>
      <c r="H98" t="s">
        <v>1721</v>
      </c>
    </row>
    <row r="99" spans="1:8" ht="13.5" customHeight="1" x14ac:dyDescent="0.35">
      <c r="A99" s="10">
        <v>33</v>
      </c>
      <c r="B99" s="18" t="s">
        <v>422</v>
      </c>
      <c r="C99" s="18" t="s">
        <v>423</v>
      </c>
      <c r="D99" s="10">
        <f t="shared" si="3"/>
        <v>0</v>
      </c>
      <c r="E99" s="16" t="s">
        <v>1</v>
      </c>
      <c r="F99" s="11" t="s">
        <v>5</v>
      </c>
      <c r="G99" s="12" t="s">
        <v>1722</v>
      </c>
      <c r="H99" t="s">
        <v>1723</v>
      </c>
    </row>
    <row r="100" spans="1:8" ht="13.5" customHeight="1" x14ac:dyDescent="0.35">
      <c r="A100" s="10">
        <v>33</v>
      </c>
      <c r="B100" s="18" t="s">
        <v>422</v>
      </c>
      <c r="C100" s="18" t="s">
        <v>423</v>
      </c>
      <c r="D100" s="10">
        <f t="shared" si="3"/>
        <v>0</v>
      </c>
      <c r="E100" s="16" t="s">
        <v>1</v>
      </c>
      <c r="F100" s="11" t="s">
        <v>5</v>
      </c>
      <c r="G100" s="12" t="s">
        <v>1724</v>
      </c>
      <c r="H100" t="s">
        <v>1725</v>
      </c>
    </row>
    <row r="101" spans="1:8" ht="13.5" customHeight="1" x14ac:dyDescent="0.3">
      <c r="A101" s="10">
        <v>34</v>
      </c>
      <c r="B101" s="18" t="s">
        <v>430</v>
      </c>
      <c r="C101" s="18" t="s">
        <v>431</v>
      </c>
      <c r="D101" s="10">
        <f t="shared" si="3"/>
        <v>0</v>
      </c>
      <c r="E101" s="16" t="s">
        <v>1</v>
      </c>
      <c r="F101" s="6" t="s">
        <v>5</v>
      </c>
      <c r="G101" t="s">
        <v>1744</v>
      </c>
      <c r="H101" t="s">
        <v>1745</v>
      </c>
    </row>
    <row r="102" spans="1:8" ht="13.5" customHeight="1" x14ac:dyDescent="0.3">
      <c r="A102" s="10">
        <v>34</v>
      </c>
      <c r="B102" s="18" t="s">
        <v>430</v>
      </c>
      <c r="C102" s="18" t="s">
        <v>431</v>
      </c>
      <c r="D102" s="10">
        <f t="shared" si="3"/>
        <v>0</v>
      </c>
      <c r="E102" s="16" t="s">
        <v>1</v>
      </c>
      <c r="F102" s="6" t="s">
        <v>0</v>
      </c>
      <c r="G102" t="s">
        <v>1746</v>
      </c>
      <c r="H102" t="s">
        <v>1747</v>
      </c>
    </row>
    <row r="103" spans="1:8" ht="13.5" customHeight="1" x14ac:dyDescent="0.3">
      <c r="A103" s="10">
        <v>34</v>
      </c>
      <c r="B103" s="18" t="s">
        <v>430</v>
      </c>
      <c r="C103" s="18" t="s">
        <v>431</v>
      </c>
      <c r="D103" s="10">
        <f t="shared" si="3"/>
        <v>1</v>
      </c>
      <c r="E103" s="16" t="s">
        <v>1</v>
      </c>
      <c r="F103" s="6" t="s">
        <v>1</v>
      </c>
      <c r="G103" t="s">
        <v>1748</v>
      </c>
      <c r="H103" t="s">
        <v>1749</v>
      </c>
    </row>
    <row r="104" spans="1:8" ht="13.5" customHeight="1" x14ac:dyDescent="0.3">
      <c r="A104" s="10">
        <v>35</v>
      </c>
      <c r="B104" s="17" t="s">
        <v>432</v>
      </c>
      <c r="C104" s="17" t="s">
        <v>433</v>
      </c>
      <c r="D104" s="10">
        <f t="shared" si="3"/>
        <v>0</v>
      </c>
      <c r="E104" s="16" t="s">
        <v>5</v>
      </c>
      <c r="F104" s="6" t="s">
        <v>0</v>
      </c>
      <c r="G104" t="s">
        <v>1750</v>
      </c>
      <c r="H104" t="s">
        <v>1751</v>
      </c>
    </row>
    <row r="105" spans="1:8" ht="13.5" customHeight="1" x14ac:dyDescent="0.3">
      <c r="A105" s="10">
        <v>35</v>
      </c>
      <c r="B105" s="17" t="s">
        <v>432</v>
      </c>
      <c r="C105" s="17" t="s">
        <v>433</v>
      </c>
      <c r="D105" s="10">
        <f t="shared" si="3"/>
        <v>0</v>
      </c>
      <c r="E105" s="16" t="s">
        <v>5</v>
      </c>
      <c r="F105" s="6" t="s">
        <v>1</v>
      </c>
      <c r="G105" t="s">
        <v>1752</v>
      </c>
      <c r="H105" t="s">
        <v>1753</v>
      </c>
    </row>
    <row r="106" spans="1:8" ht="13.5" customHeight="1" x14ac:dyDescent="0.3">
      <c r="A106" s="10">
        <v>35</v>
      </c>
      <c r="B106" s="17" t="s">
        <v>432</v>
      </c>
      <c r="C106" s="17" t="s">
        <v>433</v>
      </c>
      <c r="D106" s="10">
        <f t="shared" si="3"/>
        <v>1</v>
      </c>
      <c r="E106" s="16" t="s">
        <v>5</v>
      </c>
      <c r="F106" s="6" t="s">
        <v>5</v>
      </c>
      <c r="G106" t="s">
        <v>1754</v>
      </c>
      <c r="H106" t="s">
        <v>1755</v>
      </c>
    </row>
    <row r="107" spans="1:8" ht="13.5" customHeight="1" x14ac:dyDescent="0.3">
      <c r="A107" s="10">
        <v>36</v>
      </c>
      <c r="B107" s="17" t="s">
        <v>434</v>
      </c>
      <c r="C107" s="17" t="s">
        <v>435</v>
      </c>
      <c r="D107" s="10">
        <f t="shared" si="3"/>
        <v>0</v>
      </c>
      <c r="E107" s="16" t="s">
        <v>1</v>
      </c>
      <c r="F107" s="6" t="s">
        <v>5</v>
      </c>
      <c r="G107" t="s">
        <v>1756</v>
      </c>
      <c r="H107" t="s">
        <v>1757</v>
      </c>
    </row>
    <row r="108" spans="1:8" ht="13.5" customHeight="1" x14ac:dyDescent="0.3">
      <c r="A108" s="10">
        <v>36</v>
      </c>
      <c r="B108" s="17" t="s">
        <v>434</v>
      </c>
      <c r="C108" s="17" t="s">
        <v>435</v>
      </c>
      <c r="D108" s="10">
        <f t="shared" si="3"/>
        <v>0</v>
      </c>
      <c r="E108" s="16" t="s">
        <v>1</v>
      </c>
      <c r="F108" s="6" t="s">
        <v>5</v>
      </c>
      <c r="G108" t="s">
        <v>1758</v>
      </c>
      <c r="H108" t="s">
        <v>1759</v>
      </c>
    </row>
    <row r="109" spans="1:8" ht="13.5" customHeight="1" x14ac:dyDescent="0.3">
      <c r="A109" s="10">
        <v>36</v>
      </c>
      <c r="B109" s="17" t="s">
        <v>434</v>
      </c>
      <c r="C109" s="17" t="s">
        <v>435</v>
      </c>
      <c r="D109" s="10">
        <f t="shared" si="3"/>
        <v>0</v>
      </c>
      <c r="E109" s="16" t="s">
        <v>1</v>
      </c>
      <c r="F109" s="6" t="s">
        <v>5</v>
      </c>
      <c r="G109" t="s">
        <v>1760</v>
      </c>
      <c r="H109" t="s">
        <v>1761</v>
      </c>
    </row>
    <row r="110" spans="1:8" ht="13.5" customHeight="1" x14ac:dyDescent="0.3">
      <c r="A110" s="10">
        <v>37</v>
      </c>
      <c r="B110" s="17" t="s">
        <v>436</v>
      </c>
      <c r="C110" s="17" t="s">
        <v>437</v>
      </c>
      <c r="D110" s="10">
        <f t="shared" si="3"/>
        <v>1</v>
      </c>
      <c r="E110" s="16" t="s">
        <v>1</v>
      </c>
      <c r="F110" s="6" t="s">
        <v>1</v>
      </c>
      <c r="G110" t="s">
        <v>1762</v>
      </c>
      <c r="H110" t="s">
        <v>1763</v>
      </c>
    </row>
    <row r="111" spans="1:8" ht="13.5" customHeight="1" x14ac:dyDescent="0.3">
      <c r="A111" s="10">
        <v>37</v>
      </c>
      <c r="B111" s="17" t="s">
        <v>436</v>
      </c>
      <c r="C111" s="17" t="s">
        <v>437</v>
      </c>
      <c r="D111" s="10">
        <f t="shared" si="3"/>
        <v>1</v>
      </c>
      <c r="E111" s="16" t="s">
        <v>1</v>
      </c>
      <c r="F111" s="6" t="s">
        <v>1</v>
      </c>
      <c r="G111" t="s">
        <v>1764</v>
      </c>
      <c r="H111" t="s">
        <v>1765</v>
      </c>
    </row>
    <row r="112" spans="1:8" ht="13.5" customHeight="1" x14ac:dyDescent="0.3">
      <c r="A112" s="10">
        <v>37</v>
      </c>
      <c r="B112" s="17" t="s">
        <v>436</v>
      </c>
      <c r="C112" s="17" t="s">
        <v>437</v>
      </c>
      <c r="D112" s="10">
        <f t="shared" si="3"/>
        <v>1</v>
      </c>
      <c r="E112" s="16" t="s">
        <v>1</v>
      </c>
      <c r="F112" s="6" t="s">
        <v>1</v>
      </c>
      <c r="G112" t="s">
        <v>1766</v>
      </c>
      <c r="H112" t="s">
        <v>1767</v>
      </c>
    </row>
    <row r="113" spans="1:8" ht="13.5" customHeight="1" x14ac:dyDescent="0.3">
      <c r="A113" s="10">
        <v>38</v>
      </c>
      <c r="B113" s="17" t="s">
        <v>438</v>
      </c>
      <c r="C113" s="17" t="s">
        <v>439</v>
      </c>
      <c r="D113" s="10">
        <f t="shared" si="3"/>
        <v>1</v>
      </c>
      <c r="E113" s="16" t="s">
        <v>0</v>
      </c>
      <c r="F113" s="6" t="s">
        <v>0</v>
      </c>
      <c r="G113" t="s">
        <v>1768</v>
      </c>
      <c r="H113" t="s">
        <v>1769</v>
      </c>
    </row>
    <row r="114" spans="1:8" ht="13.5" customHeight="1" x14ac:dyDescent="0.3">
      <c r="A114" s="10">
        <v>38</v>
      </c>
      <c r="B114" s="17" t="s">
        <v>438</v>
      </c>
      <c r="C114" s="17" t="s">
        <v>439</v>
      </c>
      <c r="D114" s="10">
        <f t="shared" si="3"/>
        <v>0</v>
      </c>
      <c r="E114" s="16" t="s">
        <v>0</v>
      </c>
      <c r="F114" s="6" t="s">
        <v>1</v>
      </c>
      <c r="G114" t="s">
        <v>1770</v>
      </c>
      <c r="H114" t="s">
        <v>1771</v>
      </c>
    </row>
    <row r="115" spans="1:8" ht="13.5" customHeight="1" x14ac:dyDescent="0.3">
      <c r="A115" s="10">
        <v>38</v>
      </c>
      <c r="B115" s="17" t="s">
        <v>438</v>
      </c>
      <c r="C115" s="17" t="s">
        <v>439</v>
      </c>
      <c r="D115" s="10">
        <f t="shared" si="3"/>
        <v>0</v>
      </c>
      <c r="E115" s="16" t="s">
        <v>0</v>
      </c>
      <c r="F115" s="6" t="s">
        <v>1</v>
      </c>
      <c r="G115" t="s">
        <v>1772</v>
      </c>
      <c r="H115" t="s">
        <v>1773</v>
      </c>
    </row>
    <row r="116" spans="1:8" ht="13.5" customHeight="1" x14ac:dyDescent="0.3">
      <c r="A116" s="10">
        <v>39</v>
      </c>
      <c r="B116" s="17" t="s">
        <v>440</v>
      </c>
      <c r="C116" s="17" t="s">
        <v>441</v>
      </c>
      <c r="D116" s="10">
        <f t="shared" si="3"/>
        <v>0</v>
      </c>
      <c r="E116" s="16" t="s">
        <v>1</v>
      </c>
      <c r="F116" s="6" t="s">
        <v>5</v>
      </c>
      <c r="G116" t="s">
        <v>1774</v>
      </c>
      <c r="H116" t="s">
        <v>1775</v>
      </c>
    </row>
    <row r="117" spans="1:8" ht="13.5" customHeight="1" x14ac:dyDescent="0.3">
      <c r="A117" s="10">
        <v>39</v>
      </c>
      <c r="B117" s="17" t="s">
        <v>440</v>
      </c>
      <c r="C117" s="17" t="s">
        <v>441</v>
      </c>
      <c r="D117" s="10">
        <f t="shared" si="3"/>
        <v>0</v>
      </c>
      <c r="E117" s="16" t="s">
        <v>1</v>
      </c>
      <c r="F117" s="6" t="s">
        <v>5</v>
      </c>
      <c r="G117" t="s">
        <v>1776</v>
      </c>
      <c r="H117" t="s">
        <v>1777</v>
      </c>
    </row>
    <row r="118" spans="1:8" ht="13.5" customHeight="1" x14ac:dyDescent="0.3">
      <c r="A118" s="10">
        <v>39</v>
      </c>
      <c r="B118" s="17" t="s">
        <v>440</v>
      </c>
      <c r="C118" s="17" t="s">
        <v>441</v>
      </c>
      <c r="D118" s="10">
        <f t="shared" si="3"/>
        <v>0</v>
      </c>
      <c r="E118" s="16" t="s">
        <v>1</v>
      </c>
      <c r="F118" s="6" t="s">
        <v>5</v>
      </c>
      <c r="G118" t="s">
        <v>1778</v>
      </c>
      <c r="H118" t="s">
        <v>1779</v>
      </c>
    </row>
    <row r="119" spans="1:8" ht="13.5" customHeight="1" x14ac:dyDescent="0.3">
      <c r="A119" s="10">
        <v>41</v>
      </c>
      <c r="B119" s="17" t="s">
        <v>442</v>
      </c>
      <c r="C119" s="17" t="s">
        <v>443</v>
      </c>
      <c r="D119" s="10">
        <f t="shared" si="3"/>
        <v>0</v>
      </c>
      <c r="E119" s="16" t="s">
        <v>1</v>
      </c>
      <c r="F119" s="6" t="s">
        <v>5</v>
      </c>
      <c r="G119" t="s">
        <v>1780</v>
      </c>
      <c r="H119" t="s">
        <v>1781</v>
      </c>
    </row>
    <row r="120" spans="1:8" ht="13.5" customHeight="1" x14ac:dyDescent="0.3">
      <c r="A120" s="10">
        <v>41</v>
      </c>
      <c r="B120" s="17" t="s">
        <v>442</v>
      </c>
      <c r="C120" s="17" t="s">
        <v>443</v>
      </c>
      <c r="D120" s="10">
        <f t="shared" si="3"/>
        <v>0</v>
      </c>
      <c r="E120" s="16" t="s">
        <v>1</v>
      </c>
      <c r="F120" s="6" t="s">
        <v>0</v>
      </c>
      <c r="G120" t="s">
        <v>1782</v>
      </c>
      <c r="H120" t="s">
        <v>1783</v>
      </c>
    </row>
    <row r="121" spans="1:8" ht="13.5" customHeight="1" x14ac:dyDescent="0.3">
      <c r="A121" s="10">
        <v>41</v>
      </c>
      <c r="B121" s="17" t="s">
        <v>442</v>
      </c>
      <c r="C121" s="17" t="s">
        <v>443</v>
      </c>
      <c r="D121" s="10">
        <f t="shared" si="3"/>
        <v>1</v>
      </c>
      <c r="E121" s="16" t="s">
        <v>1</v>
      </c>
      <c r="F121" s="6" t="s">
        <v>1</v>
      </c>
      <c r="G121" t="s">
        <v>1784</v>
      </c>
      <c r="H121" t="s">
        <v>1785</v>
      </c>
    </row>
    <row r="122" spans="1:8" ht="13.5" customHeight="1" x14ac:dyDescent="0.3">
      <c r="A122" s="10">
        <v>42</v>
      </c>
      <c r="B122" s="17" t="s">
        <v>446</v>
      </c>
      <c r="C122" s="17" t="s">
        <v>447</v>
      </c>
      <c r="D122" s="10">
        <f t="shared" si="3"/>
        <v>1</v>
      </c>
      <c r="E122" s="16" t="s">
        <v>5</v>
      </c>
      <c r="F122" s="6" t="s">
        <v>5</v>
      </c>
      <c r="G122" t="s">
        <v>1792</v>
      </c>
      <c r="H122" t="s">
        <v>1793</v>
      </c>
    </row>
    <row r="123" spans="1:8" ht="13.5" customHeight="1" x14ac:dyDescent="0.3">
      <c r="A123" s="10">
        <v>42</v>
      </c>
      <c r="B123" s="17" t="s">
        <v>446</v>
      </c>
      <c r="C123" s="17" t="s">
        <v>447</v>
      </c>
      <c r="D123" s="10">
        <f t="shared" si="3"/>
        <v>0</v>
      </c>
      <c r="E123" s="16" t="s">
        <v>5</v>
      </c>
      <c r="F123" s="6" t="s">
        <v>1</v>
      </c>
      <c r="G123" t="s">
        <v>1794</v>
      </c>
      <c r="H123" t="s">
        <v>1795</v>
      </c>
    </row>
    <row r="124" spans="1:8" ht="13.5" customHeight="1" x14ac:dyDescent="0.3">
      <c r="A124" s="10">
        <v>42</v>
      </c>
      <c r="B124" s="17" t="s">
        <v>446</v>
      </c>
      <c r="C124" s="17" t="s">
        <v>447</v>
      </c>
      <c r="D124" s="10">
        <f t="shared" si="3"/>
        <v>1</v>
      </c>
      <c r="E124" s="16" t="s">
        <v>5</v>
      </c>
      <c r="F124" s="6" t="s">
        <v>5</v>
      </c>
      <c r="G124" t="s">
        <v>1796</v>
      </c>
      <c r="H124" t="s">
        <v>1797</v>
      </c>
    </row>
    <row r="125" spans="1:8" ht="13.5" customHeight="1" x14ac:dyDescent="0.3">
      <c r="A125" s="10">
        <v>43</v>
      </c>
      <c r="B125" s="17" t="s">
        <v>448</v>
      </c>
      <c r="C125" s="17" t="s">
        <v>449</v>
      </c>
      <c r="D125" s="10">
        <f t="shared" si="3"/>
        <v>0</v>
      </c>
      <c r="E125" s="16" t="s">
        <v>0</v>
      </c>
      <c r="F125" s="6" t="s">
        <v>5</v>
      </c>
      <c r="G125" t="s">
        <v>1798</v>
      </c>
      <c r="H125" t="s">
        <v>1799</v>
      </c>
    </row>
    <row r="126" spans="1:8" ht="13.5" customHeight="1" x14ac:dyDescent="0.3">
      <c r="A126" s="10">
        <v>43</v>
      </c>
      <c r="B126" s="17" t="s">
        <v>448</v>
      </c>
      <c r="C126" s="17" t="s">
        <v>449</v>
      </c>
      <c r="D126" s="10">
        <f t="shared" si="3"/>
        <v>0</v>
      </c>
      <c r="E126" s="16" t="s">
        <v>0</v>
      </c>
      <c r="F126" s="6" t="s">
        <v>1</v>
      </c>
      <c r="G126" t="s">
        <v>1800</v>
      </c>
      <c r="H126" t="s">
        <v>1801</v>
      </c>
    </row>
    <row r="127" spans="1:8" ht="13.5" customHeight="1" x14ac:dyDescent="0.3">
      <c r="A127" s="10">
        <v>43</v>
      </c>
      <c r="B127" s="17" t="s">
        <v>448</v>
      </c>
      <c r="C127" s="17" t="s">
        <v>449</v>
      </c>
      <c r="D127" s="10">
        <f t="shared" si="3"/>
        <v>0</v>
      </c>
      <c r="E127" s="16" t="s">
        <v>0</v>
      </c>
      <c r="F127" s="6" t="s">
        <v>1</v>
      </c>
      <c r="G127" t="s">
        <v>1802</v>
      </c>
      <c r="H127" t="s">
        <v>1803</v>
      </c>
    </row>
    <row r="128" spans="1:8" ht="13.5" customHeight="1" x14ac:dyDescent="0.3">
      <c r="A128" s="10">
        <v>44</v>
      </c>
      <c r="B128" s="17" t="s">
        <v>444</v>
      </c>
      <c r="C128" s="17" t="s">
        <v>445</v>
      </c>
      <c r="D128" s="10">
        <f t="shared" si="3"/>
        <v>1</v>
      </c>
      <c r="E128" s="16" t="s">
        <v>1</v>
      </c>
      <c r="F128" s="6" t="s">
        <v>1</v>
      </c>
      <c r="G128" t="s">
        <v>1786</v>
      </c>
      <c r="H128" t="s">
        <v>1787</v>
      </c>
    </row>
    <row r="129" spans="1:8" ht="13.5" customHeight="1" x14ac:dyDescent="0.3">
      <c r="A129" s="10">
        <v>44</v>
      </c>
      <c r="B129" s="17" t="s">
        <v>444</v>
      </c>
      <c r="C129" s="17" t="s">
        <v>445</v>
      </c>
      <c r="D129" s="10">
        <f t="shared" si="3"/>
        <v>1</v>
      </c>
      <c r="E129" s="16" t="s">
        <v>1</v>
      </c>
      <c r="F129" s="6" t="s">
        <v>1</v>
      </c>
      <c r="G129" t="s">
        <v>1788</v>
      </c>
      <c r="H129" t="s">
        <v>1789</v>
      </c>
    </row>
    <row r="130" spans="1:8" ht="13.5" customHeight="1" x14ac:dyDescent="0.3">
      <c r="A130" s="10">
        <v>44</v>
      </c>
      <c r="B130" s="17" t="s">
        <v>444</v>
      </c>
      <c r="C130" s="17" t="s">
        <v>445</v>
      </c>
      <c r="D130" s="10">
        <f t="shared" ref="D130:D161" si="4">IF(E130=F130,1,0)</f>
        <v>1</v>
      </c>
      <c r="E130" s="16" t="s">
        <v>1</v>
      </c>
      <c r="F130" s="6" t="s">
        <v>1</v>
      </c>
      <c r="G130" t="s">
        <v>1790</v>
      </c>
      <c r="H130" t="s">
        <v>1791</v>
      </c>
    </row>
    <row r="131" spans="1:8" ht="13.5" customHeight="1" x14ac:dyDescent="0.3">
      <c r="A131" s="10">
        <v>45</v>
      </c>
      <c r="B131" s="17" t="s">
        <v>452</v>
      </c>
      <c r="C131" s="17" t="s">
        <v>453</v>
      </c>
      <c r="D131" s="10">
        <f t="shared" si="4"/>
        <v>1</v>
      </c>
      <c r="E131" s="16" t="s">
        <v>5</v>
      </c>
      <c r="F131" s="6" t="s">
        <v>5</v>
      </c>
      <c r="G131" t="s">
        <v>1810</v>
      </c>
      <c r="H131" t="s">
        <v>1811</v>
      </c>
    </row>
    <row r="132" spans="1:8" ht="13.5" customHeight="1" x14ac:dyDescent="0.3">
      <c r="A132" s="10">
        <v>45</v>
      </c>
      <c r="B132" s="17" t="s">
        <v>452</v>
      </c>
      <c r="C132" s="17" t="s">
        <v>453</v>
      </c>
      <c r="D132" s="10">
        <f t="shared" si="4"/>
        <v>0</v>
      </c>
      <c r="E132" s="16" t="s">
        <v>5</v>
      </c>
      <c r="F132" s="6" t="s">
        <v>0</v>
      </c>
      <c r="G132" t="s">
        <v>1812</v>
      </c>
      <c r="H132" t="s">
        <v>1813</v>
      </c>
    </row>
    <row r="133" spans="1:8" ht="13.5" customHeight="1" x14ac:dyDescent="0.3">
      <c r="A133" s="10">
        <v>45</v>
      </c>
      <c r="B133" s="17" t="s">
        <v>452</v>
      </c>
      <c r="C133" s="17" t="s">
        <v>453</v>
      </c>
      <c r="D133" s="10">
        <f t="shared" si="4"/>
        <v>0</v>
      </c>
      <c r="E133" s="16" t="s">
        <v>5</v>
      </c>
      <c r="F133" s="6" t="s">
        <v>1</v>
      </c>
      <c r="G133" t="s">
        <v>1814</v>
      </c>
      <c r="H133" t="s">
        <v>1815</v>
      </c>
    </row>
    <row r="134" spans="1:8" ht="13.5" customHeight="1" x14ac:dyDescent="0.3">
      <c r="A134" s="10">
        <v>45</v>
      </c>
      <c r="B134" s="17" t="s">
        <v>456</v>
      </c>
      <c r="C134" s="18" t="s">
        <v>457</v>
      </c>
      <c r="D134" s="10">
        <f t="shared" si="4"/>
        <v>0</v>
      </c>
      <c r="E134" s="16" t="s">
        <v>5</v>
      </c>
      <c r="F134" s="6" t="s">
        <v>0</v>
      </c>
      <c r="G134" t="s">
        <v>1822</v>
      </c>
      <c r="H134" t="s">
        <v>1823</v>
      </c>
    </row>
    <row r="135" spans="1:8" ht="13.5" customHeight="1" x14ac:dyDescent="0.3">
      <c r="A135" s="10">
        <v>45</v>
      </c>
      <c r="B135" s="17" t="s">
        <v>456</v>
      </c>
      <c r="C135" s="18" t="s">
        <v>457</v>
      </c>
      <c r="D135" s="10">
        <f t="shared" si="4"/>
        <v>0</v>
      </c>
      <c r="E135" s="16" t="s">
        <v>5</v>
      </c>
      <c r="F135" s="6" t="s">
        <v>0</v>
      </c>
      <c r="G135" t="s">
        <v>1824</v>
      </c>
      <c r="H135" t="s">
        <v>1825</v>
      </c>
    </row>
    <row r="136" spans="1:8" ht="13.5" customHeight="1" x14ac:dyDescent="0.3">
      <c r="A136" s="10">
        <v>45</v>
      </c>
      <c r="B136" s="17" t="s">
        <v>456</v>
      </c>
      <c r="C136" s="18" t="s">
        <v>457</v>
      </c>
      <c r="D136" s="10">
        <f t="shared" si="4"/>
        <v>0</v>
      </c>
      <c r="E136" s="16" t="s">
        <v>5</v>
      </c>
      <c r="F136" s="6" t="s">
        <v>1</v>
      </c>
      <c r="G136" t="s">
        <v>1826</v>
      </c>
      <c r="H136" t="s">
        <v>1827</v>
      </c>
    </row>
    <row r="137" spans="1:8" ht="13.5" customHeight="1" x14ac:dyDescent="0.3">
      <c r="A137" s="10">
        <v>46</v>
      </c>
      <c r="B137" s="17" t="s">
        <v>450</v>
      </c>
      <c r="C137" s="17" t="s">
        <v>451</v>
      </c>
      <c r="D137" s="10">
        <f t="shared" si="4"/>
        <v>1</v>
      </c>
      <c r="E137" s="16" t="s">
        <v>1</v>
      </c>
      <c r="F137" s="6" t="s">
        <v>1</v>
      </c>
      <c r="G137" t="s">
        <v>1804</v>
      </c>
      <c r="H137" t="s">
        <v>1805</v>
      </c>
    </row>
    <row r="138" spans="1:8" ht="13.5" customHeight="1" x14ac:dyDescent="0.3">
      <c r="A138" s="10">
        <v>46</v>
      </c>
      <c r="B138" s="17" t="s">
        <v>450</v>
      </c>
      <c r="C138" s="17" t="s">
        <v>451</v>
      </c>
      <c r="D138" s="10">
        <f t="shared" si="4"/>
        <v>1</v>
      </c>
      <c r="E138" s="16" t="s">
        <v>1</v>
      </c>
      <c r="F138" s="6" t="s">
        <v>1</v>
      </c>
      <c r="G138" t="s">
        <v>1806</v>
      </c>
      <c r="H138" t="s">
        <v>1807</v>
      </c>
    </row>
    <row r="139" spans="1:8" ht="13.5" customHeight="1" x14ac:dyDescent="0.3">
      <c r="A139" s="10">
        <v>46</v>
      </c>
      <c r="B139" s="17" t="s">
        <v>450</v>
      </c>
      <c r="C139" s="17" t="s">
        <v>451</v>
      </c>
      <c r="D139" s="10">
        <f t="shared" si="4"/>
        <v>1</v>
      </c>
      <c r="E139" s="16" t="s">
        <v>1</v>
      </c>
      <c r="F139" s="6" t="s">
        <v>1</v>
      </c>
      <c r="G139" t="s">
        <v>1808</v>
      </c>
      <c r="H139" t="s">
        <v>1809</v>
      </c>
    </row>
    <row r="140" spans="1:8" ht="13.5" customHeight="1" x14ac:dyDescent="0.3">
      <c r="A140" s="10">
        <v>47</v>
      </c>
      <c r="B140" s="17" t="s">
        <v>454</v>
      </c>
      <c r="C140" s="17" t="s">
        <v>455</v>
      </c>
      <c r="D140" s="10">
        <f t="shared" si="4"/>
        <v>0</v>
      </c>
      <c r="E140" s="16" t="s">
        <v>5</v>
      </c>
      <c r="F140" s="6" t="s">
        <v>1</v>
      </c>
      <c r="G140" t="s">
        <v>1816</v>
      </c>
      <c r="H140" t="s">
        <v>1817</v>
      </c>
    </row>
    <row r="141" spans="1:8" ht="13.5" customHeight="1" x14ac:dyDescent="0.3">
      <c r="A141" s="10">
        <v>47</v>
      </c>
      <c r="B141" s="17" t="s">
        <v>454</v>
      </c>
      <c r="C141" s="17" t="s">
        <v>455</v>
      </c>
      <c r="D141" s="10">
        <f t="shared" si="4"/>
        <v>0</v>
      </c>
      <c r="E141" s="16" t="s">
        <v>5</v>
      </c>
      <c r="F141" s="6" t="s">
        <v>1</v>
      </c>
      <c r="G141" t="s">
        <v>1818</v>
      </c>
      <c r="H141" t="s">
        <v>1819</v>
      </c>
    </row>
    <row r="142" spans="1:8" ht="13.5" customHeight="1" x14ac:dyDescent="0.3">
      <c r="A142" s="10">
        <v>47</v>
      </c>
      <c r="B142" s="17" t="s">
        <v>454</v>
      </c>
      <c r="C142" s="17" t="s">
        <v>455</v>
      </c>
      <c r="D142" s="10">
        <f t="shared" si="4"/>
        <v>1</v>
      </c>
      <c r="E142" s="16" t="s">
        <v>5</v>
      </c>
      <c r="F142" s="6" t="s">
        <v>5</v>
      </c>
      <c r="G142" t="s">
        <v>1820</v>
      </c>
      <c r="H142" t="s">
        <v>1821</v>
      </c>
    </row>
    <row r="143" spans="1:8" ht="13.5" customHeight="1" x14ac:dyDescent="0.3">
      <c r="A143" s="10">
        <v>48</v>
      </c>
      <c r="B143" s="17" t="s">
        <v>458</v>
      </c>
      <c r="C143" s="17" t="s">
        <v>459</v>
      </c>
      <c r="D143" s="10">
        <f t="shared" si="4"/>
        <v>1</v>
      </c>
      <c r="E143" s="16" t="s">
        <v>0</v>
      </c>
      <c r="F143" s="6" t="s">
        <v>0</v>
      </c>
      <c r="G143" t="s">
        <v>1828</v>
      </c>
      <c r="H143" t="s">
        <v>1829</v>
      </c>
    </row>
    <row r="144" spans="1:8" ht="13.5" customHeight="1" x14ac:dyDescent="0.3">
      <c r="A144" s="10">
        <v>48</v>
      </c>
      <c r="B144" s="17" t="s">
        <v>458</v>
      </c>
      <c r="C144" s="17" t="s">
        <v>459</v>
      </c>
      <c r="D144" s="10">
        <f t="shared" si="4"/>
        <v>0</v>
      </c>
      <c r="E144" s="16" t="s">
        <v>0</v>
      </c>
      <c r="F144" s="6" t="s">
        <v>5</v>
      </c>
      <c r="G144" t="s">
        <v>1830</v>
      </c>
      <c r="H144" t="s">
        <v>1831</v>
      </c>
    </row>
    <row r="145" spans="1:8" ht="13.5" customHeight="1" x14ac:dyDescent="0.3">
      <c r="A145" s="10">
        <v>48</v>
      </c>
      <c r="B145" s="17" t="s">
        <v>458</v>
      </c>
      <c r="C145" s="17" t="s">
        <v>459</v>
      </c>
      <c r="D145" s="10">
        <f t="shared" si="4"/>
        <v>0</v>
      </c>
      <c r="E145" s="16" t="s">
        <v>0</v>
      </c>
      <c r="F145" s="6" t="s">
        <v>1</v>
      </c>
      <c r="G145" t="s">
        <v>1832</v>
      </c>
      <c r="H145" t="s">
        <v>1833</v>
      </c>
    </row>
    <row r="146" spans="1:8" ht="13.5" customHeight="1" x14ac:dyDescent="0.3">
      <c r="A146" s="10">
        <v>49</v>
      </c>
      <c r="B146" s="17" t="s">
        <v>460</v>
      </c>
      <c r="C146" s="17" t="s">
        <v>461</v>
      </c>
      <c r="D146" s="10">
        <f t="shared" si="4"/>
        <v>1</v>
      </c>
      <c r="E146" s="16" t="s">
        <v>5</v>
      </c>
      <c r="F146" s="6" t="s">
        <v>5</v>
      </c>
      <c r="G146" t="s">
        <v>1834</v>
      </c>
      <c r="H146" t="s">
        <v>1835</v>
      </c>
    </row>
    <row r="147" spans="1:8" ht="13.5" customHeight="1" x14ac:dyDescent="0.3">
      <c r="A147" s="10">
        <v>49</v>
      </c>
      <c r="B147" s="17" t="s">
        <v>460</v>
      </c>
      <c r="C147" s="17" t="s">
        <v>461</v>
      </c>
      <c r="D147" s="10">
        <f t="shared" si="4"/>
        <v>1</v>
      </c>
      <c r="E147" s="16" t="s">
        <v>5</v>
      </c>
      <c r="F147" s="6" t="s">
        <v>5</v>
      </c>
      <c r="G147" t="s">
        <v>1836</v>
      </c>
      <c r="H147" t="s">
        <v>1837</v>
      </c>
    </row>
    <row r="148" spans="1:8" ht="13.5" customHeight="1" x14ac:dyDescent="0.3">
      <c r="A148" s="10">
        <v>49</v>
      </c>
      <c r="B148" s="17" t="s">
        <v>460</v>
      </c>
      <c r="C148" s="17" t="s">
        <v>461</v>
      </c>
      <c r="D148" s="10">
        <f t="shared" si="4"/>
        <v>0</v>
      </c>
      <c r="E148" s="16" t="s">
        <v>5</v>
      </c>
      <c r="F148" s="6" t="s">
        <v>1</v>
      </c>
      <c r="G148" t="s">
        <v>1838</v>
      </c>
      <c r="H148" t="s">
        <v>1839</v>
      </c>
    </row>
    <row r="149" spans="1:8" ht="13.5" customHeight="1" x14ac:dyDescent="0.3">
      <c r="A149" s="10">
        <v>50</v>
      </c>
      <c r="B149" s="17" t="s">
        <v>462</v>
      </c>
      <c r="C149" s="17" t="s">
        <v>463</v>
      </c>
      <c r="D149" s="10">
        <f t="shared" si="4"/>
        <v>1</v>
      </c>
      <c r="E149" s="16" t="s">
        <v>0</v>
      </c>
      <c r="F149" s="6" t="s">
        <v>0</v>
      </c>
      <c r="G149" t="s">
        <v>1840</v>
      </c>
      <c r="H149" t="s">
        <v>1841</v>
      </c>
    </row>
    <row r="150" spans="1:8" ht="13.5" customHeight="1" x14ac:dyDescent="0.3">
      <c r="A150" s="10">
        <v>50</v>
      </c>
      <c r="B150" s="17" t="s">
        <v>462</v>
      </c>
      <c r="C150" s="17" t="s">
        <v>463</v>
      </c>
      <c r="D150" s="10">
        <f t="shared" si="4"/>
        <v>1</v>
      </c>
      <c r="E150" s="16" t="s">
        <v>0</v>
      </c>
      <c r="F150" s="6" t="s">
        <v>0</v>
      </c>
      <c r="G150" t="s">
        <v>1842</v>
      </c>
      <c r="H150" t="s">
        <v>1843</v>
      </c>
    </row>
    <row r="151" spans="1:8" ht="13.5" customHeight="1" x14ac:dyDescent="0.3">
      <c r="A151" s="10">
        <v>50</v>
      </c>
      <c r="B151" s="17" t="s">
        <v>462</v>
      </c>
      <c r="C151" s="17" t="s">
        <v>463</v>
      </c>
      <c r="D151" s="10">
        <f t="shared" si="4"/>
        <v>0</v>
      </c>
      <c r="E151" s="16" t="s">
        <v>0</v>
      </c>
      <c r="F151" s="6" t="s">
        <v>5</v>
      </c>
      <c r="G151" t="s">
        <v>1844</v>
      </c>
      <c r="H151" t="s">
        <v>1845</v>
      </c>
    </row>
    <row r="152" spans="1:8" ht="13.5" customHeight="1" x14ac:dyDescent="0.3">
      <c r="A152" s="10">
        <v>51</v>
      </c>
      <c r="B152" s="17" t="s">
        <v>464</v>
      </c>
      <c r="C152" s="17" t="s">
        <v>465</v>
      </c>
      <c r="D152" s="10">
        <f t="shared" si="4"/>
        <v>0</v>
      </c>
      <c r="E152" s="16" t="s">
        <v>5</v>
      </c>
      <c r="F152" s="6" t="s">
        <v>1</v>
      </c>
      <c r="G152" t="s">
        <v>1846</v>
      </c>
      <c r="H152" t="s">
        <v>1847</v>
      </c>
    </row>
    <row r="153" spans="1:8" ht="13.5" customHeight="1" x14ac:dyDescent="0.3">
      <c r="A153" s="10">
        <v>51</v>
      </c>
      <c r="B153" s="17" t="s">
        <v>464</v>
      </c>
      <c r="C153" s="17" t="s">
        <v>465</v>
      </c>
      <c r="D153" s="10">
        <f t="shared" si="4"/>
        <v>0</v>
      </c>
      <c r="E153" s="16" t="s">
        <v>5</v>
      </c>
      <c r="F153" s="6" t="s">
        <v>1</v>
      </c>
      <c r="G153" t="s">
        <v>1848</v>
      </c>
      <c r="H153" t="s">
        <v>1849</v>
      </c>
    </row>
    <row r="154" spans="1:8" ht="13.5" customHeight="1" x14ac:dyDescent="0.3">
      <c r="A154" s="10">
        <v>51</v>
      </c>
      <c r="B154" s="17" t="s">
        <v>464</v>
      </c>
      <c r="C154" s="17" t="s">
        <v>465</v>
      </c>
      <c r="D154" s="10">
        <f t="shared" si="4"/>
        <v>0</v>
      </c>
      <c r="E154" s="16" t="s">
        <v>5</v>
      </c>
      <c r="F154" s="6" t="s">
        <v>1</v>
      </c>
      <c r="G154" t="s">
        <v>1850</v>
      </c>
      <c r="H154" t="s">
        <v>1851</v>
      </c>
    </row>
    <row r="155" spans="1:8" ht="13.5" customHeight="1" x14ac:dyDescent="0.3">
      <c r="A155" s="10">
        <v>52</v>
      </c>
      <c r="B155" s="17" t="s">
        <v>466</v>
      </c>
      <c r="C155" s="17" t="s">
        <v>467</v>
      </c>
      <c r="D155" s="10">
        <f t="shared" si="4"/>
        <v>0</v>
      </c>
      <c r="E155" s="16" t="s">
        <v>5</v>
      </c>
      <c r="F155" s="6" t="s">
        <v>0</v>
      </c>
      <c r="G155" t="s">
        <v>1852</v>
      </c>
      <c r="H155" t="s">
        <v>1853</v>
      </c>
    </row>
    <row r="156" spans="1:8" ht="13.5" customHeight="1" x14ac:dyDescent="0.3">
      <c r="A156" s="10">
        <v>52</v>
      </c>
      <c r="B156" s="17" t="s">
        <v>466</v>
      </c>
      <c r="C156" s="17" t="s">
        <v>467</v>
      </c>
      <c r="D156" s="10">
        <f t="shared" si="4"/>
        <v>1</v>
      </c>
      <c r="E156" s="16" t="s">
        <v>5</v>
      </c>
      <c r="F156" s="6" t="s">
        <v>5</v>
      </c>
      <c r="G156" t="s">
        <v>1854</v>
      </c>
      <c r="H156" t="s">
        <v>1855</v>
      </c>
    </row>
    <row r="157" spans="1:8" ht="13.5" customHeight="1" x14ac:dyDescent="0.3">
      <c r="A157" s="10">
        <v>52</v>
      </c>
      <c r="B157" s="17" t="s">
        <v>466</v>
      </c>
      <c r="C157" s="17" t="s">
        <v>467</v>
      </c>
      <c r="D157" s="10">
        <f t="shared" si="4"/>
        <v>1</v>
      </c>
      <c r="E157" s="16" t="s">
        <v>5</v>
      </c>
      <c r="F157" s="6" t="s">
        <v>5</v>
      </c>
      <c r="G157" t="s">
        <v>1856</v>
      </c>
      <c r="H157" t="s">
        <v>1857</v>
      </c>
    </row>
    <row r="158" spans="1:8" ht="13.5" customHeight="1" x14ac:dyDescent="0.3">
      <c r="A158" s="10">
        <v>53</v>
      </c>
      <c r="B158" s="17" t="s">
        <v>472</v>
      </c>
      <c r="C158" s="17" t="s">
        <v>473</v>
      </c>
      <c r="D158" s="10">
        <f t="shared" si="4"/>
        <v>0</v>
      </c>
      <c r="E158" s="16" t="s">
        <v>0</v>
      </c>
      <c r="F158" s="6" t="s">
        <v>1</v>
      </c>
      <c r="G158" t="s">
        <v>1870</v>
      </c>
      <c r="H158" t="s">
        <v>1871</v>
      </c>
    </row>
    <row r="159" spans="1:8" ht="13.5" customHeight="1" x14ac:dyDescent="0.3">
      <c r="A159" s="10">
        <v>53</v>
      </c>
      <c r="B159" s="17" t="s">
        <v>472</v>
      </c>
      <c r="C159" s="17" t="s">
        <v>473</v>
      </c>
      <c r="D159" s="10">
        <f t="shared" si="4"/>
        <v>0</v>
      </c>
      <c r="E159" s="16" t="s">
        <v>0</v>
      </c>
      <c r="F159" s="6" t="s">
        <v>5</v>
      </c>
      <c r="G159" t="s">
        <v>1872</v>
      </c>
      <c r="H159" t="s">
        <v>1873</v>
      </c>
    </row>
    <row r="160" spans="1:8" ht="13.5" customHeight="1" x14ac:dyDescent="0.3">
      <c r="A160" s="10">
        <v>53</v>
      </c>
      <c r="B160" s="17" t="s">
        <v>472</v>
      </c>
      <c r="C160" s="17" t="s">
        <v>473</v>
      </c>
      <c r="D160" s="10">
        <f t="shared" si="4"/>
        <v>0</v>
      </c>
      <c r="E160" s="16" t="s">
        <v>0</v>
      </c>
      <c r="F160" s="6" t="s">
        <v>5</v>
      </c>
      <c r="G160" t="s">
        <v>1874</v>
      </c>
      <c r="H160" t="s">
        <v>1875</v>
      </c>
    </row>
    <row r="161" spans="1:8" ht="13.5" customHeight="1" x14ac:dyDescent="0.3">
      <c r="A161" s="10">
        <v>54</v>
      </c>
      <c r="B161" s="18" t="s">
        <v>470</v>
      </c>
      <c r="C161" s="17" t="s">
        <v>471</v>
      </c>
      <c r="D161" s="10">
        <f t="shared" si="4"/>
        <v>1</v>
      </c>
      <c r="E161" s="16" t="s">
        <v>0</v>
      </c>
      <c r="F161" s="6" t="s">
        <v>0</v>
      </c>
      <c r="G161" t="s">
        <v>1864</v>
      </c>
      <c r="H161" t="s">
        <v>1865</v>
      </c>
    </row>
    <row r="162" spans="1:8" ht="13.5" customHeight="1" x14ac:dyDescent="0.3">
      <c r="A162" s="10">
        <v>54</v>
      </c>
      <c r="B162" s="18" t="s">
        <v>470</v>
      </c>
      <c r="C162" s="17" t="s">
        <v>471</v>
      </c>
      <c r="D162" s="10">
        <f t="shared" ref="D162:D193" si="5">IF(E162=F162,1,0)</f>
        <v>0</v>
      </c>
      <c r="E162" s="16" t="s">
        <v>0</v>
      </c>
      <c r="F162" s="6" t="s">
        <v>1</v>
      </c>
      <c r="G162" t="s">
        <v>1866</v>
      </c>
      <c r="H162" t="s">
        <v>1867</v>
      </c>
    </row>
    <row r="163" spans="1:8" ht="13.5" customHeight="1" x14ac:dyDescent="0.3">
      <c r="A163" s="10">
        <v>54</v>
      </c>
      <c r="B163" s="18" t="s">
        <v>470</v>
      </c>
      <c r="C163" s="17" t="s">
        <v>471</v>
      </c>
      <c r="D163" s="10">
        <f t="shared" si="5"/>
        <v>0</v>
      </c>
      <c r="E163" s="16" t="s">
        <v>0</v>
      </c>
      <c r="F163" s="6" t="s">
        <v>5</v>
      </c>
      <c r="G163" t="s">
        <v>1868</v>
      </c>
      <c r="H163" t="s">
        <v>1869</v>
      </c>
    </row>
    <row r="164" spans="1:8" ht="13.5" customHeight="1" x14ac:dyDescent="0.3">
      <c r="A164" s="10">
        <v>55</v>
      </c>
      <c r="B164" s="17" t="s">
        <v>476</v>
      </c>
      <c r="C164" s="17" t="s">
        <v>477</v>
      </c>
      <c r="D164" s="10">
        <f t="shared" si="5"/>
        <v>0</v>
      </c>
      <c r="E164" s="16" t="s">
        <v>1</v>
      </c>
      <c r="F164" s="6" t="s">
        <v>0</v>
      </c>
      <c r="G164" t="s">
        <v>1882</v>
      </c>
      <c r="H164" t="s">
        <v>1883</v>
      </c>
    </row>
    <row r="165" spans="1:8" ht="13.5" customHeight="1" x14ac:dyDescent="0.3">
      <c r="A165" s="10">
        <v>55</v>
      </c>
      <c r="B165" s="17" t="s">
        <v>476</v>
      </c>
      <c r="C165" s="17" t="s">
        <v>477</v>
      </c>
      <c r="D165" s="10">
        <f t="shared" si="5"/>
        <v>0</v>
      </c>
      <c r="E165" s="16" t="s">
        <v>1</v>
      </c>
      <c r="F165" s="6" t="s">
        <v>5</v>
      </c>
      <c r="G165" t="s">
        <v>1884</v>
      </c>
      <c r="H165" t="s">
        <v>1885</v>
      </c>
    </row>
    <row r="166" spans="1:8" ht="13.5" customHeight="1" x14ac:dyDescent="0.3">
      <c r="A166" s="10">
        <v>55</v>
      </c>
      <c r="B166" s="17" t="s">
        <v>476</v>
      </c>
      <c r="C166" s="17" t="s">
        <v>477</v>
      </c>
      <c r="D166" s="10">
        <f t="shared" si="5"/>
        <v>0</v>
      </c>
      <c r="E166" s="16" t="s">
        <v>1</v>
      </c>
      <c r="F166" s="6" t="s">
        <v>0</v>
      </c>
      <c r="G166" t="s">
        <v>1886</v>
      </c>
      <c r="H166" t="s">
        <v>1887</v>
      </c>
    </row>
    <row r="167" spans="1:8" ht="13.5" customHeight="1" x14ac:dyDescent="0.3">
      <c r="A167" s="10">
        <v>56</v>
      </c>
      <c r="B167" s="17" t="s">
        <v>474</v>
      </c>
      <c r="C167" s="17" t="s">
        <v>475</v>
      </c>
      <c r="D167" s="10">
        <f t="shared" si="5"/>
        <v>0</v>
      </c>
      <c r="E167" s="16" t="s">
        <v>1</v>
      </c>
      <c r="F167" s="6" t="s">
        <v>0</v>
      </c>
      <c r="G167" t="s">
        <v>1876</v>
      </c>
      <c r="H167" t="s">
        <v>1877</v>
      </c>
    </row>
    <row r="168" spans="1:8" ht="13.5" customHeight="1" x14ac:dyDescent="0.3">
      <c r="A168" s="10">
        <v>56</v>
      </c>
      <c r="B168" s="17" t="s">
        <v>474</v>
      </c>
      <c r="C168" s="17" t="s">
        <v>475</v>
      </c>
      <c r="D168" s="10">
        <f t="shared" si="5"/>
        <v>0</v>
      </c>
      <c r="E168" s="16" t="s">
        <v>1</v>
      </c>
      <c r="F168" s="6" t="s">
        <v>5</v>
      </c>
      <c r="G168" t="s">
        <v>1878</v>
      </c>
      <c r="H168" t="s">
        <v>1879</v>
      </c>
    </row>
    <row r="169" spans="1:8" ht="13.5" customHeight="1" x14ac:dyDescent="0.3">
      <c r="A169" s="10">
        <v>56</v>
      </c>
      <c r="B169" s="17" t="s">
        <v>474</v>
      </c>
      <c r="C169" s="17" t="s">
        <v>475</v>
      </c>
      <c r="D169" s="10">
        <f t="shared" si="5"/>
        <v>0</v>
      </c>
      <c r="E169" s="16" t="s">
        <v>1</v>
      </c>
      <c r="F169" s="6" t="s">
        <v>5</v>
      </c>
      <c r="G169" t="s">
        <v>1880</v>
      </c>
      <c r="H169" t="s">
        <v>1881</v>
      </c>
    </row>
    <row r="170" spans="1:8" ht="13.5" customHeight="1" x14ac:dyDescent="0.3">
      <c r="A170" s="10">
        <v>57</v>
      </c>
      <c r="B170" s="18" t="s">
        <v>468</v>
      </c>
      <c r="C170" s="18" t="s">
        <v>469</v>
      </c>
      <c r="D170" s="10">
        <f t="shared" si="5"/>
        <v>0</v>
      </c>
      <c r="E170" s="16" t="s">
        <v>0</v>
      </c>
      <c r="F170" s="6" t="s">
        <v>5</v>
      </c>
      <c r="G170" t="s">
        <v>1858</v>
      </c>
      <c r="H170" t="s">
        <v>1859</v>
      </c>
    </row>
    <row r="171" spans="1:8" ht="13.5" customHeight="1" x14ac:dyDescent="0.3">
      <c r="A171" s="10">
        <v>57</v>
      </c>
      <c r="B171" s="18" t="s">
        <v>468</v>
      </c>
      <c r="C171" s="18" t="s">
        <v>469</v>
      </c>
      <c r="D171" s="10">
        <f t="shared" si="5"/>
        <v>1</v>
      </c>
      <c r="E171" s="16" t="s">
        <v>0</v>
      </c>
      <c r="F171" s="6" t="s">
        <v>0</v>
      </c>
      <c r="G171" t="s">
        <v>1860</v>
      </c>
      <c r="H171" t="s">
        <v>1861</v>
      </c>
    </row>
    <row r="172" spans="1:8" ht="13.5" customHeight="1" x14ac:dyDescent="0.3">
      <c r="A172" s="10">
        <v>57</v>
      </c>
      <c r="B172" s="18" t="s">
        <v>468</v>
      </c>
      <c r="C172" s="18" t="s">
        <v>469</v>
      </c>
      <c r="D172" s="10">
        <f t="shared" si="5"/>
        <v>0</v>
      </c>
      <c r="E172" s="16" t="s">
        <v>0</v>
      </c>
      <c r="F172" s="6" t="s">
        <v>1</v>
      </c>
      <c r="G172" t="s">
        <v>1862</v>
      </c>
      <c r="H172" t="s">
        <v>1863</v>
      </c>
    </row>
    <row r="173" spans="1:8" ht="13.5" customHeight="1" x14ac:dyDescent="0.3">
      <c r="A173" s="10">
        <v>58</v>
      </c>
      <c r="B173" s="17" t="s">
        <v>478</v>
      </c>
      <c r="C173" s="17" t="s">
        <v>479</v>
      </c>
      <c r="D173" s="10">
        <f t="shared" si="5"/>
        <v>1</v>
      </c>
      <c r="E173" s="16" t="s">
        <v>1</v>
      </c>
      <c r="F173" s="6" t="s">
        <v>1</v>
      </c>
      <c r="G173" t="s">
        <v>1888</v>
      </c>
      <c r="H173" t="s">
        <v>1889</v>
      </c>
    </row>
    <row r="174" spans="1:8" ht="13.5" customHeight="1" x14ac:dyDescent="0.3">
      <c r="A174" s="10">
        <v>58</v>
      </c>
      <c r="B174" s="17" t="s">
        <v>478</v>
      </c>
      <c r="C174" s="17" t="s">
        <v>479</v>
      </c>
      <c r="D174" s="10">
        <f t="shared" si="5"/>
        <v>1</v>
      </c>
      <c r="E174" s="16" t="s">
        <v>1</v>
      </c>
      <c r="F174" s="6" t="s">
        <v>1</v>
      </c>
      <c r="G174" t="s">
        <v>1890</v>
      </c>
      <c r="H174" t="s">
        <v>1891</v>
      </c>
    </row>
    <row r="175" spans="1:8" ht="13.5" customHeight="1" x14ac:dyDescent="0.3">
      <c r="A175" s="10">
        <v>58</v>
      </c>
      <c r="B175" s="17" t="s">
        <v>478</v>
      </c>
      <c r="C175" s="17" t="s">
        <v>479</v>
      </c>
      <c r="D175" s="10">
        <f t="shared" si="5"/>
        <v>0</v>
      </c>
      <c r="E175" s="16" t="s">
        <v>1</v>
      </c>
      <c r="F175" s="6" t="s">
        <v>5</v>
      </c>
      <c r="G175" t="s">
        <v>1892</v>
      </c>
      <c r="H175" t="s">
        <v>1893</v>
      </c>
    </row>
    <row r="176" spans="1:8" ht="13.5" customHeight="1" x14ac:dyDescent="0.3">
      <c r="A176" s="10">
        <v>59</v>
      </c>
      <c r="B176" s="17" t="s">
        <v>480</v>
      </c>
      <c r="C176" s="18" t="s">
        <v>481</v>
      </c>
      <c r="D176" s="10">
        <f t="shared" si="5"/>
        <v>0</v>
      </c>
      <c r="E176" s="16" t="s">
        <v>1</v>
      </c>
      <c r="F176" s="6" t="s">
        <v>0</v>
      </c>
      <c r="G176" t="s">
        <v>1894</v>
      </c>
      <c r="H176" t="s">
        <v>1895</v>
      </c>
    </row>
    <row r="177" spans="1:8" ht="13.5" customHeight="1" x14ac:dyDescent="0.3">
      <c r="A177" s="10">
        <v>59</v>
      </c>
      <c r="B177" s="17" t="s">
        <v>480</v>
      </c>
      <c r="C177" s="18" t="s">
        <v>481</v>
      </c>
      <c r="D177" s="10">
        <f t="shared" si="5"/>
        <v>0</v>
      </c>
      <c r="E177" s="16" t="s">
        <v>1</v>
      </c>
      <c r="F177" s="6" t="s">
        <v>5</v>
      </c>
      <c r="G177" t="s">
        <v>1896</v>
      </c>
      <c r="H177" t="s">
        <v>1897</v>
      </c>
    </row>
    <row r="178" spans="1:8" ht="13.5" customHeight="1" x14ac:dyDescent="0.3">
      <c r="A178" s="10">
        <v>59</v>
      </c>
      <c r="B178" s="17" t="s">
        <v>480</v>
      </c>
      <c r="C178" s="18" t="s">
        <v>481</v>
      </c>
      <c r="D178" s="10">
        <f t="shared" si="5"/>
        <v>1</v>
      </c>
      <c r="E178" s="16" t="s">
        <v>1</v>
      </c>
      <c r="F178" s="6" t="s">
        <v>1</v>
      </c>
      <c r="G178" t="s">
        <v>1898</v>
      </c>
      <c r="H178" t="s">
        <v>1899</v>
      </c>
    </row>
    <row r="179" spans="1:8" ht="13.5" customHeight="1" x14ac:dyDescent="0.3">
      <c r="A179" s="10">
        <v>60</v>
      </c>
      <c r="B179" s="17" t="s">
        <v>482</v>
      </c>
      <c r="C179" s="17" t="s">
        <v>483</v>
      </c>
      <c r="D179" s="10">
        <f t="shared" si="5"/>
        <v>1</v>
      </c>
      <c r="E179" s="16" t="s">
        <v>0</v>
      </c>
      <c r="F179" s="6" t="s">
        <v>0</v>
      </c>
      <c r="G179" t="s">
        <v>1900</v>
      </c>
      <c r="H179" t="s">
        <v>1901</v>
      </c>
    </row>
    <row r="180" spans="1:8" ht="13.5" customHeight="1" x14ac:dyDescent="0.3">
      <c r="A180" s="10">
        <v>60</v>
      </c>
      <c r="B180" s="17" t="s">
        <v>482</v>
      </c>
      <c r="C180" s="17" t="s">
        <v>483</v>
      </c>
      <c r="D180" s="10">
        <f t="shared" si="5"/>
        <v>1</v>
      </c>
      <c r="E180" s="16" t="s">
        <v>0</v>
      </c>
      <c r="F180" s="6" t="s">
        <v>0</v>
      </c>
      <c r="G180" t="s">
        <v>1902</v>
      </c>
      <c r="H180" t="s">
        <v>1903</v>
      </c>
    </row>
    <row r="181" spans="1:8" ht="13.5" customHeight="1" x14ac:dyDescent="0.3">
      <c r="A181" s="10">
        <v>60</v>
      </c>
      <c r="B181" s="17" t="s">
        <v>482</v>
      </c>
      <c r="C181" s="17" t="s">
        <v>483</v>
      </c>
      <c r="D181" s="10">
        <f t="shared" si="5"/>
        <v>1</v>
      </c>
      <c r="E181" s="16" t="s">
        <v>0</v>
      </c>
      <c r="F181" s="6" t="s">
        <v>0</v>
      </c>
      <c r="G181" t="s">
        <v>1904</v>
      </c>
      <c r="H181" t="s">
        <v>1905</v>
      </c>
    </row>
    <row r="182" spans="1:8" ht="13.5" customHeight="1" x14ac:dyDescent="0.3">
      <c r="D182" s="10"/>
    </row>
  </sheetData>
  <autoFilter ref="A1:H182" xr:uid="{FD4FD75B-64BF-4C18-807E-531719713B48}">
    <sortState xmlns:xlrd2="http://schemas.microsoft.com/office/spreadsheetml/2017/richdata2" ref="A2:H182">
      <sortCondition ref="A1:A182"/>
    </sortState>
  </autoFilter>
  <sortState xmlns:xlrd2="http://schemas.microsoft.com/office/spreadsheetml/2017/richdata2" ref="A2:H181">
    <sortCondition ref="A86:A18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6</vt:i4>
      </vt:variant>
      <vt:variant>
        <vt:lpstr>טווחים בעלי שם</vt:lpstr>
      </vt:variant>
      <vt:variant>
        <vt:i4>1</vt:i4>
      </vt:variant>
    </vt:vector>
  </HeadingPairs>
  <TitlesOfParts>
    <vt:vector size="7" baseType="lpstr">
      <vt:lpstr>True Labels</vt:lpstr>
      <vt:lpstr>o</vt:lpstr>
      <vt:lpstr>c</vt:lpstr>
      <vt:lpstr>e</vt:lpstr>
      <vt:lpstr>a</vt:lpstr>
      <vt:lpstr>n</vt:lpstr>
      <vt:lpstr>True_labels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itaytol09@gmail.com</dc:creator>
  <cp:lastModifiedBy>itaytol09@gmail.com</cp:lastModifiedBy>
  <dcterms:created xsi:type="dcterms:W3CDTF">2025-02-27T10:42:57Z</dcterms:created>
  <dcterms:modified xsi:type="dcterms:W3CDTF">2025-10-31T19:28:22Z</dcterms:modified>
</cp:coreProperties>
</file>