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Workbook______________" hidePivotFieldList="1" defaultThemeVersion="202300"/>
  <mc:AlternateContent xmlns:mc="http://schemas.openxmlformats.org/markup-compatibility/2006">
    <mc:Choice Requires="x15">
      <x15ac:absPath xmlns:x15ac="http://schemas.microsoft.com/office/spreadsheetml/2010/11/ac" url="https://d.docs.live.net/2a25a66056d2f040/Desktop/Masters/thesis/DATA/"/>
    </mc:Choice>
  </mc:AlternateContent>
  <xr:revisionPtr revIDLastSave="901" documentId="13_ncr:1_{CC0AAEBC-8F72-453C-BF28-E4D93EA7964C}" xr6:coauthVersionLast="47" xr6:coauthVersionMax="47" xr10:uidLastSave="{17028748-C59F-4ECB-88AD-A1516F43AD20}"/>
  <bookViews>
    <workbookView xWindow="-110" yWindow="-110" windowWidth="19420" windowHeight="10420" tabRatio="773" firstSheet="1" activeTab="8" xr2:uid="{00000000-000D-0000-FFFF-FFFF00000000}"/>
  </bookViews>
  <sheets>
    <sheet name="נתונים גולמיים שאלון התנהגות" sheetId="1" state="hidden" r:id="rId1"/>
    <sheet name="133_answers_after_handling_neg" sheetId="2" r:id="rId2"/>
    <sheet name="  והשוואת בדיקת PID" sheetId="3" state="hidden" r:id="rId3"/>
    <sheet name="o" sheetId="5" r:id="rId4"/>
    <sheet name="c" sheetId="6" r:id="rId5"/>
    <sheet name="e" sheetId="7" r:id="rId6"/>
    <sheet name="a" sheetId="8" r:id="rId7"/>
    <sheet name="n" sheetId="9" r:id="rId8"/>
    <sheet name="summary_true_labels_3_classes" sheetId="16" r:id="rId9"/>
  </sheets>
  <definedNames>
    <definedName name="_xlnm._FilterDatabase" localSheetId="2" hidden="1">'  והשוואת בדיקת PID'!$A$1:$B$114</definedName>
    <definedName name="_xlnm._FilterDatabase" localSheetId="7" hidden="1">n!$A$1:$P$108</definedName>
    <definedName name="_xlnm._FilterDatabase" localSheetId="3" hidden="1">o!$B$1:$T$63</definedName>
    <definedName name="_xlnm._FilterDatabase" localSheetId="0" hidden="1">'נתונים גולמיים שאלון התנהגות'!$C$2:$CN$107</definedName>
    <definedName name="PP">o!$O$4:$O$63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4" i="7" l="1" a="1"/>
  <c r="R54" i="7" s="1"/>
  <c r="N109" i="7"/>
  <c r="R109" i="7" s="1" a="1"/>
  <c r="R109" i="7" s="1"/>
  <c r="N110" i="7"/>
  <c r="P110" i="7" s="1" a="1"/>
  <c r="P110" i="7" s="1"/>
  <c r="N111" i="7"/>
  <c r="P111" i="7" s="1" a="1"/>
  <c r="P111" i="7" s="1"/>
  <c r="N112" i="7"/>
  <c r="R112" i="7" s="1" a="1"/>
  <c r="R112" i="7" s="1"/>
  <c r="N113" i="7"/>
  <c r="P113" i="7" s="1" a="1"/>
  <c r="P113" i="7" s="1"/>
  <c r="N114" i="7"/>
  <c r="R114" i="7" s="1" a="1"/>
  <c r="R114" i="7" s="1"/>
  <c r="N115" i="7"/>
  <c r="P115" i="7" s="1" a="1"/>
  <c r="P115" i="7" s="1"/>
  <c r="N116" i="7"/>
  <c r="R116" i="7" s="1" a="1"/>
  <c r="R116" i="7" s="1"/>
  <c r="N117" i="7"/>
  <c r="N118" i="7"/>
  <c r="R118" i="7" s="1" a="1"/>
  <c r="R118" i="7" s="1"/>
  <c r="N119" i="7"/>
  <c r="P119" i="7" s="1" a="1"/>
  <c r="P119" i="7" s="1"/>
  <c r="N120" i="7"/>
  <c r="R120" i="7" s="1" a="1"/>
  <c r="R120" i="7" s="1"/>
  <c r="N121" i="7"/>
  <c r="P121" i="7" s="1" a="1"/>
  <c r="P121" i="7" s="1"/>
  <c r="N122" i="7"/>
  <c r="P122" i="7" s="1" a="1"/>
  <c r="P122" i="7" s="1"/>
  <c r="N123" i="7"/>
  <c r="P123" i="7" s="1" a="1"/>
  <c r="P123" i="7" s="1"/>
  <c r="N124" i="7"/>
  <c r="P124" i="7" s="1" a="1"/>
  <c r="P124" i="7" s="1"/>
  <c r="N125" i="7"/>
  <c r="N126" i="7"/>
  <c r="P126" i="7" s="1" a="1"/>
  <c r="P126" i="7" s="1"/>
  <c r="N127" i="7"/>
  <c r="P127" i="7" s="1" a="1"/>
  <c r="P127" i="7" s="1"/>
  <c r="N128" i="7"/>
  <c r="P128" i="7" s="1" a="1"/>
  <c r="P128" i="7" s="1"/>
  <c r="N129" i="7"/>
  <c r="P129" i="7" s="1" a="1"/>
  <c r="P129" i="7" s="1"/>
  <c r="N130" i="7"/>
  <c r="P130" i="7" s="1" a="1"/>
  <c r="P130" i="7" s="1"/>
  <c r="N131" i="7"/>
  <c r="P131" i="7" s="1" a="1"/>
  <c r="P131" i="7" s="1"/>
  <c r="N132" i="7"/>
  <c r="P132" i="7" s="1" a="1"/>
  <c r="P132" i="7" s="1"/>
  <c r="N133" i="7"/>
  <c r="R133" i="7" s="1" a="1"/>
  <c r="R133" i="7" s="1"/>
  <c r="N134" i="7"/>
  <c r="P134" i="7" s="1" a="1"/>
  <c r="P134" i="7" s="1"/>
  <c r="N135" i="7"/>
  <c r="P135" i="7" s="1" a="1"/>
  <c r="P135" i="7" s="1"/>
  <c r="N136" i="7"/>
  <c r="P136" i="7" s="1" a="1"/>
  <c r="P136" i="7" s="1"/>
  <c r="R4" i="5" a="1"/>
  <c r="R4" i="5" s="1"/>
  <c r="R5" i="5" a="1"/>
  <c r="R5" i="5"/>
  <c r="R6" i="5" a="1"/>
  <c r="R6" i="5" s="1"/>
  <c r="R7" i="5" a="1"/>
  <c r="R7" i="5"/>
  <c r="R8" i="5" a="1"/>
  <c r="R8" i="5" s="1"/>
  <c r="R9" i="5" a="1"/>
  <c r="R9" i="5"/>
  <c r="R10" i="5" a="1"/>
  <c r="R10" i="5" s="1"/>
  <c r="R11" i="5" a="1"/>
  <c r="R11" i="5"/>
  <c r="R12" i="5" a="1"/>
  <c r="R12" i="5" s="1"/>
  <c r="R13" i="5" a="1"/>
  <c r="R13" i="5"/>
  <c r="R14" i="5" a="1"/>
  <c r="R14" i="5" s="1"/>
  <c r="R15" i="5" a="1"/>
  <c r="R15" i="5"/>
  <c r="R16" i="5" a="1"/>
  <c r="R16" i="5" s="1"/>
  <c r="R17" i="5" a="1"/>
  <c r="R17" i="5"/>
  <c r="R18" i="5" a="1"/>
  <c r="R18" i="5" s="1"/>
  <c r="R19" i="5" a="1"/>
  <c r="R19" i="5"/>
  <c r="R20" i="5" a="1"/>
  <c r="R20" i="5" s="1"/>
  <c r="R21" i="5" a="1"/>
  <c r="R21" i="5"/>
  <c r="R22" i="5" a="1"/>
  <c r="R22" i="5" s="1"/>
  <c r="R23" i="5" a="1"/>
  <c r="R23" i="5"/>
  <c r="R24" i="5" a="1"/>
  <c r="R24" i="5" s="1"/>
  <c r="R25" i="5" a="1"/>
  <c r="R25" i="5"/>
  <c r="R26" i="5" a="1"/>
  <c r="R26" i="5" s="1"/>
  <c r="R27" i="5" a="1"/>
  <c r="R27" i="5"/>
  <c r="R28" i="5" a="1"/>
  <c r="R28" i="5" s="1"/>
  <c r="R29" i="5" a="1"/>
  <c r="R29" i="5"/>
  <c r="R30" i="5" a="1"/>
  <c r="R30" i="5" s="1"/>
  <c r="R31" i="5" a="1"/>
  <c r="R31" i="5"/>
  <c r="R32" i="5" a="1"/>
  <c r="R32" i="5" s="1"/>
  <c r="R33" i="5" a="1"/>
  <c r="R33" i="5"/>
  <c r="R34" i="5" a="1"/>
  <c r="R34" i="5" s="1"/>
  <c r="R35" i="5" a="1"/>
  <c r="R35" i="5"/>
  <c r="R36" i="5" a="1"/>
  <c r="R36" i="5" s="1"/>
  <c r="R37" i="5" a="1"/>
  <c r="R37" i="5"/>
  <c r="R38" i="5" a="1"/>
  <c r="R38" i="5" s="1"/>
  <c r="R39" i="5" a="1"/>
  <c r="R39" i="5"/>
  <c r="R40" i="5" a="1"/>
  <c r="R40" i="5" s="1"/>
  <c r="R41" i="5" a="1"/>
  <c r="R41" i="5"/>
  <c r="R42" i="5" a="1"/>
  <c r="R42" i="5" s="1"/>
  <c r="R43" i="5" a="1"/>
  <c r="R43" i="5"/>
  <c r="R44" i="5" a="1"/>
  <c r="R44" i="5" s="1"/>
  <c r="R45" i="5" a="1"/>
  <c r="R45" i="5"/>
  <c r="R46" i="5" a="1"/>
  <c r="R46" i="5" s="1"/>
  <c r="R47" i="5" a="1"/>
  <c r="R47" i="5"/>
  <c r="R48" i="5" a="1"/>
  <c r="R48" i="5" s="1"/>
  <c r="R49" i="5" a="1"/>
  <c r="R49" i="5"/>
  <c r="R50" i="5" a="1"/>
  <c r="R50" i="5" s="1"/>
  <c r="R51" i="5" a="1"/>
  <c r="R51" i="5"/>
  <c r="R52" i="5" a="1"/>
  <c r="R52" i="5" s="1"/>
  <c r="R53" i="5" a="1"/>
  <c r="R53" i="5"/>
  <c r="R54" i="5" a="1"/>
  <c r="R54" i="5" s="1"/>
  <c r="R55" i="5" a="1"/>
  <c r="R55" i="5"/>
  <c r="R56" i="5" a="1"/>
  <c r="R56" i="5" s="1"/>
  <c r="R57" i="5" a="1"/>
  <c r="R57" i="5"/>
  <c r="R58" i="5" a="1"/>
  <c r="R58" i="5" s="1"/>
  <c r="R59" i="5" a="1"/>
  <c r="R59" i="5"/>
  <c r="R60" i="5" a="1"/>
  <c r="R60" i="5" s="1"/>
  <c r="R61" i="5" a="1"/>
  <c r="R61" i="5"/>
  <c r="R62" i="5" a="1"/>
  <c r="R62" i="5" s="1"/>
  <c r="R63" i="5" a="1"/>
  <c r="R63" i="5"/>
  <c r="R64" i="5" a="1"/>
  <c r="R64" i="5" s="1"/>
  <c r="R65" i="5" a="1"/>
  <c r="R65" i="5"/>
  <c r="R66" i="5" a="1"/>
  <c r="R66" i="5" s="1"/>
  <c r="R67" i="5" a="1"/>
  <c r="R67" i="5"/>
  <c r="R68" i="5" a="1"/>
  <c r="R68" i="5" s="1"/>
  <c r="R69" i="5" a="1"/>
  <c r="R69" i="5"/>
  <c r="R70" i="5" a="1"/>
  <c r="R70" i="5" s="1"/>
  <c r="R71" i="5" a="1"/>
  <c r="R71" i="5"/>
  <c r="R72" i="5" a="1"/>
  <c r="R72" i="5" s="1"/>
  <c r="R73" i="5" a="1"/>
  <c r="R73" i="5"/>
  <c r="R74" i="5" a="1"/>
  <c r="R74" i="5" s="1"/>
  <c r="R75" i="5" a="1"/>
  <c r="R75" i="5"/>
  <c r="R76" i="5" a="1"/>
  <c r="R76" i="5" s="1"/>
  <c r="R77" i="5" a="1"/>
  <c r="R77" i="5"/>
  <c r="R78" i="5" a="1"/>
  <c r="R78" i="5" s="1"/>
  <c r="R79" i="5" a="1"/>
  <c r="R79" i="5"/>
  <c r="R80" i="5" a="1"/>
  <c r="R80" i="5" s="1"/>
  <c r="R81" i="5" a="1"/>
  <c r="R81" i="5"/>
  <c r="R82" i="5" a="1"/>
  <c r="R82" i="5" s="1"/>
  <c r="R83" i="5" a="1"/>
  <c r="R83" i="5"/>
  <c r="R84" i="5" a="1"/>
  <c r="R84" i="5" s="1"/>
  <c r="R85" i="5" a="1"/>
  <c r="R85" i="5"/>
  <c r="R86" i="5" a="1"/>
  <c r="R86" i="5" s="1"/>
  <c r="R87" i="5" a="1"/>
  <c r="R87" i="5"/>
  <c r="R88" i="5" a="1"/>
  <c r="R88" i="5" s="1"/>
  <c r="R89" i="5" a="1"/>
  <c r="R89" i="5"/>
  <c r="R90" i="5" a="1"/>
  <c r="R90" i="5" s="1"/>
  <c r="R91" i="5" a="1"/>
  <c r="R91" i="5"/>
  <c r="R92" i="5" a="1"/>
  <c r="R92" i="5" s="1"/>
  <c r="R93" i="5" a="1"/>
  <c r="R93" i="5"/>
  <c r="R94" i="5" a="1"/>
  <c r="R94" i="5" s="1"/>
  <c r="R95" i="5" a="1"/>
  <c r="R95" i="5"/>
  <c r="R96" i="5" a="1"/>
  <c r="R96" i="5" s="1"/>
  <c r="R97" i="5" a="1"/>
  <c r="R97" i="5"/>
  <c r="R98" i="5" a="1"/>
  <c r="R98" i="5" s="1"/>
  <c r="R99" i="5" a="1"/>
  <c r="R99" i="5"/>
  <c r="R100" i="5" a="1"/>
  <c r="R100" i="5" s="1"/>
  <c r="R101" i="5" a="1"/>
  <c r="R101" i="5"/>
  <c r="R102" i="5" a="1"/>
  <c r="R102" i="5" s="1"/>
  <c r="R103" i="5" a="1"/>
  <c r="R103" i="5"/>
  <c r="R104" i="5" a="1"/>
  <c r="R104" i="5" s="1"/>
  <c r="R105" i="5" a="1"/>
  <c r="R105" i="5"/>
  <c r="R106" i="5" a="1"/>
  <c r="R106" i="5" s="1"/>
  <c r="R107" i="5" a="1"/>
  <c r="R107" i="5"/>
  <c r="R108" i="5" a="1"/>
  <c r="R108" i="5" s="1"/>
  <c r="R109" i="5" a="1"/>
  <c r="R109" i="5" s="1"/>
  <c r="R110" i="5" a="1"/>
  <c r="R110" i="5" s="1"/>
  <c r="R111" i="5" a="1"/>
  <c r="R111" i="5"/>
  <c r="R112" i="5" a="1"/>
  <c r="R112" i="5" s="1"/>
  <c r="R113" i="5" a="1"/>
  <c r="R113" i="5"/>
  <c r="R114" i="5" a="1"/>
  <c r="R114" i="5" s="1"/>
  <c r="R115" i="5" a="1"/>
  <c r="R115" i="5"/>
  <c r="R116" i="5" a="1"/>
  <c r="R116" i="5" s="1"/>
  <c r="R117" i="5" a="1"/>
  <c r="R117" i="5"/>
  <c r="R118" i="5" a="1"/>
  <c r="R118" i="5" s="1"/>
  <c r="R119" i="5" a="1"/>
  <c r="R119" i="5"/>
  <c r="R120" i="5" a="1"/>
  <c r="R120" i="5" s="1"/>
  <c r="R121" i="5" a="1"/>
  <c r="R121" i="5"/>
  <c r="R122" i="5" a="1"/>
  <c r="R122" i="5" s="1"/>
  <c r="R123" i="5" a="1"/>
  <c r="R123" i="5"/>
  <c r="R124" i="5" a="1"/>
  <c r="R124" i="5" s="1"/>
  <c r="R125" i="5" a="1"/>
  <c r="R125" i="5"/>
  <c r="R126" i="5" a="1"/>
  <c r="R126" i="5" s="1"/>
  <c r="R127" i="5" a="1"/>
  <c r="R127" i="5"/>
  <c r="R128" i="5" a="1"/>
  <c r="R128" i="5" s="1"/>
  <c r="R129" i="5" a="1"/>
  <c r="R129" i="5"/>
  <c r="R130" i="5" a="1"/>
  <c r="R130" i="5" s="1"/>
  <c r="R131" i="5" a="1"/>
  <c r="R131" i="5"/>
  <c r="R132" i="5" a="1"/>
  <c r="R132" i="5" s="1"/>
  <c r="R133" i="5" a="1"/>
  <c r="R133" i="5"/>
  <c r="R134" i="5" a="1"/>
  <c r="R134" i="5" s="1"/>
  <c r="R135" i="5" a="1"/>
  <c r="R135" i="5"/>
  <c r="R136" i="5" a="1"/>
  <c r="R136" i="5" s="1"/>
  <c r="P125" i="5" a="1"/>
  <c r="P125" i="5" s="1"/>
  <c r="P126" i="5" a="1"/>
  <c r="P126" i="5"/>
  <c r="P127" i="5" a="1"/>
  <c r="P127" i="5" s="1"/>
  <c r="P128" i="5" a="1"/>
  <c r="P128" i="5"/>
  <c r="P129" i="5" a="1"/>
  <c r="P129" i="5" s="1"/>
  <c r="P130" i="5" a="1"/>
  <c r="P130" i="5"/>
  <c r="P131" i="5" a="1"/>
  <c r="P131" i="5" s="1"/>
  <c r="P132" i="5" a="1"/>
  <c r="P132" i="5"/>
  <c r="P133" i="5" a="1"/>
  <c r="P133" i="5" s="1"/>
  <c r="P134" i="5" a="1"/>
  <c r="P134" i="5"/>
  <c r="P135" i="5" a="1"/>
  <c r="P135" i="5" s="1"/>
  <c r="P136" i="5" a="1"/>
  <c r="P136" i="5"/>
  <c r="P124" i="5" a="1"/>
  <c r="P124" i="5" s="1"/>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4" i="9"/>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4" i="8"/>
  <c r="N4" i="7"/>
  <c r="N5" i="7"/>
  <c r="N6" i="7"/>
  <c r="P6" i="7" s="1" a="1"/>
  <c r="P6" i="7" s="1"/>
  <c r="N7" i="7"/>
  <c r="R7" i="7" s="1" a="1"/>
  <c r="R7" i="7" s="1"/>
  <c r="N8" i="7"/>
  <c r="N9" i="7"/>
  <c r="P9" i="7" s="1" a="1"/>
  <c r="P9" i="7" s="1"/>
  <c r="N10" i="7"/>
  <c r="P10" i="7" s="1" a="1"/>
  <c r="P10" i="7" s="1"/>
  <c r="N11" i="7"/>
  <c r="N12" i="7"/>
  <c r="P12" i="7" s="1" a="1"/>
  <c r="P12" i="7" s="1"/>
  <c r="N13" i="7"/>
  <c r="N14" i="7"/>
  <c r="P14" i="7" s="1" a="1"/>
  <c r="P14" i="7" s="1"/>
  <c r="N15" i="7"/>
  <c r="P15" i="7" s="1" a="1"/>
  <c r="P15" i="7" s="1"/>
  <c r="N16" i="7"/>
  <c r="N17" i="7"/>
  <c r="P17" i="7" s="1" a="1"/>
  <c r="P17" i="7" s="1"/>
  <c r="N18" i="7"/>
  <c r="P18" i="7" s="1" a="1"/>
  <c r="P18" i="7" s="1"/>
  <c r="N19" i="7"/>
  <c r="R19" i="7" s="1" a="1"/>
  <c r="R19" i="7" s="1"/>
  <c r="N20" i="7"/>
  <c r="P20" i="7" s="1" a="1"/>
  <c r="P20" i="7" s="1"/>
  <c r="N21" i="7"/>
  <c r="N22" i="7"/>
  <c r="P22" i="7" s="1" a="1"/>
  <c r="P22" i="7" s="1"/>
  <c r="N23" i="7"/>
  <c r="P23" i="7" s="1" a="1"/>
  <c r="P23" i="7" s="1"/>
  <c r="N24" i="7"/>
  <c r="N25" i="7"/>
  <c r="P25" i="7" s="1" a="1"/>
  <c r="P25" i="7" s="1"/>
  <c r="N26" i="7"/>
  <c r="P26" i="7" s="1" a="1"/>
  <c r="P26" i="7" s="1"/>
  <c r="N27" i="7"/>
  <c r="N28" i="7"/>
  <c r="P28" i="7" s="1" a="1"/>
  <c r="P28" i="7" s="1"/>
  <c r="N29" i="7"/>
  <c r="N30" i="7"/>
  <c r="P30" i="7" s="1" a="1"/>
  <c r="P30" i="7" s="1"/>
  <c r="N31" i="7"/>
  <c r="P31" i="7" s="1" a="1"/>
  <c r="P31" i="7" s="1"/>
  <c r="N32" i="7"/>
  <c r="N33" i="7"/>
  <c r="P33" i="7" s="1" a="1"/>
  <c r="P33" i="7" s="1"/>
  <c r="N34" i="7"/>
  <c r="P34" i="7" s="1" a="1"/>
  <c r="P34" i="7" s="1"/>
  <c r="N35" i="7"/>
  <c r="R35" i="7" s="1" a="1"/>
  <c r="R35" i="7" s="1"/>
  <c r="N36" i="7"/>
  <c r="P36" i="7" s="1" a="1"/>
  <c r="P36" i="7" s="1"/>
  <c r="N37" i="7"/>
  <c r="N38" i="7"/>
  <c r="P38" i="7" s="1" a="1"/>
  <c r="P38" i="7" s="1"/>
  <c r="N39" i="7"/>
  <c r="R39" i="7" s="1" a="1"/>
  <c r="R39" i="7" s="1"/>
  <c r="N40" i="7"/>
  <c r="N41" i="7"/>
  <c r="P41" i="7" s="1" a="1"/>
  <c r="P41" i="7" s="1"/>
  <c r="N42" i="7"/>
  <c r="P42" i="7" s="1" a="1"/>
  <c r="P42" i="7" s="1"/>
  <c r="N43" i="7"/>
  <c r="N44" i="7"/>
  <c r="P44" i="7" s="1" a="1"/>
  <c r="P44" i="7" s="1"/>
  <c r="N45" i="7"/>
  <c r="N46" i="7"/>
  <c r="P46" i="7" s="1" a="1"/>
  <c r="P46" i="7" s="1"/>
  <c r="N47" i="7"/>
  <c r="P47" i="7" s="1" a="1"/>
  <c r="P47" i="7" s="1"/>
  <c r="N48" i="7"/>
  <c r="N49" i="7"/>
  <c r="P49" i="7" s="1" a="1"/>
  <c r="P49" i="7" s="1"/>
  <c r="N50" i="7"/>
  <c r="P50" i="7" s="1" a="1"/>
  <c r="P50" i="7" s="1"/>
  <c r="N51" i="7"/>
  <c r="R51" i="7" s="1" a="1"/>
  <c r="R51" i="7" s="1"/>
  <c r="N52" i="7"/>
  <c r="P52" i="7" s="1" a="1"/>
  <c r="P52" i="7" s="1"/>
  <c r="N53" i="7"/>
  <c r="N54" i="7"/>
  <c r="P54" i="7" s="1" a="1"/>
  <c r="P54" i="7" s="1"/>
  <c r="N55" i="7"/>
  <c r="R55" i="7" s="1" a="1"/>
  <c r="R55" i="7" s="1"/>
  <c r="N56" i="7"/>
  <c r="N57" i="7"/>
  <c r="P57" i="7" s="1" a="1"/>
  <c r="P57" i="7" s="1"/>
  <c r="N58" i="7"/>
  <c r="P58" i="7" s="1" a="1"/>
  <c r="P58" i="7" s="1"/>
  <c r="N59" i="7"/>
  <c r="N60" i="7"/>
  <c r="P60" i="7" s="1" a="1"/>
  <c r="P60" i="7" s="1"/>
  <c r="N61" i="7"/>
  <c r="N62" i="7"/>
  <c r="P62" i="7" s="1" a="1"/>
  <c r="P62" i="7" s="1"/>
  <c r="N63" i="7"/>
  <c r="R63" i="7" s="1" a="1"/>
  <c r="R63" i="7" s="1"/>
  <c r="N64" i="7"/>
  <c r="N65" i="7"/>
  <c r="P65" i="7" s="1" a="1"/>
  <c r="P65" i="7" s="1"/>
  <c r="N66" i="7"/>
  <c r="P66" i="7" s="1" a="1"/>
  <c r="P66" i="7" s="1"/>
  <c r="N67" i="7"/>
  <c r="R67" i="7" s="1" a="1"/>
  <c r="R67" i="7" s="1"/>
  <c r="N68" i="7"/>
  <c r="P68" i="7" s="1" a="1"/>
  <c r="P68" i="7" s="1"/>
  <c r="N69" i="7"/>
  <c r="N70" i="7"/>
  <c r="P70" i="7" s="1" a="1"/>
  <c r="P70" i="7" s="1"/>
  <c r="N71" i="7"/>
  <c r="R71" i="7" s="1" a="1"/>
  <c r="R71" i="7" s="1"/>
  <c r="N72" i="7"/>
  <c r="N73" i="7"/>
  <c r="P73" i="7" s="1" a="1"/>
  <c r="P73" i="7" s="1"/>
  <c r="N74" i="7"/>
  <c r="P74" i="7" s="1" a="1"/>
  <c r="P74" i="7" s="1"/>
  <c r="N75" i="7"/>
  <c r="N76" i="7"/>
  <c r="P76" i="7" s="1" a="1"/>
  <c r="P76" i="7" s="1"/>
  <c r="N77" i="7"/>
  <c r="N78" i="7"/>
  <c r="P78" i="7" s="1" a="1"/>
  <c r="P78" i="7" s="1"/>
  <c r="N79" i="7"/>
  <c r="P79" i="7" s="1" a="1"/>
  <c r="P79" i="7" s="1"/>
  <c r="N80" i="7"/>
  <c r="P80" i="7" s="1" a="1"/>
  <c r="P80" i="7" s="1"/>
  <c r="N81" i="7"/>
  <c r="P81" i="7" s="1" a="1"/>
  <c r="P81" i="7" s="1"/>
  <c r="N82" i="7"/>
  <c r="P82" i="7" s="1" a="1"/>
  <c r="P82" i="7" s="1"/>
  <c r="N83" i="7"/>
  <c r="P83" i="7" s="1" a="1"/>
  <c r="P83" i="7" s="1"/>
  <c r="N84" i="7"/>
  <c r="P84" i="7" s="1" a="1"/>
  <c r="P84" i="7" s="1"/>
  <c r="N85" i="7"/>
  <c r="N86" i="7"/>
  <c r="P86" i="7" s="1" a="1"/>
  <c r="P86" i="7" s="1"/>
  <c r="N87" i="7"/>
  <c r="R87" i="7" s="1" a="1"/>
  <c r="R87" i="7" s="1"/>
  <c r="N88" i="7"/>
  <c r="P88" i="7" s="1" a="1"/>
  <c r="P88" i="7" s="1"/>
  <c r="N89" i="7"/>
  <c r="P89" i="7" s="1" a="1"/>
  <c r="P89" i="7" s="1"/>
  <c r="N90" i="7"/>
  <c r="P90" i="7" s="1" a="1"/>
  <c r="P90" i="7" s="1"/>
  <c r="N91" i="7"/>
  <c r="P91" i="7" s="1" a="1"/>
  <c r="P91" i="7" s="1"/>
  <c r="N92" i="7"/>
  <c r="P92" i="7" s="1" a="1"/>
  <c r="P92" i="7" s="1"/>
  <c r="N93" i="7"/>
  <c r="N94" i="7"/>
  <c r="P94" i="7" s="1" a="1"/>
  <c r="P94" i="7" s="1"/>
  <c r="N95" i="7"/>
  <c r="R95" i="7" s="1" a="1"/>
  <c r="R95" i="7" s="1"/>
  <c r="N96" i="7"/>
  <c r="P96" i="7" s="1" a="1"/>
  <c r="P96" i="7" s="1"/>
  <c r="N97" i="7"/>
  <c r="P97" i="7" s="1" a="1"/>
  <c r="P97" i="7" s="1"/>
  <c r="N98" i="7"/>
  <c r="P98" i="7" s="1" a="1"/>
  <c r="P98" i="7" s="1"/>
  <c r="N99" i="7"/>
  <c r="R99" i="7" s="1" a="1"/>
  <c r="R99" i="7" s="1"/>
  <c r="N100" i="7"/>
  <c r="P100" i="7" s="1" a="1"/>
  <c r="P100" i="7" s="1"/>
  <c r="N101" i="7"/>
  <c r="N102" i="7"/>
  <c r="P102" i="7" s="1" a="1"/>
  <c r="P102" i="7" s="1"/>
  <c r="N103" i="7"/>
  <c r="P103" i="7" s="1" a="1"/>
  <c r="P103" i="7" s="1"/>
  <c r="N104" i="7"/>
  <c r="P104" i="7" s="1" a="1"/>
  <c r="P104" i="7" s="1"/>
  <c r="N105" i="7"/>
  <c r="P105" i="7" s="1" a="1"/>
  <c r="P105" i="7" s="1"/>
  <c r="N106" i="7"/>
  <c r="P106" i="7" s="1" a="1"/>
  <c r="P106" i="7" s="1"/>
  <c r="N107" i="7"/>
  <c r="P107" i="7" s="1" a="1"/>
  <c r="P107" i="7" s="1"/>
  <c r="N108" i="7"/>
  <c r="P108" i="7" s="1" a="1"/>
  <c r="P108" i="7" s="1"/>
  <c r="Q1" i="1"/>
  <c r="R1" i="1"/>
  <c r="S1" i="1"/>
  <c r="T1" i="1"/>
  <c r="U1" i="1"/>
  <c r="V1" i="1"/>
  <c r="W1" i="1"/>
  <c r="X1" i="1"/>
  <c r="Y1" i="1"/>
  <c r="Z1" i="1"/>
  <c r="AA1" i="1"/>
  <c r="AB1" i="1"/>
  <c r="AC1" i="1"/>
  <c r="AD1" i="1"/>
  <c r="AE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P1"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3" i="1"/>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P65" i="5" s="1" a="1"/>
  <c r="P65" i="5" s="1"/>
  <c r="N66" i="5"/>
  <c r="P66" i="5" s="1" a="1"/>
  <c r="P66" i="5" s="1"/>
  <c r="N67" i="5"/>
  <c r="P67" i="5" s="1" a="1"/>
  <c r="P67" i="5" s="1"/>
  <c r="N68" i="5"/>
  <c r="N69" i="5"/>
  <c r="P69" i="5" s="1" a="1"/>
  <c r="P69" i="5" s="1"/>
  <c r="N70" i="5"/>
  <c r="P70" i="5" s="1" a="1"/>
  <c r="P70" i="5" s="1"/>
  <c r="N71" i="5"/>
  <c r="P71" i="5" s="1" a="1"/>
  <c r="P71" i="5" s="1"/>
  <c r="N72" i="5"/>
  <c r="N73" i="5"/>
  <c r="N74" i="5"/>
  <c r="P74" i="5" s="1" a="1"/>
  <c r="P74" i="5" s="1"/>
  <c r="N75" i="5"/>
  <c r="P75" i="5" s="1" a="1"/>
  <c r="P75" i="5" s="1"/>
  <c r="N76" i="5"/>
  <c r="N77" i="5"/>
  <c r="P77" i="5" s="1" a="1"/>
  <c r="P77" i="5" s="1"/>
  <c r="N78" i="5"/>
  <c r="P78" i="5" s="1" a="1"/>
  <c r="P78" i="5" s="1"/>
  <c r="N79" i="5"/>
  <c r="P79" i="5" s="1" a="1"/>
  <c r="P79" i="5" s="1"/>
  <c r="N80" i="5"/>
  <c r="N81" i="5"/>
  <c r="P81" i="5" s="1" a="1"/>
  <c r="P81" i="5" s="1"/>
  <c r="N82" i="5"/>
  <c r="P82" i="5" s="1" a="1"/>
  <c r="P82" i="5" s="1"/>
  <c r="N83" i="5"/>
  <c r="P83" i="5" s="1" a="1"/>
  <c r="P83" i="5" s="1"/>
  <c r="N84" i="5"/>
  <c r="N85" i="5"/>
  <c r="P85" i="5" s="1" a="1"/>
  <c r="P85" i="5" s="1"/>
  <c r="N86" i="5"/>
  <c r="P86" i="5" s="1" a="1"/>
  <c r="P86" i="5" s="1"/>
  <c r="N87" i="5"/>
  <c r="P87" i="5" s="1" a="1"/>
  <c r="P87" i="5" s="1"/>
  <c r="N88" i="5"/>
  <c r="N89" i="5"/>
  <c r="N90" i="5"/>
  <c r="P90" i="5" s="1" a="1"/>
  <c r="P90" i="5" s="1"/>
  <c r="N91" i="5"/>
  <c r="P91" i="5" s="1" a="1"/>
  <c r="P91" i="5" s="1"/>
  <c r="N92" i="5"/>
  <c r="N93" i="5"/>
  <c r="P93" i="5" s="1" a="1"/>
  <c r="P93" i="5" s="1"/>
  <c r="N94" i="5"/>
  <c r="P94" i="5" s="1" a="1"/>
  <c r="P94" i="5" s="1"/>
  <c r="N95" i="5"/>
  <c r="P95" i="5" s="1" a="1"/>
  <c r="P95" i="5" s="1"/>
  <c r="N96" i="5"/>
  <c r="N97" i="5"/>
  <c r="P97" i="5" s="1" a="1"/>
  <c r="P97" i="5" s="1"/>
  <c r="N98" i="5"/>
  <c r="P98" i="5" s="1" a="1"/>
  <c r="P98" i="5" s="1"/>
  <c r="N99" i="5"/>
  <c r="P99" i="5" s="1" a="1"/>
  <c r="P99" i="5" s="1"/>
  <c r="N100" i="5"/>
  <c r="N101" i="5"/>
  <c r="P101" i="5" s="1" a="1"/>
  <c r="P101" i="5" s="1"/>
  <c r="N102" i="5"/>
  <c r="P102" i="5" s="1" a="1"/>
  <c r="P102" i="5" s="1"/>
  <c r="N103" i="5"/>
  <c r="P103" i="5" s="1" a="1"/>
  <c r="P103" i="5" s="1"/>
  <c r="N104" i="5"/>
  <c r="N105" i="5"/>
  <c r="P105" i="5" s="1" a="1"/>
  <c r="P105" i="5" s="1"/>
  <c r="N106" i="5"/>
  <c r="P106" i="5" s="1" a="1"/>
  <c r="P106" i="5" s="1"/>
  <c r="N107" i="5"/>
  <c r="P107" i="5" s="1" a="1"/>
  <c r="P107" i="5" s="1"/>
  <c r="N108" i="5"/>
  <c r="N109" i="5"/>
  <c r="N110" i="5"/>
  <c r="P110" i="5" s="1" a="1"/>
  <c r="P110" i="5" s="1"/>
  <c r="N111" i="5"/>
  <c r="P111" i="5" s="1" a="1"/>
  <c r="P111" i="5" s="1"/>
  <c r="N112" i="5"/>
  <c r="P112" i="5" s="1" a="1"/>
  <c r="P112" i="5" s="1"/>
  <c r="N113" i="5"/>
  <c r="N114" i="5"/>
  <c r="P114" i="5" s="1" a="1"/>
  <c r="P114" i="5" s="1"/>
  <c r="N115" i="5"/>
  <c r="P115" i="5" s="1" a="1"/>
  <c r="P115" i="5" s="1"/>
  <c r="N116" i="5"/>
  <c r="N117" i="5"/>
  <c r="N118" i="5"/>
  <c r="P118" i="5" s="1" a="1"/>
  <c r="P118" i="5" s="1"/>
  <c r="N119" i="5"/>
  <c r="N120" i="5"/>
  <c r="P120" i="5" s="1" a="1"/>
  <c r="P120" i="5" s="1"/>
  <c r="N121" i="5"/>
  <c r="N122" i="5"/>
  <c r="N123" i="5"/>
  <c r="N124" i="5"/>
  <c r="N125" i="5"/>
  <c r="N126" i="5"/>
  <c r="N127" i="5"/>
  <c r="N128" i="5"/>
  <c r="N129" i="5"/>
  <c r="N130" i="5"/>
  <c r="N131" i="5"/>
  <c r="N132" i="5"/>
  <c r="N133" i="5"/>
  <c r="N134" i="5"/>
  <c r="N135" i="5"/>
  <c r="N136" i="5"/>
  <c r="P116" i="5" a="1"/>
  <c r="P116" i="5" s="1"/>
  <c r="P92" i="5" a="1"/>
  <c r="P92" i="5" s="1"/>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P64" i="5" a="1"/>
  <c r="P64" i="5" s="1"/>
  <c r="P68" i="5" a="1"/>
  <c r="P68" i="5" s="1"/>
  <c r="P72" i="5" a="1"/>
  <c r="P72" i="5" s="1"/>
  <c r="P73" i="5" a="1"/>
  <c r="P73" i="5" s="1"/>
  <c r="P76" i="5" a="1"/>
  <c r="P76" i="5" s="1"/>
  <c r="P80" i="5" a="1"/>
  <c r="P80" i="5" s="1"/>
  <c r="P84" i="5" a="1"/>
  <c r="P84" i="5" s="1"/>
  <c r="P88" i="5" a="1"/>
  <c r="P88" i="5" s="1"/>
  <c r="P89" i="5" a="1"/>
  <c r="P89" i="5" s="1"/>
  <c r="P96" i="5" a="1"/>
  <c r="P96" i="5" s="1"/>
  <c r="P100" i="5" a="1"/>
  <c r="P100" i="5" s="1"/>
  <c r="P104" i="5" a="1"/>
  <c r="P104" i="5" s="1"/>
  <c r="P108" i="5" a="1"/>
  <c r="P108" i="5" s="1"/>
  <c r="R68" i="7" l="1" a="1"/>
  <c r="R68" i="7" s="1"/>
  <c r="R132" i="7" a="1"/>
  <c r="R132" i="7" s="1"/>
  <c r="R124" i="7" a="1"/>
  <c r="R124" i="7" s="1"/>
  <c r="R52" i="7" a="1"/>
  <c r="R52" i="7" s="1"/>
  <c r="P133" i="7" a="1"/>
  <c r="P133" i="7" s="1"/>
  <c r="R96" i="7" a="1"/>
  <c r="R96" i="7" s="1"/>
  <c r="R46" i="7" a="1"/>
  <c r="R46" i="7" s="1"/>
  <c r="P35" i="7" a="1"/>
  <c r="P35" i="7" s="1"/>
  <c r="R103" i="7" a="1"/>
  <c r="R103" i="7" s="1"/>
  <c r="P63" i="7" a="1"/>
  <c r="P63" i="7" s="1"/>
  <c r="P19" i="7" a="1"/>
  <c r="P19" i="7" s="1"/>
  <c r="R129" i="7" a="1"/>
  <c r="R129" i="7" s="1"/>
  <c r="R102" i="7" a="1"/>
  <c r="R102" i="7" s="1"/>
  <c r="R94" i="7" a="1"/>
  <c r="R94" i="7" s="1"/>
  <c r="R79" i="7" a="1"/>
  <c r="R79" i="7" s="1"/>
  <c r="R38" i="7" a="1"/>
  <c r="R38" i="7" s="1"/>
  <c r="R30" i="7" a="1"/>
  <c r="R30" i="7" s="1"/>
  <c r="R15" i="7" a="1"/>
  <c r="R15" i="7" s="1"/>
  <c r="P99" i="7" a="1"/>
  <c r="P99" i="7" s="1"/>
  <c r="P55" i="7" a="1"/>
  <c r="P55" i="7" s="1"/>
  <c r="R136" i="7" a="1"/>
  <c r="R136" i="7" s="1"/>
  <c r="R128" i="7" a="1"/>
  <c r="R128" i="7" s="1"/>
  <c r="R121" i="7" a="1"/>
  <c r="R121" i="7" s="1"/>
  <c r="R107" i="7" a="1"/>
  <c r="R107" i="7" s="1"/>
  <c r="R100" i="7" a="1"/>
  <c r="R100" i="7" s="1"/>
  <c r="R92" i="7" a="1"/>
  <c r="R92" i="7" s="1"/>
  <c r="R78" i="7" a="1"/>
  <c r="R78" i="7" s="1"/>
  <c r="R36" i="7" a="1"/>
  <c r="R36" i="7" s="1"/>
  <c r="R22" i="7" a="1"/>
  <c r="R22" i="7" s="1"/>
  <c r="R14" i="7" a="1"/>
  <c r="R14" i="7" s="1"/>
  <c r="R110" i="7" a="1"/>
  <c r="R110" i="7" s="1"/>
  <c r="R83" i="7" a="1"/>
  <c r="R83" i="7" s="1"/>
  <c r="R31" i="7" a="1"/>
  <c r="R31" i="7" s="1"/>
  <c r="P39" i="7" a="1"/>
  <c r="P39" i="7" s="1"/>
  <c r="R135" i="7" a="1"/>
  <c r="R135" i="7" s="1"/>
  <c r="R126" i="7" a="1"/>
  <c r="R126" i="7" s="1"/>
  <c r="R104" i="7" a="1"/>
  <c r="R104" i="7" s="1"/>
  <c r="R97" i="7" a="1"/>
  <c r="R97" i="7" s="1"/>
  <c r="R86" i="7" a="1"/>
  <c r="R86" i="7" s="1"/>
  <c r="R70" i="7" a="1"/>
  <c r="R70" i="7" s="1"/>
  <c r="R62" i="7" a="1"/>
  <c r="R62" i="7" s="1"/>
  <c r="R47" i="7" a="1"/>
  <c r="R47" i="7" s="1"/>
  <c r="R20" i="7" a="1"/>
  <c r="R20" i="7" s="1"/>
  <c r="R6" i="7" a="1"/>
  <c r="R6" i="7" s="1"/>
  <c r="R115" i="7" a="1"/>
  <c r="R115" i="7" s="1"/>
  <c r="R111" i="7" a="1"/>
  <c r="R111" i="7" s="1"/>
  <c r="P93" i="7" a="1"/>
  <c r="P93" i="7" s="1"/>
  <c r="R93" i="7" a="1"/>
  <c r="R93" i="7" s="1"/>
  <c r="P77" i="7" a="1"/>
  <c r="P77" i="7" s="1"/>
  <c r="R77" i="7" a="1"/>
  <c r="R77" i="7" s="1"/>
  <c r="P61" i="7" a="1"/>
  <c r="P61" i="7" s="1"/>
  <c r="R61" i="7" a="1"/>
  <c r="R61" i="7" s="1"/>
  <c r="P45" i="7" a="1"/>
  <c r="P45" i="7" s="1"/>
  <c r="R45" i="7" a="1"/>
  <c r="R45" i="7" s="1"/>
  <c r="P29" i="7" a="1"/>
  <c r="P29" i="7" s="1"/>
  <c r="R29" i="7" a="1"/>
  <c r="R29" i="7" s="1"/>
  <c r="P13" i="7" a="1"/>
  <c r="P13" i="7" s="1"/>
  <c r="R13" i="7" a="1"/>
  <c r="R13" i="7" s="1"/>
  <c r="R89" i="7" a="1"/>
  <c r="R89" i="7" s="1"/>
  <c r="R57" i="7" a="1"/>
  <c r="R57" i="7" s="1"/>
  <c r="R41" i="7" a="1"/>
  <c r="R41" i="7" s="1"/>
  <c r="P72" i="7" a="1"/>
  <c r="P72" i="7" s="1"/>
  <c r="R72" i="7" a="1"/>
  <c r="R72" i="7" s="1"/>
  <c r="P64" i="7" a="1"/>
  <c r="P64" i="7" s="1"/>
  <c r="R64" i="7" a="1"/>
  <c r="R64" i="7" s="1"/>
  <c r="P56" i="7" a="1"/>
  <c r="P56" i="7" s="1"/>
  <c r="R56" i="7" a="1"/>
  <c r="R56" i="7" s="1"/>
  <c r="P48" i="7" a="1"/>
  <c r="P48" i="7" s="1"/>
  <c r="R48" i="7" a="1"/>
  <c r="R48" i="7" s="1"/>
  <c r="P40" i="7" a="1"/>
  <c r="P40" i="7" s="1"/>
  <c r="R40" i="7" a="1"/>
  <c r="R40" i="7" s="1"/>
  <c r="P32" i="7" a="1"/>
  <c r="P32" i="7" s="1"/>
  <c r="R32" i="7" a="1"/>
  <c r="R32" i="7" s="1"/>
  <c r="P24" i="7" a="1"/>
  <c r="P24" i="7" s="1"/>
  <c r="R24" i="7" a="1"/>
  <c r="R24" i="7" s="1"/>
  <c r="P16" i="7" a="1"/>
  <c r="P16" i="7" s="1"/>
  <c r="R16" i="7" a="1"/>
  <c r="R16" i="7" s="1"/>
  <c r="P8" i="7" a="1"/>
  <c r="P8" i="7" s="1"/>
  <c r="R8" i="7" a="1"/>
  <c r="R8" i="7" s="1"/>
  <c r="S7" i="7"/>
  <c r="R4" i="7" a="1"/>
  <c r="R4" i="7" s="1"/>
  <c r="P95" i="7" a="1"/>
  <c r="P95" i="7" s="1"/>
  <c r="P71" i="7" a="1"/>
  <c r="P71" i="7" s="1"/>
  <c r="P51" i="7" a="1"/>
  <c r="P51" i="7" s="1"/>
  <c r="P7" i="7" a="1"/>
  <c r="P7" i="7" s="1"/>
  <c r="P125" i="7" a="1"/>
  <c r="P125" i="7" s="1"/>
  <c r="R125" i="7" a="1"/>
  <c r="R125" i="7" s="1"/>
  <c r="P117" i="7" a="1"/>
  <c r="P117" i="7" s="1"/>
  <c r="R117" i="7" a="1"/>
  <c r="R117" i="7" s="1"/>
  <c r="R134" i="7" a="1"/>
  <c r="R134" i="7" s="1"/>
  <c r="R131" i="7" a="1"/>
  <c r="R131" i="7" s="1"/>
  <c r="R127" i="7" a="1"/>
  <c r="R127" i="7" s="1"/>
  <c r="R113" i="7" a="1"/>
  <c r="R113" i="7" s="1"/>
  <c r="R88" i="7" a="1"/>
  <c r="R88" i="7" s="1"/>
  <c r="R84" i="7" a="1"/>
  <c r="R84" i="7" s="1"/>
  <c r="R81" i="7" a="1"/>
  <c r="R81" i="7" s="1"/>
  <c r="R76" i="7" a="1"/>
  <c r="R76" i="7" s="1"/>
  <c r="R60" i="7" a="1"/>
  <c r="R60" i="7" s="1"/>
  <c r="R44" i="7" a="1"/>
  <c r="R44" i="7" s="1"/>
  <c r="R28" i="7" a="1"/>
  <c r="R28" i="7" s="1"/>
  <c r="R23" i="7" a="1"/>
  <c r="R23" i="7" s="1"/>
  <c r="R12" i="7" a="1"/>
  <c r="R12" i="7" s="1"/>
  <c r="P101" i="7" a="1"/>
  <c r="P101" i="7" s="1"/>
  <c r="R101" i="7" a="1"/>
  <c r="R101" i="7" s="1"/>
  <c r="P85" i="7" a="1"/>
  <c r="P85" i="7" s="1"/>
  <c r="R85" i="7" a="1"/>
  <c r="R85" i="7" s="1"/>
  <c r="P69" i="7" a="1"/>
  <c r="P69" i="7" s="1"/>
  <c r="R69" i="7" a="1"/>
  <c r="R69" i="7" s="1"/>
  <c r="P53" i="7" a="1"/>
  <c r="P53" i="7" s="1"/>
  <c r="R53" i="7" a="1"/>
  <c r="R53" i="7" s="1"/>
  <c r="P37" i="7" a="1"/>
  <c r="P37" i="7" s="1"/>
  <c r="R37" i="7" a="1"/>
  <c r="R37" i="7" s="1"/>
  <c r="P21" i="7" a="1"/>
  <c r="P21" i="7" s="1"/>
  <c r="R21" i="7" a="1"/>
  <c r="R21" i="7" s="1"/>
  <c r="P5" i="7" a="1"/>
  <c r="P5" i="7" s="1"/>
  <c r="R5" i="7" a="1"/>
  <c r="R5" i="7" s="1"/>
  <c r="R73" i="7" a="1"/>
  <c r="R73" i="7" s="1"/>
  <c r="R25" i="7" a="1"/>
  <c r="R25" i="7" s="1"/>
  <c r="R9" i="7" a="1"/>
  <c r="R9" i="7" s="1"/>
  <c r="P75" i="7" a="1"/>
  <c r="P75" i="7" s="1"/>
  <c r="R75" i="7" a="1"/>
  <c r="R75" i="7" s="1"/>
  <c r="P59" i="7" a="1"/>
  <c r="P59" i="7" s="1"/>
  <c r="R59" i="7" a="1"/>
  <c r="R59" i="7" s="1"/>
  <c r="P43" i="7" a="1"/>
  <c r="P43" i="7" s="1"/>
  <c r="R43" i="7" a="1"/>
  <c r="R43" i="7" s="1"/>
  <c r="P27" i="7" a="1"/>
  <c r="P27" i="7" s="1"/>
  <c r="R27" i="7" a="1"/>
  <c r="R27" i="7" s="1"/>
  <c r="P11" i="7" a="1"/>
  <c r="P11" i="7" s="1"/>
  <c r="R11" i="7" a="1"/>
  <c r="R11" i="7" s="1"/>
  <c r="P87" i="7" a="1"/>
  <c r="P87" i="7" s="1"/>
  <c r="P67" i="7" a="1"/>
  <c r="P67" i="7" s="1"/>
  <c r="R123" i="7" a="1"/>
  <c r="R123" i="7" s="1"/>
  <c r="R119" i="7" a="1"/>
  <c r="R119" i="7" s="1"/>
  <c r="R108" i="7" a="1"/>
  <c r="R108" i="7" s="1"/>
  <c r="R105" i="7" a="1"/>
  <c r="R105" i="7" s="1"/>
  <c r="R91" i="7" a="1"/>
  <c r="R91" i="7" s="1"/>
  <c r="R80" i="7" a="1"/>
  <c r="R80" i="7" s="1"/>
  <c r="R65" i="7" a="1"/>
  <c r="R65" i="7" s="1"/>
  <c r="R49" i="7" a="1"/>
  <c r="R49" i="7" s="1"/>
  <c r="R33" i="7" a="1"/>
  <c r="R33" i="7" s="1"/>
  <c r="R17" i="7" a="1"/>
  <c r="R17" i="7" s="1"/>
  <c r="R130" i="7" a="1"/>
  <c r="R130" i="7" s="1"/>
  <c r="R122" i="7" a="1"/>
  <c r="R122" i="7" s="1"/>
  <c r="R106" i="7" a="1"/>
  <c r="R106" i="7" s="1"/>
  <c r="R98" i="7" a="1"/>
  <c r="R98" i="7" s="1"/>
  <c r="R90" i="7" a="1"/>
  <c r="R90" i="7" s="1"/>
  <c r="R82" i="7" a="1"/>
  <c r="R82" i="7" s="1"/>
  <c r="R74" i="7" a="1"/>
  <c r="R74" i="7" s="1"/>
  <c r="R66" i="7" a="1"/>
  <c r="R66" i="7" s="1"/>
  <c r="R58" i="7" a="1"/>
  <c r="R58" i="7" s="1"/>
  <c r="R50" i="7" a="1"/>
  <c r="R50" i="7" s="1"/>
  <c r="R42" i="7" a="1"/>
  <c r="R42" i="7" s="1"/>
  <c r="R34" i="7" a="1"/>
  <c r="R34" i="7" s="1"/>
  <c r="R26" i="7" a="1"/>
  <c r="R26" i="7" s="1"/>
  <c r="R18" i="7" a="1"/>
  <c r="R18" i="7" s="1"/>
  <c r="R10" i="7" a="1"/>
  <c r="R10" i="7" s="1"/>
  <c r="S8" i="7"/>
  <c r="P4" i="7" a="1"/>
  <c r="P4" i="7" s="1"/>
  <c r="S9" i="7"/>
  <c r="Q121" i="7" s="1"/>
  <c r="P120" i="7" a="1"/>
  <c r="P120" i="7" s="1"/>
  <c r="P118" i="7" a="1"/>
  <c r="P118" i="7" s="1"/>
  <c r="P116" i="7" a="1"/>
  <c r="P116" i="7" s="1"/>
  <c r="P114" i="7" a="1"/>
  <c r="P114" i="7" s="1"/>
  <c r="P112" i="7" a="1"/>
  <c r="P112" i="7" s="1"/>
  <c r="P109" i="7" a="1"/>
  <c r="P109" i="7" s="1"/>
  <c r="P119" i="5" a="1"/>
  <c r="P119" i="5" s="1"/>
  <c r="P123" i="5" a="1"/>
  <c r="P123" i="5" s="1"/>
  <c r="P122" i="5" a="1"/>
  <c r="P122" i="5" s="1"/>
  <c r="P121" i="5" a="1"/>
  <c r="P121" i="5" s="1"/>
  <c r="P117" i="5" a="1"/>
  <c r="P117" i="5" s="1"/>
  <c r="P113" i="5" a="1"/>
  <c r="P113" i="5" s="1"/>
  <c r="P109" i="5" a="1"/>
  <c r="P109" i="5" s="1"/>
  <c r="P5" i="5" a="1"/>
  <c r="P5" i="5" s="1"/>
  <c r="P6" i="5" a="1"/>
  <c r="P6" i="5" s="1"/>
  <c r="P7" i="5" a="1"/>
  <c r="P7" i="5" s="1"/>
  <c r="P8" i="5" a="1"/>
  <c r="P8" i="5" s="1"/>
  <c r="P9" i="5" a="1"/>
  <c r="P9" i="5" s="1"/>
  <c r="P10" i="5" a="1"/>
  <c r="P10" i="5" s="1"/>
  <c r="P11" i="5" a="1"/>
  <c r="P11" i="5" s="1"/>
  <c r="P12" i="5" a="1"/>
  <c r="P12" i="5" s="1"/>
  <c r="P13" i="5" a="1"/>
  <c r="P13" i="5" s="1"/>
  <c r="P14" i="5" a="1"/>
  <c r="P14" i="5" s="1"/>
  <c r="P15" i="5" a="1"/>
  <c r="P15" i="5" s="1"/>
  <c r="P16" i="5" a="1"/>
  <c r="P16" i="5" s="1"/>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s="1"/>
  <c r="P33" i="5" a="1"/>
  <c r="P33" i="5" s="1"/>
  <c r="P34" i="5" a="1"/>
  <c r="P34" i="5" s="1"/>
  <c r="P35" i="5" a="1"/>
  <c r="P35" i="5" s="1"/>
  <c r="P36" i="5" a="1"/>
  <c r="P36" i="5" s="1"/>
  <c r="P37" i="5" a="1"/>
  <c r="P37" i="5" s="1"/>
  <c r="P38" i="5" a="1"/>
  <c r="P38" i="5" s="1"/>
  <c r="P39" i="5" a="1"/>
  <c r="P39" i="5" s="1"/>
  <c r="P40" i="5" a="1"/>
  <c r="P40" i="5" s="1"/>
  <c r="P41" i="5" a="1"/>
  <c r="P41" i="5" s="1"/>
  <c r="P42" i="5" a="1"/>
  <c r="P42" i="5" s="1"/>
  <c r="P43" i="5" a="1"/>
  <c r="P43" i="5" s="1"/>
  <c r="P44" i="5" a="1"/>
  <c r="P44" i="5" s="1"/>
  <c r="P45" i="5" a="1"/>
  <c r="P45" i="5" s="1"/>
  <c r="P46" i="5" a="1"/>
  <c r="P46" i="5" s="1"/>
  <c r="P47" i="5" a="1"/>
  <c r="P47" i="5" s="1"/>
  <c r="P48" i="5" a="1"/>
  <c r="P48" i="5" s="1"/>
  <c r="P49" i="5" a="1"/>
  <c r="P49" i="5" s="1"/>
  <c r="P50" i="5" a="1"/>
  <c r="P50" i="5" s="1"/>
  <c r="P51" i="5" a="1"/>
  <c r="P51" i="5" s="1"/>
  <c r="P52" i="5" a="1"/>
  <c r="P52" i="5" s="1"/>
  <c r="P53" i="5" a="1"/>
  <c r="P53" i="5" s="1"/>
  <c r="P54" i="5" a="1"/>
  <c r="P54" i="5" s="1"/>
  <c r="P55" i="5" a="1"/>
  <c r="P55" i="5" s="1"/>
  <c r="P56" i="5" a="1"/>
  <c r="P56" i="5" s="1"/>
  <c r="P57" i="5" a="1"/>
  <c r="P57" i="5" s="1"/>
  <c r="P58" i="5" a="1"/>
  <c r="P58" i="5" s="1"/>
  <c r="P59" i="5" a="1"/>
  <c r="P59" i="5" s="1"/>
  <c r="P60" i="5" a="1"/>
  <c r="P60" i="5" s="1"/>
  <c r="P61" i="5" a="1"/>
  <c r="P61" i="5" s="1"/>
  <c r="P62" i="5" a="1"/>
  <c r="P62" i="5" s="1"/>
  <c r="P63" i="5" a="1"/>
  <c r="P63" i="5" s="1"/>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70" i="3"/>
  <c r="B71" i="3"/>
  <c r="B72" i="3"/>
  <c r="O127" i="7" l="1" a="1"/>
  <c r="O127" i="7" s="1"/>
  <c r="Q4" i="7"/>
  <c r="O122" i="7" a="1"/>
  <c r="O122" i="7" s="1"/>
  <c r="O130" i="7" a="1"/>
  <c r="O130" i="7" s="1"/>
  <c r="O135" i="7" a="1"/>
  <c r="O135" i="7" s="1"/>
  <c r="O134" i="7" a="1"/>
  <c r="O134" i="7" s="1"/>
  <c r="O116" i="7" a="1"/>
  <c r="O116" i="7" s="1"/>
  <c r="O111" i="7" a="1"/>
  <c r="O111" i="7" s="1"/>
  <c r="O126" i="7" a="1"/>
  <c r="O126" i="7" s="1"/>
  <c r="O125" i="7" a="1"/>
  <c r="O125" i="7" s="1"/>
  <c r="Q114" i="7"/>
  <c r="O133" i="7" a="1"/>
  <c r="O133" i="7" s="1"/>
  <c r="O117" i="7" a="1"/>
  <c r="O117" i="7" s="1"/>
  <c r="O131" i="7" a="1"/>
  <c r="O131" i="7" s="1"/>
  <c r="Q115" i="7"/>
  <c r="Q125" i="7"/>
  <c r="O110" i="7" a="1"/>
  <c r="O110" i="7" s="1"/>
  <c r="Q116" i="7"/>
  <c r="Q122" i="7"/>
  <c r="Q126" i="7"/>
  <c r="Q130" i="7"/>
  <c r="Q134" i="7"/>
  <c r="Q109" i="7"/>
  <c r="O119" i="7" a="1"/>
  <c r="O119" i="7" s="1"/>
  <c r="Q119" i="7"/>
  <c r="Q110" i="7"/>
  <c r="Q118" i="7"/>
  <c r="O124" i="7" a="1"/>
  <c r="O124" i="7" s="1"/>
  <c r="O128" i="7" a="1"/>
  <c r="O128" i="7" s="1"/>
  <c r="O132" i="7" a="1"/>
  <c r="O132" i="7" s="1"/>
  <c r="O136" i="7" a="1"/>
  <c r="O136" i="7" s="1"/>
  <c r="Q111" i="7"/>
  <c r="O121" i="7" a="1"/>
  <c r="O121" i="7" s="1"/>
  <c r="O112" i="7" a="1"/>
  <c r="O112" i="7" s="1"/>
  <c r="O118" i="7" a="1"/>
  <c r="O118" i="7" s="1"/>
  <c r="O109" i="7" a="1"/>
  <c r="O109" i="7" s="1"/>
  <c r="O115" i="7" a="1"/>
  <c r="O115" i="7" s="1"/>
  <c r="O129" i="7" a="1"/>
  <c r="O129" i="7" s="1"/>
  <c r="Q117" i="7"/>
  <c r="Q135" i="7"/>
  <c r="Q127" i="7"/>
  <c r="Q129" i="7"/>
  <c r="Q131" i="7"/>
  <c r="Q43" i="7"/>
  <c r="Q112" i="7"/>
  <c r="Q120" i="7"/>
  <c r="Q124" i="7"/>
  <c r="Q128" i="7"/>
  <c r="Q132" i="7"/>
  <c r="Q136" i="7"/>
  <c r="Q113" i="7"/>
  <c r="O123" i="7" a="1"/>
  <c r="O123" i="7" s="1"/>
  <c r="O114" i="7" a="1"/>
  <c r="O114" i="7" s="1"/>
  <c r="Q123" i="7"/>
  <c r="O120" i="7" a="1"/>
  <c r="O120" i="7" s="1"/>
  <c r="Q133" i="7"/>
  <c r="O113" i="7" a="1"/>
  <c r="O113" i="7" s="1"/>
  <c r="O87" i="7" a="1"/>
  <c r="O87" i="7" s="1"/>
  <c r="Q96" i="7"/>
  <c r="Q103" i="7"/>
  <c r="Q101" i="7"/>
  <c r="Q27" i="7"/>
  <c r="Q13" i="7"/>
  <c r="Q12" i="7"/>
  <c r="Q30" i="7"/>
  <c r="Q61" i="7"/>
  <c r="Q76" i="7"/>
  <c r="Q45" i="7"/>
  <c r="Q102" i="7"/>
  <c r="Q54" i="7"/>
  <c r="Q39" i="7"/>
  <c r="Q8" i="7"/>
  <c r="Q80" i="7"/>
  <c r="Q5" i="7"/>
  <c r="Q28" i="7"/>
  <c r="Q46" i="7"/>
  <c r="Q52" i="7"/>
  <c r="O5" i="7" a="1"/>
  <c r="O5" i="7" s="1"/>
  <c r="Q19" i="7"/>
  <c r="Q14" i="7"/>
  <c r="Q38" i="7"/>
  <c r="Q73" i="7"/>
  <c r="Q84" i="7"/>
  <c r="Q58" i="7"/>
  <c r="Q66" i="7"/>
  <c r="Q70" i="7"/>
  <c r="Q83" i="7"/>
  <c r="Q64" i="7"/>
  <c r="Q21" i="7"/>
  <c r="Q22" i="7"/>
  <c r="Q44" i="7"/>
  <c r="Q77" i="7"/>
  <c r="Q72" i="7"/>
  <c r="Q94" i="7"/>
  <c r="Q82" i="7"/>
  <c r="Q97" i="7"/>
  <c r="Q31" i="7"/>
  <c r="O82" i="7" a="1"/>
  <c r="O82" i="7" s="1"/>
  <c r="O26" i="7" a="1"/>
  <c r="O26" i="7" s="1"/>
  <c r="O64" i="7" a="1"/>
  <c r="O64" i="7" s="1"/>
  <c r="O30" i="7" a="1"/>
  <c r="O30" i="7" s="1"/>
  <c r="O81" i="7" a="1"/>
  <c r="O81" i="7" s="1"/>
  <c r="O90" i="7" a="1"/>
  <c r="O90" i="7" s="1"/>
  <c r="Q11" i="7"/>
  <c r="Q29" i="7"/>
  <c r="Q20" i="7"/>
  <c r="Q36" i="7"/>
  <c r="Q57" i="7"/>
  <c r="Q89" i="7"/>
  <c r="Q56" i="7"/>
  <c r="O40" i="7" a="1"/>
  <c r="O40" i="7" s="1"/>
  <c r="O80" i="7" a="1"/>
  <c r="O80" i="7" s="1"/>
  <c r="Q104" i="7"/>
  <c r="Q99" i="7"/>
  <c r="O49" i="7" a="1"/>
  <c r="O49" i="7" s="1"/>
  <c r="Q86" i="7"/>
  <c r="O68" i="7" a="1"/>
  <c r="O68" i="7" s="1"/>
  <c r="Q79" i="7"/>
  <c r="Q75" i="7"/>
  <c r="O20" i="7" a="1"/>
  <c r="O20" i="7" s="1"/>
  <c r="O47" i="7" a="1"/>
  <c r="O47" i="7" s="1"/>
  <c r="O99" i="7" a="1"/>
  <c r="O99" i="7" s="1"/>
  <c r="O9" i="7" a="1"/>
  <c r="O9" i="7" s="1"/>
  <c r="O25" i="7" a="1"/>
  <c r="O25" i="7" s="1"/>
  <c r="O100" i="7" a="1"/>
  <c r="O100" i="7" s="1"/>
  <c r="O85" i="7" a="1"/>
  <c r="O85" i="7" s="1"/>
  <c r="O52" i="7" a="1"/>
  <c r="O52" i="7" s="1"/>
  <c r="O66" i="7" a="1"/>
  <c r="O66" i="7" s="1"/>
  <c r="O67" i="7" a="1"/>
  <c r="O67" i="7" s="1"/>
  <c r="O71" i="7" a="1"/>
  <c r="O71" i="7" s="1"/>
  <c r="O14" i="7" a="1"/>
  <c r="O14" i="7" s="1"/>
  <c r="O12" i="7" a="1"/>
  <c r="O12" i="7" s="1"/>
  <c r="O19" i="7" a="1"/>
  <c r="O19" i="7" s="1"/>
  <c r="O65" i="7" a="1"/>
  <c r="O65" i="7" s="1"/>
  <c r="O24" i="7" a="1"/>
  <c r="O24" i="7" s="1"/>
  <c r="O34" i="7" a="1"/>
  <c r="O34" i="7" s="1"/>
  <c r="O106" i="7" a="1"/>
  <c r="O106" i="7" s="1"/>
  <c r="O97" i="7" a="1"/>
  <c r="O97" i="7" s="1"/>
  <c r="O63" i="7" a="1"/>
  <c r="O63" i="7" s="1"/>
  <c r="O48" i="7" a="1"/>
  <c r="O48" i="7" s="1"/>
  <c r="O69" i="7" a="1"/>
  <c r="O69" i="7" s="1"/>
  <c r="Q90" i="7"/>
  <c r="Q98" i="7"/>
  <c r="Q106" i="7"/>
  <c r="Q50" i="7"/>
  <c r="Q91" i="7"/>
  <c r="Q105" i="7"/>
  <c r="Q62" i="7"/>
  <c r="O33" i="7" a="1"/>
  <c r="O33" i="7" s="1"/>
  <c r="Q55" i="7"/>
  <c r="Q71" i="7"/>
  <c r="Q87" i="7"/>
  <c r="O61" i="7" a="1"/>
  <c r="O61" i="7" s="1"/>
  <c r="Q107" i="7"/>
  <c r="Q78" i="7"/>
  <c r="O86" i="7" a="1"/>
  <c r="O86" i="7" s="1"/>
  <c r="O98" i="7" a="1"/>
  <c r="O98" i="7" s="1"/>
  <c r="O58" i="7" a="1"/>
  <c r="O58" i="7" s="1"/>
  <c r="O59" i="7" a="1"/>
  <c r="O59" i="7" s="1"/>
  <c r="Q63" i="7"/>
  <c r="Q67" i="7"/>
  <c r="Q41" i="7"/>
  <c r="Q35" i="7"/>
  <c r="O7" i="7" a="1"/>
  <c r="O7" i="7" s="1"/>
  <c r="Q88" i="7"/>
  <c r="Q15" i="7"/>
  <c r="Q23" i="7"/>
  <c r="Q9" i="7"/>
  <c r="Q16" i="7"/>
  <c r="Q24" i="7"/>
  <c r="Q32" i="7"/>
  <c r="Q40" i="7"/>
  <c r="Q49" i="7"/>
  <c r="Q65" i="7"/>
  <c r="Q81" i="7"/>
  <c r="Q60" i="7"/>
  <c r="O29" i="7" a="1"/>
  <c r="O29" i="7" s="1"/>
  <c r="Q6" i="7"/>
  <c r="Q7" i="7"/>
  <c r="Q17" i="7"/>
  <c r="Q25" i="7"/>
  <c r="Q10" i="7"/>
  <c r="Q18" i="7"/>
  <c r="Q26" i="7"/>
  <c r="Q34" i="7"/>
  <c r="Q42" i="7"/>
  <c r="Q53" i="7"/>
  <c r="Q69" i="7"/>
  <c r="Q85" i="7"/>
  <c r="Q68" i="7"/>
  <c r="Q48" i="7"/>
  <c r="O10" i="7" a="1"/>
  <c r="O10" i="7" s="1"/>
  <c r="Q37" i="7"/>
  <c r="O53" i="7" a="1"/>
  <c r="O53" i="7" s="1"/>
  <c r="Q74" i="7"/>
  <c r="Q92" i="7"/>
  <c r="Q100" i="7"/>
  <c r="Q108" i="7"/>
  <c r="O56" i="7" a="1"/>
  <c r="O56" i="7" s="1"/>
  <c r="Q95" i="7"/>
  <c r="O21" i="7" a="1"/>
  <c r="O21" i="7" s="1"/>
  <c r="O15" i="7" a="1"/>
  <c r="O15" i="7" s="1"/>
  <c r="O46" i="7" a="1"/>
  <c r="O46" i="7" s="1"/>
  <c r="O60" i="7" a="1"/>
  <c r="O60" i="7" s="1"/>
  <c r="O76" i="7" a="1"/>
  <c r="O76" i="7" s="1"/>
  <c r="O16" i="7" a="1"/>
  <c r="O16" i="7" s="1"/>
  <c r="Q93" i="7"/>
  <c r="O28" i="7" a="1"/>
  <c r="O28" i="7" s="1"/>
  <c r="O105" i="7" a="1"/>
  <c r="O105" i="7" s="1"/>
  <c r="O108" i="7" a="1"/>
  <c r="O108" i="7" s="1"/>
  <c r="O92" i="7" a="1"/>
  <c r="O92" i="7" s="1"/>
  <c r="O101" i="7" a="1"/>
  <c r="O101" i="7" s="1"/>
  <c r="Q47" i="7"/>
  <c r="Q51" i="7"/>
  <c r="Q33" i="7"/>
  <c r="Q59" i="7"/>
  <c r="O51" i="7" a="1"/>
  <c r="O51" i="7" s="1"/>
  <c r="O6" i="7" a="1"/>
  <c r="O6" i="7" s="1"/>
  <c r="O18" i="7" a="1"/>
  <c r="O18" i="7" s="1"/>
  <c r="O32" i="7" a="1"/>
  <c r="O32" i="7" s="1"/>
  <c r="O43" i="7" a="1"/>
  <c r="O43" i="7" s="1"/>
  <c r="O36" i="7" a="1"/>
  <c r="O36" i="7" s="1"/>
  <c r="O13" i="7" a="1"/>
  <c r="O13" i="7" s="1"/>
  <c r="O37" i="7" a="1"/>
  <c r="O37" i="7" s="1"/>
  <c r="O73" i="7" a="1"/>
  <c r="O73" i="7" s="1"/>
  <c r="O23" i="7" a="1"/>
  <c r="O23" i="7" s="1"/>
  <c r="O38" i="7" a="1"/>
  <c r="O38" i="7" s="1"/>
  <c r="O31" i="7" a="1"/>
  <c r="O31" i="7" s="1"/>
  <c r="O77" i="7" a="1"/>
  <c r="O77" i="7" s="1"/>
  <c r="O45" i="7" a="1"/>
  <c r="O45" i="7" s="1"/>
  <c r="O84" i="7" a="1"/>
  <c r="O84" i="7" s="1"/>
  <c r="O95" i="7" a="1"/>
  <c r="O95" i="7" s="1"/>
  <c r="O70" i="7" a="1"/>
  <c r="O70" i="7" s="1"/>
  <c r="O104" i="7" a="1"/>
  <c r="O104" i="7" s="1"/>
  <c r="O96" i="7" a="1"/>
  <c r="O96" i="7" s="1"/>
  <c r="O83" i="7" a="1"/>
  <c r="O83" i="7" s="1"/>
  <c r="O107" i="7" a="1"/>
  <c r="O107" i="7" s="1"/>
  <c r="O93" i="7" a="1"/>
  <c r="O93" i="7" s="1"/>
  <c r="O50" i="7" a="1"/>
  <c r="O50" i="7" s="1"/>
  <c r="O8" i="7" a="1"/>
  <c r="O8" i="7" s="1"/>
  <c r="O55" i="7" a="1"/>
  <c r="O55" i="7" s="1"/>
  <c r="O22" i="7" a="1"/>
  <c r="O22" i="7" s="1"/>
  <c r="O35" i="7" a="1"/>
  <c r="O35" i="7" s="1"/>
  <c r="O62" i="7" a="1"/>
  <c r="O62" i="7" s="1"/>
  <c r="O78" i="7" a="1"/>
  <c r="O78" i="7" s="1"/>
  <c r="O44" i="7" a="1"/>
  <c r="O44" i="7" s="1"/>
  <c r="O72" i="7" a="1"/>
  <c r="O72" i="7" s="1"/>
  <c r="O17" i="7" a="1"/>
  <c r="O17" i="7" s="1"/>
  <c r="O42" i="7" a="1"/>
  <c r="O42" i="7" s="1"/>
  <c r="O11" i="7" a="1"/>
  <c r="O11" i="7" s="1"/>
  <c r="O27" i="7" a="1"/>
  <c r="O27" i="7" s="1"/>
  <c r="O41" i="7" a="1"/>
  <c r="O41" i="7" s="1"/>
  <c r="O39" i="7" a="1"/>
  <c r="O39" i="7" s="1"/>
  <c r="O88" i="7" a="1"/>
  <c r="O88" i="7" s="1"/>
  <c r="O57" i="7" a="1"/>
  <c r="O57" i="7" s="1"/>
  <c r="O89" i="7" a="1"/>
  <c r="O89" i="7" s="1"/>
  <c r="O75" i="7" a="1"/>
  <c r="O75" i="7" s="1"/>
  <c r="O54" i="7" a="1"/>
  <c r="O54" i="7" s="1"/>
  <c r="O102" i="7" a="1"/>
  <c r="O102" i="7" s="1"/>
  <c r="O94" i="7" a="1"/>
  <c r="O94" i="7" s="1"/>
  <c r="O74" i="7" a="1"/>
  <c r="O74" i="7" s="1"/>
  <c r="O103" i="7" a="1"/>
  <c r="O103" i="7" s="1"/>
  <c r="O91" i="7" a="1"/>
  <c r="O91" i="7" s="1"/>
  <c r="O79" i="7" a="1"/>
  <c r="O79" i="7" s="1"/>
  <c r="O4" i="7" a="1"/>
  <c r="O4" i="7" s="1"/>
  <c r="S11" i="5"/>
  <c r="S12" i="5"/>
  <c r="S13" i="5"/>
  <c r="P4" i="5" a="1"/>
  <c r="P4" i="5" s="1"/>
  <c r="R10" i="9"/>
  <c r="R11" i="9"/>
  <c r="P55" i="9" s="1" a="1"/>
  <c r="P55" i="9" s="1"/>
  <c r="R9" i="9"/>
  <c r="Q10" i="8"/>
  <c r="P20" i="8" s="1"/>
  <c r="Q9" i="8"/>
  <c r="Q8" i="8"/>
  <c r="Q12" i="6"/>
  <c r="Q11" i="6"/>
  <c r="Q10" i="6"/>
  <c r="O120" i="5" l="1"/>
  <c r="O8" i="5"/>
  <c r="O20" i="5"/>
  <c r="O28" i="5"/>
  <c r="O36" i="5"/>
  <c r="O44" i="5"/>
  <c r="O52" i="5"/>
  <c r="O60" i="5"/>
  <c r="O68" i="5"/>
  <c r="O76" i="5"/>
  <c r="O80" i="5"/>
  <c r="O88" i="5"/>
  <c r="O96" i="5"/>
  <c r="O104" i="5"/>
  <c r="O112" i="5"/>
  <c r="O124" i="5"/>
  <c r="O132" i="5"/>
  <c r="O4" i="5"/>
  <c r="O12" i="5"/>
  <c r="O16" i="5"/>
  <c r="O24" i="5"/>
  <c r="O32" i="5"/>
  <c r="O40" i="5"/>
  <c r="O48" i="5"/>
  <c r="O56" i="5"/>
  <c r="O64" i="5"/>
  <c r="O72" i="5"/>
  <c r="O84" i="5"/>
  <c r="O92" i="5"/>
  <c r="O100" i="5"/>
  <c r="O108" i="5"/>
  <c r="O116" i="5"/>
  <c r="O128" i="5"/>
  <c r="O136" i="5"/>
  <c r="O129" i="5"/>
  <c r="O61" i="5"/>
  <c r="O25" i="5"/>
  <c r="O131" i="5"/>
  <c r="O63" i="5"/>
  <c r="O47" i="5"/>
  <c r="O31" i="5"/>
  <c r="O15" i="5"/>
  <c r="O125" i="5"/>
  <c r="O57" i="5"/>
  <c r="O21" i="5"/>
  <c r="O122" i="5"/>
  <c r="O50" i="5"/>
  <c r="O34" i="5"/>
  <c r="O18" i="5"/>
  <c r="O41" i="5"/>
  <c r="O103" i="5"/>
  <c r="O87" i="5"/>
  <c r="O71" i="5"/>
  <c r="O118" i="5"/>
  <c r="O102" i="5"/>
  <c r="O86" i="5"/>
  <c r="O70" i="5"/>
  <c r="O97" i="5"/>
  <c r="O77" i="5"/>
  <c r="O33" i="5"/>
  <c r="O119" i="5"/>
  <c r="O35" i="5"/>
  <c r="O133" i="5"/>
  <c r="O29" i="5"/>
  <c r="O54" i="5"/>
  <c r="O22" i="5"/>
  <c r="O107" i="5"/>
  <c r="O75" i="5"/>
  <c r="O90" i="5"/>
  <c r="O101" i="5"/>
  <c r="O117" i="5"/>
  <c r="O53" i="5"/>
  <c r="O17" i="5"/>
  <c r="O127" i="5"/>
  <c r="O59" i="5"/>
  <c r="O43" i="5"/>
  <c r="O27" i="5"/>
  <c r="O11" i="5"/>
  <c r="O121" i="5"/>
  <c r="O49" i="5"/>
  <c r="O13" i="5"/>
  <c r="O62" i="5"/>
  <c r="O46" i="5"/>
  <c r="O30" i="5"/>
  <c r="O14" i="5"/>
  <c r="O115" i="5"/>
  <c r="O99" i="5"/>
  <c r="O83" i="5"/>
  <c r="O67" i="5"/>
  <c r="O114" i="5"/>
  <c r="O98" i="5"/>
  <c r="O82" i="5"/>
  <c r="O66" i="5"/>
  <c r="O93" i="5"/>
  <c r="O69" i="5"/>
  <c r="O135" i="5"/>
  <c r="O106" i="5"/>
  <c r="O109" i="5"/>
  <c r="O45" i="5"/>
  <c r="O9" i="5"/>
  <c r="O123" i="5"/>
  <c r="O55" i="5"/>
  <c r="O39" i="5"/>
  <c r="O23" i="5"/>
  <c r="O7" i="5"/>
  <c r="O113" i="5"/>
  <c r="O37" i="5"/>
  <c r="O5" i="5"/>
  <c r="O58" i="5"/>
  <c r="O42" i="5"/>
  <c r="O26" i="5"/>
  <c r="O10" i="5"/>
  <c r="O111" i="5"/>
  <c r="O95" i="5"/>
  <c r="O79" i="5"/>
  <c r="O134" i="5"/>
  <c r="O110" i="5"/>
  <c r="O94" i="5"/>
  <c r="O78" i="5"/>
  <c r="O105" i="5"/>
  <c r="O85" i="5"/>
  <c r="O65" i="5"/>
  <c r="O89" i="5"/>
  <c r="O51" i="5"/>
  <c r="O19" i="5"/>
  <c r="O73" i="5"/>
  <c r="O126" i="5"/>
  <c r="O38" i="5"/>
  <c r="O6" i="5"/>
  <c r="O91" i="5"/>
  <c r="O130" i="5"/>
  <c r="O74" i="5"/>
  <c r="O81" i="5"/>
  <c r="P61" i="8"/>
  <c r="P54" i="8"/>
  <c r="P9" i="8"/>
  <c r="P19" i="8"/>
  <c r="P33" i="8"/>
  <c r="P27" i="8"/>
  <c r="P34" i="8"/>
  <c r="P47" i="8"/>
  <c r="O35" i="8" a="1"/>
  <c r="O35" i="8" s="1"/>
  <c r="P41" i="8"/>
  <c r="P62" i="8"/>
  <c r="O21" i="8" a="1"/>
  <c r="O21" i="8" s="1"/>
  <c r="O59" i="8" a="1"/>
  <c r="O59" i="8" s="1"/>
  <c r="P21" i="8"/>
  <c r="O53" i="8" a="1"/>
  <c r="O53" i="8" s="1"/>
  <c r="P42" i="8"/>
  <c r="P7" i="8"/>
  <c r="P35" i="8"/>
  <c r="P59" i="8"/>
  <c r="P28" i="8"/>
  <c r="P29" i="8"/>
  <c r="P53" i="8"/>
  <c r="O54" i="8" a="1"/>
  <c r="O54" i="8" s="1"/>
  <c r="P15" i="8"/>
  <c r="P39" i="8"/>
  <c r="O69" i="8" a="1"/>
  <c r="O69" i="8" s="1"/>
  <c r="O77" i="8" a="1"/>
  <c r="O77" i="8" s="1"/>
  <c r="O82" i="8" a="1"/>
  <c r="O82" i="8" s="1"/>
  <c r="O90" i="8" a="1"/>
  <c r="O90" i="8" s="1"/>
  <c r="O101" i="8" a="1"/>
  <c r="O101" i="8" s="1"/>
  <c r="O66" i="8" a="1"/>
  <c r="O66" i="8" s="1"/>
  <c r="O74" i="8" a="1"/>
  <c r="O74" i="8" s="1"/>
  <c r="O85" i="8" a="1"/>
  <c r="O85" i="8" s="1"/>
  <c r="O93" i="8" a="1"/>
  <c r="O93" i="8" s="1"/>
  <c r="O98" i="8" a="1"/>
  <c r="O98" i="8" s="1"/>
  <c r="O106" i="8" a="1"/>
  <c r="O106" i="8" s="1"/>
  <c r="O107" i="8" a="1"/>
  <c r="O107" i="8" s="1"/>
  <c r="O91" i="8" a="1"/>
  <c r="O91" i="8" s="1"/>
  <c r="O75" i="8" a="1"/>
  <c r="O75" i="8" s="1"/>
  <c r="O94" i="8" a="1"/>
  <c r="O94" i="8" s="1"/>
  <c r="O105" i="8" a="1"/>
  <c r="O105" i="8" s="1"/>
  <c r="O73" i="8" a="1"/>
  <c r="O73" i="8" s="1"/>
  <c r="O100" i="8" a="1"/>
  <c r="O100" i="8" s="1"/>
  <c r="O84" i="8" a="1"/>
  <c r="O84" i="8" s="1"/>
  <c r="O68" i="8" a="1"/>
  <c r="O68" i="8" s="1"/>
  <c r="O103" i="8" a="1"/>
  <c r="O103" i="8" s="1"/>
  <c r="O87" i="8" a="1"/>
  <c r="O87" i="8" s="1"/>
  <c r="O71" i="8" a="1"/>
  <c r="O71" i="8" s="1"/>
  <c r="O86" i="8" a="1"/>
  <c r="O86" i="8" s="1"/>
  <c r="O97" i="8" a="1"/>
  <c r="O97" i="8" s="1"/>
  <c r="O65" i="8" a="1"/>
  <c r="O65" i="8" s="1"/>
  <c r="O96" i="8" a="1"/>
  <c r="O96" i="8" s="1"/>
  <c r="O80" i="8" a="1"/>
  <c r="O80" i="8" s="1"/>
  <c r="O64" i="8" a="1"/>
  <c r="O64" i="8" s="1"/>
  <c r="O99" i="8" a="1"/>
  <c r="O99" i="8" s="1"/>
  <c r="O83" i="8" a="1"/>
  <c r="O83" i="8" s="1"/>
  <c r="O67" i="8" a="1"/>
  <c r="O67" i="8" s="1"/>
  <c r="O78" i="8" a="1"/>
  <c r="O78" i="8" s="1"/>
  <c r="O89" i="8" a="1"/>
  <c r="O89" i="8" s="1"/>
  <c r="O108" i="8" a="1"/>
  <c r="O108" i="8" s="1"/>
  <c r="O92" i="8" a="1"/>
  <c r="O92" i="8" s="1"/>
  <c r="O76" i="8" a="1"/>
  <c r="O76" i="8" s="1"/>
  <c r="O95" i="8" a="1"/>
  <c r="O95" i="8" s="1"/>
  <c r="O79" i="8" a="1"/>
  <c r="O79" i="8" s="1"/>
  <c r="O102" i="8" a="1"/>
  <c r="O102" i="8" s="1"/>
  <c r="O70" i="8" a="1"/>
  <c r="O70" i="8" s="1"/>
  <c r="O81" i="8" a="1"/>
  <c r="O81" i="8" s="1"/>
  <c r="O104" i="8" a="1"/>
  <c r="O104" i="8" s="1"/>
  <c r="O88" i="8" a="1"/>
  <c r="O88" i="8" s="1"/>
  <c r="O72" i="8" a="1"/>
  <c r="O72" i="8" s="1"/>
  <c r="P8" i="8"/>
  <c r="O112" i="6" a="1"/>
  <c r="O112" i="6" s="1"/>
  <c r="O116" i="6" a="1"/>
  <c r="O116" i="6" s="1"/>
  <c r="O134" i="6" a="1"/>
  <c r="O134" i="6" s="1"/>
  <c r="O136" i="6" a="1"/>
  <c r="O136" i="6" s="1"/>
  <c r="O120" i="6" a="1"/>
  <c r="O120" i="6" s="1"/>
  <c r="O115" i="6" a="1"/>
  <c r="O115" i="6" s="1"/>
  <c r="O109" i="6" a="1"/>
  <c r="O109" i="6" s="1"/>
  <c r="O124" i="6" a="1"/>
  <c r="O124" i="6" s="1"/>
  <c r="O133" i="6" a="1"/>
  <c r="O133" i="6" s="1"/>
  <c r="O135" i="6" a="1"/>
  <c r="O135" i="6" s="1"/>
  <c r="O130" i="6" a="1"/>
  <c r="O130" i="6" s="1"/>
  <c r="O132" i="6" a="1"/>
  <c r="O132" i="6" s="1"/>
  <c r="O122" i="6" a="1"/>
  <c r="O122" i="6" s="1"/>
  <c r="O119" i="6" a="1"/>
  <c r="O119" i="6" s="1"/>
  <c r="O129" i="6" a="1"/>
  <c r="O129" i="6" s="1"/>
  <c r="O121" i="6" a="1"/>
  <c r="O121" i="6" s="1"/>
  <c r="O113" i="6" a="1"/>
  <c r="O113" i="6" s="1"/>
  <c r="O131" i="6" a="1"/>
  <c r="O131" i="6" s="1"/>
  <c r="O114" i="6" a="1"/>
  <c r="O114" i="6" s="1"/>
  <c r="O117" i="6" a="1"/>
  <c r="O117" i="6" s="1"/>
  <c r="O126" i="6" a="1"/>
  <c r="O126" i="6" s="1"/>
  <c r="O128" i="6" a="1"/>
  <c r="O128" i="6" s="1"/>
  <c r="O110" i="6" a="1"/>
  <c r="O110" i="6" s="1"/>
  <c r="O118" i="6" a="1"/>
  <c r="O118" i="6" s="1"/>
  <c r="O111" i="6" a="1"/>
  <c r="O111" i="6" s="1"/>
  <c r="O123" i="6" a="1"/>
  <c r="O123" i="6" s="1"/>
  <c r="O125" i="6" a="1"/>
  <c r="O125" i="6" s="1"/>
  <c r="O127" i="6" a="1"/>
  <c r="O127" i="6" s="1"/>
  <c r="P116" i="6" a="1"/>
  <c r="P116" i="6" s="1"/>
  <c r="P124" i="6" a="1"/>
  <c r="P124" i="6" s="1"/>
  <c r="P128" i="6" a="1"/>
  <c r="P128" i="6" s="1"/>
  <c r="P130" i="6" a="1"/>
  <c r="P130" i="6" s="1"/>
  <c r="P134" i="6" a="1"/>
  <c r="P134" i="6" s="1"/>
  <c r="P111" i="6" a="1"/>
  <c r="P111" i="6" s="1"/>
  <c r="P110" i="6" a="1"/>
  <c r="P110" i="6" s="1"/>
  <c r="P120" i="6" a="1"/>
  <c r="P120" i="6" s="1"/>
  <c r="P132" i="6" a="1"/>
  <c r="P132" i="6" s="1"/>
  <c r="P136" i="6" a="1"/>
  <c r="P136" i="6" s="1"/>
  <c r="P114" i="6" a="1"/>
  <c r="P114" i="6" s="1"/>
  <c r="P118" i="6" a="1"/>
  <c r="P118" i="6" s="1"/>
  <c r="P126" i="6" a="1"/>
  <c r="P126" i="6" s="1"/>
  <c r="P131" i="6" a="1"/>
  <c r="P131" i="6" s="1"/>
  <c r="P123" i="6" a="1"/>
  <c r="P123" i="6" s="1"/>
  <c r="P115" i="6" a="1"/>
  <c r="P115" i="6" s="1"/>
  <c r="P133" i="6" a="1"/>
  <c r="P133" i="6" s="1"/>
  <c r="P125" i="6" a="1"/>
  <c r="P125" i="6" s="1"/>
  <c r="P109" i="6" a="1"/>
  <c r="P109" i="6" s="1"/>
  <c r="P113" i="6" a="1"/>
  <c r="P113" i="6" s="1"/>
  <c r="P112" i="6" a="1"/>
  <c r="P112" i="6" s="1"/>
  <c r="P121" i="6" a="1"/>
  <c r="P121" i="6" s="1"/>
  <c r="P122" i="6" a="1"/>
  <c r="P122" i="6" s="1"/>
  <c r="P135" i="6" a="1"/>
  <c r="P135" i="6" s="1"/>
  <c r="P127" i="6" a="1"/>
  <c r="P127" i="6" s="1"/>
  <c r="P119" i="6" a="1"/>
  <c r="P119" i="6" s="1"/>
  <c r="P129" i="6" a="1"/>
  <c r="P129" i="6" s="1"/>
  <c r="P117" i="6" a="1"/>
  <c r="P117" i="6" s="1"/>
  <c r="Q113" i="5"/>
  <c r="Q110" i="5"/>
  <c r="Q111" i="5"/>
  <c r="Q114" i="5"/>
  <c r="Q115" i="5"/>
  <c r="Q118" i="5"/>
  <c r="Q135" i="5"/>
  <c r="Q112" i="5"/>
  <c r="Q119" i="5"/>
  <c r="Q129" i="5"/>
  <c r="Q130" i="5"/>
  <c r="Q131" i="5"/>
  <c r="Q134" i="5"/>
  <c r="Q122" i="5"/>
  <c r="Q123" i="5"/>
  <c r="Q125" i="5"/>
  <c r="Q116" i="5"/>
  <c r="Q136" i="5"/>
  <c r="Q128" i="5"/>
  <c r="Q120" i="5"/>
  <c r="Q133" i="5"/>
  <c r="Q127" i="5"/>
  <c r="Q121" i="5"/>
  <c r="Q126" i="5"/>
  <c r="Q132" i="5"/>
  <c r="Q124" i="5"/>
  <c r="Q109" i="5"/>
  <c r="Q117" i="5"/>
  <c r="Q9" i="5"/>
  <c r="Q19" i="5"/>
  <c r="Q27" i="5"/>
  <c r="Q39" i="5"/>
  <c r="Q53" i="5"/>
  <c r="Q24" i="5"/>
  <c r="Q46" i="5"/>
  <c r="Q61" i="5"/>
  <c r="Q25" i="5"/>
  <c r="Q35" i="5"/>
  <c r="Q49" i="5"/>
  <c r="Q63" i="5"/>
  <c r="Q34" i="5"/>
  <c r="Q37" i="5"/>
  <c r="Q21" i="5"/>
  <c r="Q29" i="5"/>
  <c r="Q43" i="5"/>
  <c r="Q55" i="5"/>
  <c r="Q4" i="5"/>
  <c r="Q58" i="5"/>
  <c r="Q23" i="5"/>
  <c r="Q31" i="5"/>
  <c r="Q45" i="5"/>
  <c r="Q59" i="5"/>
  <c r="Q22" i="5"/>
  <c r="O14" i="8" a="1"/>
  <c r="O14" i="8" s="1"/>
  <c r="O13" i="8" a="1"/>
  <c r="O13" i="8" s="1"/>
  <c r="O45" i="8" a="1"/>
  <c r="O45" i="8" s="1"/>
  <c r="O46" i="8" a="1"/>
  <c r="O46" i="8" s="1"/>
  <c r="O27" i="8" a="1"/>
  <c r="O27" i="8" s="1"/>
  <c r="O51" i="8" a="1"/>
  <c r="O51" i="8" s="1"/>
  <c r="O36" i="8" a="1"/>
  <c r="O36" i="8" s="1"/>
  <c r="O22" i="8" a="1"/>
  <c r="O22" i="8" s="1"/>
  <c r="O5" i="8" a="1"/>
  <c r="O5" i="8" s="1"/>
  <c r="P13" i="8"/>
  <c r="P25" i="8"/>
  <c r="O37" i="8" a="1"/>
  <c r="O37" i="8" s="1"/>
  <c r="P45" i="8"/>
  <c r="P57" i="8"/>
  <c r="O38" i="8" a="1"/>
  <c r="O38" i="8" s="1"/>
  <c r="P46" i="8"/>
  <c r="P58" i="8"/>
  <c r="P11" i="8"/>
  <c r="O19" i="8" a="1"/>
  <c r="O19" i="8" s="1"/>
  <c r="P31" i="8"/>
  <c r="O43" i="8" a="1"/>
  <c r="O43" i="8" s="1"/>
  <c r="P51" i="8"/>
  <c r="P63" i="8"/>
  <c r="P4" i="8"/>
  <c r="P48" i="8"/>
  <c r="O30" i="8" a="1"/>
  <c r="O30" i="8" s="1"/>
  <c r="P5" i="8"/>
  <c r="P17" i="8"/>
  <c r="O29" i="8" a="1"/>
  <c r="O29" i="8" s="1"/>
  <c r="P37" i="8"/>
  <c r="P49" i="8"/>
  <c r="O61" i="8" a="1"/>
  <c r="O61" i="8" s="1"/>
  <c r="P38" i="8"/>
  <c r="P50" i="8"/>
  <c r="O62" i="8" a="1"/>
  <c r="O62" i="8" s="1"/>
  <c r="O11" i="8" a="1"/>
  <c r="O11" i="8" s="1"/>
  <c r="P23" i="8"/>
  <c r="P43" i="8"/>
  <c r="P55" i="8"/>
  <c r="O20" i="8" a="1"/>
  <c r="O20" i="8" s="1"/>
  <c r="P16" i="8"/>
  <c r="O6" i="8" a="1"/>
  <c r="O6" i="8" s="1"/>
  <c r="P40" i="8"/>
  <c r="P20" i="9" a="1"/>
  <c r="P20" i="9" s="1"/>
  <c r="P25" i="9" a="1"/>
  <c r="P25" i="9" s="1"/>
  <c r="P30" i="9" a="1"/>
  <c r="P30" i="9" s="1"/>
  <c r="P35" i="9" a="1"/>
  <c r="P35" i="9" s="1"/>
  <c r="P24" i="9" a="1"/>
  <c r="P24" i="9" s="1"/>
  <c r="P56" i="9" a="1"/>
  <c r="P56" i="9" s="1"/>
  <c r="P29" i="9" a="1"/>
  <c r="P29" i="9" s="1"/>
  <c r="P61" i="9" a="1"/>
  <c r="P61" i="9" s="1"/>
  <c r="P34" i="9" a="1"/>
  <c r="P34" i="9" s="1"/>
  <c r="P7" i="9" a="1"/>
  <c r="P7" i="9" s="1"/>
  <c r="P39" i="9" a="1"/>
  <c r="P39" i="9" s="1"/>
  <c r="P4" i="9" a="1"/>
  <c r="P4" i="9" s="1"/>
  <c r="P36" i="9" a="1"/>
  <c r="P36" i="9" s="1"/>
  <c r="P9" i="9" a="1"/>
  <c r="P9" i="9" s="1"/>
  <c r="P41" i="9" a="1"/>
  <c r="P41" i="9" s="1"/>
  <c r="P14" i="9" a="1"/>
  <c r="P14" i="9" s="1"/>
  <c r="P46" i="9" a="1"/>
  <c r="P46" i="9" s="1"/>
  <c r="P19" i="9" a="1"/>
  <c r="P19" i="9" s="1"/>
  <c r="P51" i="9" a="1"/>
  <c r="P51" i="9" s="1"/>
  <c r="P52" i="9" a="1"/>
  <c r="P52" i="9" s="1"/>
  <c r="P57" i="9" a="1"/>
  <c r="P57" i="9" s="1"/>
  <c r="P62" i="9" a="1"/>
  <c r="P62" i="9" s="1"/>
  <c r="P8" i="9" a="1"/>
  <c r="P8" i="9" s="1"/>
  <c r="P40" i="9" a="1"/>
  <c r="P40" i="9" s="1"/>
  <c r="P13" i="9" a="1"/>
  <c r="P13" i="9" s="1"/>
  <c r="P45" i="9" a="1"/>
  <c r="P45" i="9" s="1"/>
  <c r="P18" i="9" a="1"/>
  <c r="P18" i="9" s="1"/>
  <c r="P50" i="9" a="1"/>
  <c r="P50" i="9" s="1"/>
  <c r="P23" i="9" a="1"/>
  <c r="P23" i="9" s="1"/>
  <c r="O68" i="9" a="1"/>
  <c r="O68" i="9" s="1"/>
  <c r="O84" i="9" a="1"/>
  <c r="O84" i="9" s="1"/>
  <c r="O100" i="9" a="1"/>
  <c r="O100" i="9" s="1"/>
  <c r="O76" i="9" a="1"/>
  <c r="O76" i="9" s="1"/>
  <c r="O92" i="9" a="1"/>
  <c r="O92" i="9" s="1"/>
  <c r="O108" i="9" a="1"/>
  <c r="O108" i="9" s="1"/>
  <c r="O73" i="9" a="1"/>
  <c r="O73" i="9" s="1"/>
  <c r="O78" i="9" a="1"/>
  <c r="O78" i="9" s="1"/>
  <c r="O89" i="9" a="1"/>
  <c r="O89" i="9" s="1"/>
  <c r="O94" i="9" a="1"/>
  <c r="O94" i="9" s="1"/>
  <c r="O105" i="9" a="1"/>
  <c r="O105" i="9" s="1"/>
  <c r="O65" i="9" a="1"/>
  <c r="O65" i="9" s="1"/>
  <c r="O81" i="9" a="1"/>
  <c r="O81" i="9" s="1"/>
  <c r="O97" i="9" a="1"/>
  <c r="O97" i="9" s="1"/>
  <c r="O71" i="9" a="1"/>
  <c r="O71" i="9" s="1"/>
  <c r="O90" i="9" a="1"/>
  <c r="O90" i="9" s="1"/>
  <c r="O74" i="9" a="1"/>
  <c r="O74" i="9" s="1"/>
  <c r="O70" i="9" a="1"/>
  <c r="O70" i="9" s="1"/>
  <c r="O80" i="9" a="1"/>
  <c r="O80" i="9" s="1"/>
  <c r="O93" i="9" a="1"/>
  <c r="O93" i="9" s="1"/>
  <c r="O95" i="9" a="1"/>
  <c r="O95" i="9" s="1"/>
  <c r="O102" i="9" a="1"/>
  <c r="O102" i="9" s="1"/>
  <c r="O99" i="9" a="1"/>
  <c r="O99" i="9" s="1"/>
  <c r="O83" i="9" a="1"/>
  <c r="O83" i="9" s="1"/>
  <c r="O67" i="9" a="1"/>
  <c r="O67" i="9" s="1"/>
  <c r="O106" i="9" a="1"/>
  <c r="O106" i="9" s="1"/>
  <c r="O104" i="9" a="1"/>
  <c r="O104" i="9" s="1"/>
  <c r="O72" i="9" a="1"/>
  <c r="O72" i="9" s="1"/>
  <c r="O85" i="9" a="1"/>
  <c r="O85" i="9" s="1"/>
  <c r="O103" i="9" a="1"/>
  <c r="O103" i="9" s="1"/>
  <c r="O98" i="9" a="1"/>
  <c r="O98" i="9" s="1"/>
  <c r="O82" i="9" a="1"/>
  <c r="O82" i="9" s="1"/>
  <c r="O66" i="9" a="1"/>
  <c r="O66" i="9" s="1"/>
  <c r="O96" i="9" a="1"/>
  <c r="O96" i="9" s="1"/>
  <c r="O64" i="9" a="1"/>
  <c r="O64" i="9" s="1"/>
  <c r="O77" i="9" a="1"/>
  <c r="O77" i="9" s="1"/>
  <c r="O79" i="9" a="1"/>
  <c r="O79" i="9" s="1"/>
  <c r="O107" i="9" a="1"/>
  <c r="O107" i="9" s="1"/>
  <c r="O91" i="9" a="1"/>
  <c r="O91" i="9" s="1"/>
  <c r="O75" i="9" a="1"/>
  <c r="O75" i="9" s="1"/>
  <c r="O87" i="9" a="1"/>
  <c r="O87" i="9" s="1"/>
  <c r="O86" i="9" a="1"/>
  <c r="O86" i="9" s="1"/>
  <c r="O88" i="9" a="1"/>
  <c r="O88" i="9" s="1"/>
  <c r="O101" i="9" a="1"/>
  <c r="O101" i="9" s="1"/>
  <c r="O69" i="9" a="1"/>
  <c r="O69" i="9" s="1"/>
  <c r="P65" i="9" a="1"/>
  <c r="P65" i="9" s="1"/>
  <c r="P68" i="9" a="1"/>
  <c r="P68" i="9" s="1"/>
  <c r="P73" i="9" a="1"/>
  <c r="P73" i="9" s="1"/>
  <c r="P76" i="9" a="1"/>
  <c r="P76" i="9" s="1"/>
  <c r="P81" i="9" a="1"/>
  <c r="P81" i="9" s="1"/>
  <c r="P106" i="9" a="1"/>
  <c r="P106" i="9" s="1"/>
  <c r="P79" i="9" a="1"/>
  <c r="P79" i="9" s="1"/>
  <c r="P92" i="9" a="1"/>
  <c r="P92" i="9" s="1"/>
  <c r="P97" i="9" a="1"/>
  <c r="P97" i="9" s="1"/>
  <c r="P108" i="9" a="1"/>
  <c r="P108" i="9" s="1"/>
  <c r="P84" i="9" a="1"/>
  <c r="P84" i="9" s="1"/>
  <c r="P89" i="9" a="1"/>
  <c r="P89" i="9" s="1"/>
  <c r="P100" i="9" a="1"/>
  <c r="P100" i="9" s="1"/>
  <c r="P105" i="9" a="1"/>
  <c r="P105" i="9" s="1"/>
  <c r="P66" i="9" a="1"/>
  <c r="P66" i="9" s="1"/>
  <c r="P90" i="9" a="1"/>
  <c r="P90" i="9" s="1"/>
  <c r="P103" i="9" a="1"/>
  <c r="P103" i="9" s="1"/>
  <c r="P71" i="9" a="1"/>
  <c r="P71" i="9" s="1"/>
  <c r="P99" i="9" a="1"/>
  <c r="P99" i="9" s="1"/>
  <c r="P83" i="9" a="1"/>
  <c r="P83" i="9" s="1"/>
  <c r="P67" i="9" a="1"/>
  <c r="P67" i="9" s="1"/>
  <c r="P88" i="9" a="1"/>
  <c r="P88" i="9" s="1"/>
  <c r="P95" i="9" a="1"/>
  <c r="P95" i="9" s="1"/>
  <c r="P85" i="9" a="1"/>
  <c r="P85" i="9" s="1"/>
  <c r="P82" i="9" a="1"/>
  <c r="P82" i="9" s="1"/>
  <c r="P86" i="9" a="1"/>
  <c r="P86" i="9" s="1"/>
  <c r="P70" i="9" a="1"/>
  <c r="P70" i="9" s="1"/>
  <c r="P74" i="9" a="1"/>
  <c r="P74" i="9" s="1"/>
  <c r="P80" i="9" a="1"/>
  <c r="P80" i="9" s="1"/>
  <c r="P102" i="9" a="1"/>
  <c r="P102" i="9" s="1"/>
  <c r="P77" i="9" a="1"/>
  <c r="P77" i="9" s="1"/>
  <c r="P87" i="9" a="1"/>
  <c r="P87" i="9" s="1"/>
  <c r="P107" i="9" a="1"/>
  <c r="P107" i="9" s="1"/>
  <c r="P91" i="9" a="1"/>
  <c r="P91" i="9" s="1"/>
  <c r="P75" i="9" a="1"/>
  <c r="P75" i="9" s="1"/>
  <c r="P104" i="9" a="1"/>
  <c r="P104" i="9" s="1"/>
  <c r="P72" i="9" a="1"/>
  <c r="P72" i="9" s="1"/>
  <c r="P101" i="9" a="1"/>
  <c r="P101" i="9" s="1"/>
  <c r="P69" i="9" a="1"/>
  <c r="P69" i="9" s="1"/>
  <c r="P94" i="9" a="1"/>
  <c r="P94" i="9" s="1"/>
  <c r="P78" i="9" a="1"/>
  <c r="P78" i="9" s="1"/>
  <c r="P96" i="9" a="1"/>
  <c r="P96" i="9" s="1"/>
  <c r="P64" i="9" a="1"/>
  <c r="P64" i="9" s="1"/>
  <c r="P93" i="9" a="1"/>
  <c r="P93" i="9" s="1"/>
  <c r="P98" i="9" a="1"/>
  <c r="P98" i="9" s="1"/>
  <c r="P12" i="9" a="1"/>
  <c r="P12" i="9" s="1"/>
  <c r="P28" i="9" a="1"/>
  <c r="P28" i="9" s="1"/>
  <c r="P44" i="9" a="1"/>
  <c r="P44" i="9" s="1"/>
  <c r="P60" i="9" a="1"/>
  <c r="P60" i="9" s="1"/>
  <c r="P17" i="9" a="1"/>
  <c r="P17" i="9" s="1"/>
  <c r="P33" i="9" a="1"/>
  <c r="P33" i="9" s="1"/>
  <c r="P49" i="9" a="1"/>
  <c r="P49" i="9" s="1"/>
  <c r="P6" i="9" a="1"/>
  <c r="P6" i="9" s="1"/>
  <c r="P22" i="9" a="1"/>
  <c r="P22" i="9" s="1"/>
  <c r="P38" i="9" a="1"/>
  <c r="P38" i="9" s="1"/>
  <c r="P54" i="9" a="1"/>
  <c r="P54" i="9" s="1"/>
  <c r="P11" i="9" a="1"/>
  <c r="P11" i="9" s="1"/>
  <c r="P27" i="9" a="1"/>
  <c r="P27" i="9" s="1"/>
  <c r="P43" i="9" a="1"/>
  <c r="P43" i="9" s="1"/>
  <c r="P59" i="9" a="1"/>
  <c r="P59" i="9" s="1"/>
  <c r="P16" i="9" a="1"/>
  <c r="P16" i="9" s="1"/>
  <c r="P32" i="9" a="1"/>
  <c r="P32" i="9" s="1"/>
  <c r="P48" i="9" a="1"/>
  <c r="P48" i="9" s="1"/>
  <c r="P5" i="9" a="1"/>
  <c r="P5" i="9" s="1"/>
  <c r="P21" i="9" a="1"/>
  <c r="P21" i="9" s="1"/>
  <c r="P37" i="9" a="1"/>
  <c r="P37" i="9" s="1"/>
  <c r="P53" i="9" a="1"/>
  <c r="P53" i="9" s="1"/>
  <c r="P10" i="9" a="1"/>
  <c r="P10" i="9" s="1"/>
  <c r="P26" i="9" a="1"/>
  <c r="P26" i="9" s="1"/>
  <c r="P42" i="9" a="1"/>
  <c r="P42" i="9" s="1"/>
  <c r="P58" i="9" a="1"/>
  <c r="P58" i="9" s="1"/>
  <c r="P15" i="9" a="1"/>
  <c r="P15" i="9" s="1"/>
  <c r="P31" i="9" a="1"/>
  <c r="P31" i="9" s="1"/>
  <c r="P47" i="9" a="1"/>
  <c r="P47" i="9" s="1"/>
  <c r="P63" i="9" a="1"/>
  <c r="P63" i="9" s="1"/>
  <c r="O4" i="8" a="1"/>
  <c r="O4" i="8" s="1"/>
  <c r="O16" i="8" a="1"/>
  <c r="O16" i="8" s="1"/>
  <c r="O28" i="8" a="1"/>
  <c r="O28" i="8" s="1"/>
  <c r="P36" i="8"/>
  <c r="O48" i="8" a="1"/>
  <c r="O48" i="8" s="1"/>
  <c r="P6" i="8"/>
  <c r="P14" i="8"/>
  <c r="P22" i="8"/>
  <c r="P30" i="8"/>
  <c r="O40" i="8" a="1"/>
  <c r="O40" i="8" s="1"/>
  <c r="O8" i="8" a="1"/>
  <c r="O8" i="8" s="1"/>
  <c r="P12" i="8"/>
  <c r="P24" i="8"/>
  <c r="P32" i="8"/>
  <c r="O44" i="8" a="1"/>
  <c r="O44" i="8" s="1"/>
  <c r="P56" i="8"/>
  <c r="O10" i="8" a="1"/>
  <c r="O10" i="8" s="1"/>
  <c r="O18" i="8" a="1"/>
  <c r="O18" i="8" s="1"/>
  <c r="O26" i="8" a="1"/>
  <c r="O26" i="8" s="1"/>
  <c r="O52" i="8" a="1"/>
  <c r="O52" i="8" s="1"/>
  <c r="O60" i="8" a="1"/>
  <c r="O60" i="8" s="1"/>
  <c r="O9" i="8" a="1"/>
  <c r="O9" i="8" s="1"/>
  <c r="O17" i="8" a="1"/>
  <c r="O17" i="8" s="1"/>
  <c r="O25" i="8" a="1"/>
  <c r="O25" i="8" s="1"/>
  <c r="O33" i="8" a="1"/>
  <c r="O33" i="8" s="1"/>
  <c r="O41" i="8" a="1"/>
  <c r="O41" i="8" s="1"/>
  <c r="O49" i="8" a="1"/>
  <c r="O49" i="8" s="1"/>
  <c r="O57" i="8" a="1"/>
  <c r="O57" i="8" s="1"/>
  <c r="O34" i="8" a="1"/>
  <c r="O34" i="8" s="1"/>
  <c r="O42" i="8" a="1"/>
  <c r="O42" i="8" s="1"/>
  <c r="O50" i="8" a="1"/>
  <c r="O50" i="8" s="1"/>
  <c r="O58" i="8" a="1"/>
  <c r="O58" i="8" s="1"/>
  <c r="O7" i="8" a="1"/>
  <c r="O7" i="8" s="1"/>
  <c r="O15" i="8" a="1"/>
  <c r="O15" i="8" s="1"/>
  <c r="O23" i="8" a="1"/>
  <c r="O23" i="8" s="1"/>
  <c r="O31" i="8" a="1"/>
  <c r="O31" i="8" s="1"/>
  <c r="O39" i="8" a="1"/>
  <c r="O39" i="8" s="1"/>
  <c r="O47" i="8" a="1"/>
  <c r="O47" i="8" s="1"/>
  <c r="O55" i="8" a="1"/>
  <c r="O55" i="8" s="1"/>
  <c r="O63" i="8" a="1"/>
  <c r="O63" i="8" s="1"/>
  <c r="P65" i="8"/>
  <c r="P69" i="8"/>
  <c r="P73" i="8"/>
  <c r="P77" i="8"/>
  <c r="P81" i="8"/>
  <c r="P85" i="8"/>
  <c r="P89" i="8"/>
  <c r="P93" i="8"/>
  <c r="P97" i="8"/>
  <c r="P101" i="8"/>
  <c r="P105" i="8"/>
  <c r="P67" i="8"/>
  <c r="P75" i="8"/>
  <c r="P79" i="8"/>
  <c r="P87" i="8"/>
  <c r="P95" i="8"/>
  <c r="P103" i="8"/>
  <c r="P64" i="8"/>
  <c r="P72" i="8"/>
  <c r="P80" i="8"/>
  <c r="P88" i="8"/>
  <c r="P92" i="8"/>
  <c r="P66" i="8"/>
  <c r="P70" i="8"/>
  <c r="P74" i="8"/>
  <c r="P78" i="8"/>
  <c r="P82" i="8"/>
  <c r="P86" i="8"/>
  <c r="P90" i="8"/>
  <c r="P94" i="8"/>
  <c r="P98" i="8"/>
  <c r="P102" i="8"/>
  <c r="P106" i="8"/>
  <c r="P71" i="8"/>
  <c r="P83" i="8"/>
  <c r="P91" i="8"/>
  <c r="P99" i="8"/>
  <c r="P107" i="8"/>
  <c r="P68" i="8"/>
  <c r="P76" i="8"/>
  <c r="P84" i="8"/>
  <c r="P108" i="8"/>
  <c r="P104" i="8"/>
  <c r="P96" i="8"/>
  <c r="P100" i="8"/>
  <c r="O12" i="8" a="1"/>
  <c r="O12" i="8" s="1"/>
  <c r="O24" i="8" a="1"/>
  <c r="O24" i="8" s="1"/>
  <c r="O32" i="8" a="1"/>
  <c r="O32" i="8" s="1"/>
  <c r="P44" i="8"/>
  <c r="O56" i="8" a="1"/>
  <c r="O56" i="8" s="1"/>
  <c r="P10" i="8"/>
  <c r="P18" i="8"/>
  <c r="P26" i="8"/>
  <c r="P52" i="8"/>
  <c r="P60" i="8"/>
  <c r="O69" i="6" a="1"/>
  <c r="O69" i="6" s="1"/>
  <c r="O81" i="6" a="1"/>
  <c r="O81" i="6" s="1"/>
  <c r="O85" i="6" a="1"/>
  <c r="O85" i="6" s="1"/>
  <c r="O89" i="6" a="1"/>
  <c r="O89" i="6" s="1"/>
  <c r="O93" i="6" a="1"/>
  <c r="O93" i="6" s="1"/>
  <c r="O97" i="6" a="1"/>
  <c r="O97" i="6" s="1"/>
  <c r="O101" i="6" a="1"/>
  <c r="O101" i="6" s="1"/>
  <c r="O105" i="6" a="1"/>
  <c r="O105" i="6" s="1"/>
  <c r="O71" i="6" a="1"/>
  <c r="O71" i="6" s="1"/>
  <c r="O77" i="6" a="1"/>
  <c r="O77" i="6" s="1"/>
  <c r="O65" i="6" a="1"/>
  <c r="O65" i="6" s="1"/>
  <c r="O73" i="6" a="1"/>
  <c r="O73" i="6" s="1"/>
  <c r="O79" i="6" a="1"/>
  <c r="O79" i="6" s="1"/>
  <c r="O83" i="6" a="1"/>
  <c r="O83" i="6" s="1"/>
  <c r="O87" i="6" a="1"/>
  <c r="O87" i="6" s="1"/>
  <c r="O91" i="6" a="1"/>
  <c r="O91" i="6" s="1"/>
  <c r="O95" i="6" a="1"/>
  <c r="O95" i="6" s="1"/>
  <c r="O99" i="6" a="1"/>
  <c r="O99" i="6" s="1"/>
  <c r="O103" i="6" a="1"/>
  <c r="O103" i="6" s="1"/>
  <c r="O107" i="6" a="1"/>
  <c r="O107" i="6" s="1"/>
  <c r="O106" i="6" a="1"/>
  <c r="O106" i="6" s="1"/>
  <c r="O98" i="6" a="1"/>
  <c r="O98" i="6" s="1"/>
  <c r="O90" i="6" a="1"/>
  <c r="O90" i="6" s="1"/>
  <c r="O82" i="6" a="1"/>
  <c r="O82" i="6" s="1"/>
  <c r="O74" i="6" a="1"/>
  <c r="O74" i="6" s="1"/>
  <c r="O66" i="6" a="1"/>
  <c r="O66" i="6" s="1"/>
  <c r="O96" i="6" a="1"/>
  <c r="O96" i="6" s="1"/>
  <c r="O64" i="6" a="1"/>
  <c r="O64" i="6" s="1"/>
  <c r="O100" i="6" a="1"/>
  <c r="O100" i="6" s="1"/>
  <c r="O84" i="6" a="1"/>
  <c r="O84" i="6" s="1"/>
  <c r="O68" i="6" a="1"/>
  <c r="O68" i="6" s="1"/>
  <c r="O94" i="6" a="1"/>
  <c r="O94" i="6" s="1"/>
  <c r="O86" i="6" a="1"/>
  <c r="O86" i="6" s="1"/>
  <c r="O78" i="6" a="1"/>
  <c r="O78" i="6" s="1"/>
  <c r="O75" i="6" a="1"/>
  <c r="O75" i="6" s="1"/>
  <c r="O88" i="6" a="1"/>
  <c r="O88" i="6" s="1"/>
  <c r="O102" i="6" a="1"/>
  <c r="O102" i="6" s="1"/>
  <c r="O70" i="6" a="1"/>
  <c r="O70" i="6" s="1"/>
  <c r="O67" i="6" a="1"/>
  <c r="O67" i="6" s="1"/>
  <c r="O80" i="6" a="1"/>
  <c r="O80" i="6" s="1"/>
  <c r="O108" i="6" a="1"/>
  <c r="O108" i="6" s="1"/>
  <c r="O92" i="6" a="1"/>
  <c r="O92" i="6" s="1"/>
  <c r="O76" i="6" a="1"/>
  <c r="O76" i="6" s="1"/>
  <c r="O104" i="6" a="1"/>
  <c r="O104" i="6" s="1"/>
  <c r="O72" i="6" a="1"/>
  <c r="O72" i="6" s="1"/>
  <c r="P73" i="6" a="1"/>
  <c r="P73" i="6" s="1"/>
  <c r="P81" i="6" a="1"/>
  <c r="P81" i="6" s="1"/>
  <c r="P89" i="6" a="1"/>
  <c r="P89" i="6" s="1"/>
  <c r="P65" i="6" a="1"/>
  <c r="P65" i="6" s="1"/>
  <c r="P97" i="6" a="1"/>
  <c r="P97" i="6" s="1"/>
  <c r="P105" i="6" a="1"/>
  <c r="P105" i="6" s="1"/>
  <c r="P7" i="6" a="1"/>
  <c r="P7" i="6" s="1"/>
  <c r="P28" i="6" a="1"/>
  <c r="P28" i="6" s="1"/>
  <c r="P39" i="6" a="1"/>
  <c r="P39" i="6" s="1"/>
  <c r="P60" i="6" a="1"/>
  <c r="P60" i="6" s="1"/>
  <c r="P92" i="6" a="1"/>
  <c r="P92" i="6" s="1"/>
  <c r="P20" i="6" a="1"/>
  <c r="P20" i="6" s="1"/>
  <c r="P31" i="6" a="1"/>
  <c r="P31" i="6" s="1"/>
  <c r="P52" i="6" a="1"/>
  <c r="P52" i="6" s="1"/>
  <c r="P63" i="6" a="1"/>
  <c r="P63" i="6" s="1"/>
  <c r="P84" i="6" a="1"/>
  <c r="P84" i="6" s="1"/>
  <c r="P12" i="6" a="1"/>
  <c r="P12" i="6" s="1"/>
  <c r="P23" i="6" a="1"/>
  <c r="P23" i="6" s="1"/>
  <c r="P44" i="6" a="1"/>
  <c r="P44" i="6" s="1"/>
  <c r="P55" i="6" a="1"/>
  <c r="P55" i="6" s="1"/>
  <c r="P76" i="6" a="1"/>
  <c r="P76" i="6" s="1"/>
  <c r="P87" i="6" a="1"/>
  <c r="P87" i="6" s="1"/>
  <c r="P108" i="6" a="1"/>
  <c r="P108" i="6" s="1"/>
  <c r="P15" i="6" a="1"/>
  <c r="P15" i="6" s="1"/>
  <c r="P36" i="6" a="1"/>
  <c r="P36" i="6" s="1"/>
  <c r="P47" i="6" a="1"/>
  <c r="P47" i="6" s="1"/>
  <c r="P68" i="6" a="1"/>
  <c r="P68" i="6" s="1"/>
  <c r="P79" i="6" a="1"/>
  <c r="P79" i="6" s="1"/>
  <c r="P100" i="6" a="1"/>
  <c r="P100" i="6" s="1"/>
  <c r="P103" i="6" a="1"/>
  <c r="P103" i="6" s="1"/>
  <c r="P48" i="6" a="1"/>
  <c r="P48" i="6" s="1"/>
  <c r="P16" i="6" a="1"/>
  <c r="P16" i="6" s="1"/>
  <c r="P93" i="6" a="1"/>
  <c r="P93" i="6" s="1"/>
  <c r="P59" i="6" a="1"/>
  <c r="P59" i="6" s="1"/>
  <c r="P27" i="6" a="1"/>
  <c r="P27" i="6" s="1"/>
  <c r="P104" i="6" a="1"/>
  <c r="P104" i="6" s="1"/>
  <c r="P88" i="6" a="1"/>
  <c r="P88" i="6" s="1"/>
  <c r="P72" i="6" a="1"/>
  <c r="P72" i="6" s="1"/>
  <c r="P58" i="6" a="1"/>
  <c r="P58" i="6" s="1"/>
  <c r="P42" i="6" a="1"/>
  <c r="P42" i="6" s="1"/>
  <c r="P26" i="6" a="1"/>
  <c r="P26" i="6" s="1"/>
  <c r="P10" i="6" a="1"/>
  <c r="P10" i="6" s="1"/>
  <c r="P91" i="6" a="1"/>
  <c r="P91" i="6" s="1"/>
  <c r="P61" i="6" a="1"/>
  <c r="P61" i="6" s="1"/>
  <c r="P45" i="6" a="1"/>
  <c r="P45" i="6" s="1"/>
  <c r="P29" i="6" a="1"/>
  <c r="P29" i="6" s="1"/>
  <c r="P13" i="6" a="1"/>
  <c r="P13" i="6" s="1"/>
  <c r="P95" i="6" a="1"/>
  <c r="P95" i="6" s="1"/>
  <c r="P40" i="6" a="1"/>
  <c r="P40" i="6" s="1"/>
  <c r="P8" i="6" a="1"/>
  <c r="P8" i="6" s="1"/>
  <c r="P85" i="6" a="1"/>
  <c r="P85" i="6" s="1"/>
  <c r="P51" i="6" a="1"/>
  <c r="P51" i="6" s="1"/>
  <c r="P19" i="6" a="1"/>
  <c r="P19" i="6" s="1"/>
  <c r="P54" i="6" a="1"/>
  <c r="P54" i="6" s="1"/>
  <c r="P38" i="6" a="1"/>
  <c r="P38" i="6" s="1"/>
  <c r="P22" i="6" a="1"/>
  <c r="P22" i="6" s="1"/>
  <c r="P6" i="6" a="1"/>
  <c r="P6" i="6" s="1"/>
  <c r="P83" i="6" a="1"/>
  <c r="P83" i="6" s="1"/>
  <c r="P57" i="6" a="1"/>
  <c r="P57" i="6" s="1"/>
  <c r="P41" i="6" a="1"/>
  <c r="P41" i="6" s="1"/>
  <c r="P25" i="6" a="1"/>
  <c r="P25" i="6" s="1"/>
  <c r="P9" i="6" a="1"/>
  <c r="P9" i="6" s="1"/>
  <c r="P102" i="6" a="1"/>
  <c r="P102" i="6" s="1"/>
  <c r="P70" i="6" a="1"/>
  <c r="P70" i="6" s="1"/>
  <c r="P71" i="6" a="1"/>
  <c r="P71" i="6" s="1"/>
  <c r="P32" i="6" a="1"/>
  <c r="P32" i="6" s="1"/>
  <c r="P4" i="6" a="1"/>
  <c r="P4" i="6" s="1"/>
  <c r="P77" i="6" a="1"/>
  <c r="P77" i="6" s="1"/>
  <c r="P43" i="6" a="1"/>
  <c r="P43" i="6" s="1"/>
  <c r="P11" i="6" a="1"/>
  <c r="P11" i="6" s="1"/>
  <c r="P96" i="6" a="1"/>
  <c r="P96" i="6" s="1"/>
  <c r="P80" i="6" a="1"/>
  <c r="P80" i="6" s="1"/>
  <c r="P64" i="6" a="1"/>
  <c r="P64" i="6" s="1"/>
  <c r="P50" i="6" a="1"/>
  <c r="P50" i="6" s="1"/>
  <c r="P34" i="6" a="1"/>
  <c r="P34" i="6" s="1"/>
  <c r="P18" i="6" a="1"/>
  <c r="P18" i="6" s="1"/>
  <c r="P107" i="6" a="1"/>
  <c r="P107" i="6" s="1"/>
  <c r="P75" i="6" a="1"/>
  <c r="P75" i="6" s="1"/>
  <c r="P53" i="6" a="1"/>
  <c r="P53" i="6" s="1"/>
  <c r="P37" i="6" a="1"/>
  <c r="P37" i="6" s="1"/>
  <c r="P21" i="6" a="1"/>
  <c r="P21" i="6" s="1"/>
  <c r="P5" i="6" a="1"/>
  <c r="P5" i="6" s="1"/>
  <c r="P94" i="6" a="1"/>
  <c r="P94" i="6" s="1"/>
  <c r="P86" i="6" a="1"/>
  <c r="P86" i="6" s="1"/>
  <c r="P78" i="6" a="1"/>
  <c r="P78" i="6" s="1"/>
  <c r="P56" i="6" a="1"/>
  <c r="P56" i="6" s="1"/>
  <c r="P24" i="6" a="1"/>
  <c r="P24" i="6" s="1"/>
  <c r="P101" i="6" a="1"/>
  <c r="P101" i="6" s="1"/>
  <c r="P69" i="6" a="1"/>
  <c r="P69" i="6" s="1"/>
  <c r="P35" i="6" a="1"/>
  <c r="P35" i="6" s="1"/>
  <c r="P62" i="6" a="1"/>
  <c r="P62" i="6" s="1"/>
  <c r="P46" i="6" a="1"/>
  <c r="P46" i="6" s="1"/>
  <c r="P30" i="6" a="1"/>
  <c r="P30" i="6" s="1"/>
  <c r="P14" i="6" a="1"/>
  <c r="P14" i="6" s="1"/>
  <c r="P99" i="6" a="1"/>
  <c r="P99" i="6" s="1"/>
  <c r="P67" i="6" a="1"/>
  <c r="P67" i="6" s="1"/>
  <c r="P49" i="6" a="1"/>
  <c r="P49" i="6" s="1"/>
  <c r="P33" i="6" a="1"/>
  <c r="P33" i="6" s="1"/>
  <c r="P17" i="6" a="1"/>
  <c r="P17" i="6" s="1"/>
  <c r="P106" i="6" a="1"/>
  <c r="P106" i="6" s="1"/>
  <c r="P98" i="6" a="1"/>
  <c r="P98" i="6" s="1"/>
  <c r="P90" i="6" a="1"/>
  <c r="P90" i="6" s="1"/>
  <c r="P82" i="6" a="1"/>
  <c r="P82" i="6" s="1"/>
  <c r="P74" i="6" a="1"/>
  <c r="P74" i="6" s="1"/>
  <c r="P66" i="6" a="1"/>
  <c r="P66" i="6" s="1"/>
  <c r="O19" i="6" a="1"/>
  <c r="O19" i="6" s="1"/>
  <c r="O18" i="6" a="1"/>
  <c r="O18" i="6" s="1"/>
  <c r="O31" i="6" a="1"/>
  <c r="O31" i="6" s="1"/>
  <c r="O28" i="6" a="1"/>
  <c r="O28" i="6" s="1"/>
  <c r="Q8" i="5"/>
  <c r="Q26" i="5"/>
  <c r="Q38" i="5"/>
  <c r="Q48" i="5"/>
  <c r="Q60" i="5"/>
  <c r="Q13" i="5"/>
  <c r="Q41" i="5"/>
  <c r="Q6" i="5"/>
  <c r="Q12" i="5"/>
  <c r="Q30" i="5"/>
  <c r="Q40" i="5"/>
  <c r="Q52" i="5"/>
  <c r="Q5" i="5"/>
  <c r="Q15" i="5"/>
  <c r="Q47" i="5"/>
  <c r="Q14" i="5"/>
  <c r="Q20" i="5"/>
  <c r="Q32" i="5"/>
  <c r="Q42" i="5"/>
  <c r="Q56" i="5"/>
  <c r="Q7" i="5"/>
  <c r="Q17" i="5"/>
  <c r="Q57" i="5"/>
  <c r="Q18" i="5"/>
  <c r="Q67" i="5"/>
  <c r="Q79" i="5"/>
  <c r="Q91" i="5"/>
  <c r="Q99" i="5"/>
  <c r="Q107" i="5"/>
  <c r="Q64" i="5"/>
  <c r="Q68" i="5"/>
  <c r="Q72" i="5"/>
  <c r="Q76" i="5"/>
  <c r="Q80" i="5"/>
  <c r="Q84" i="5"/>
  <c r="Q88" i="5"/>
  <c r="Q92" i="5"/>
  <c r="Q100" i="5"/>
  <c r="Q104" i="5"/>
  <c r="Q108" i="5"/>
  <c r="Q103" i="5"/>
  <c r="Q106" i="5"/>
  <c r="Q89" i="5"/>
  <c r="Q65" i="5"/>
  <c r="Q73" i="5"/>
  <c r="Q77" i="5"/>
  <c r="Q95" i="5"/>
  <c r="Q102" i="5"/>
  <c r="Q75" i="5"/>
  <c r="Q82" i="5"/>
  <c r="Q70" i="5"/>
  <c r="Q78" i="5"/>
  <c r="Q101" i="5"/>
  <c r="Q93" i="5"/>
  <c r="Q96" i="5"/>
  <c r="Q74" i="5"/>
  <c r="Q85" i="5"/>
  <c r="Q97" i="5"/>
  <c r="Q98" i="5"/>
  <c r="Q83" i="5"/>
  <c r="Q81" i="5"/>
  <c r="Q87" i="5"/>
  <c r="Q105" i="5"/>
  <c r="Q69" i="5"/>
  <c r="Q90" i="5"/>
  <c r="Q71" i="5"/>
  <c r="Q66" i="5"/>
  <c r="Q86" i="5"/>
  <c r="Q94" i="5"/>
  <c r="Q16" i="5"/>
  <c r="Q28" i="5"/>
  <c r="Q36" i="5"/>
  <c r="Q44" i="5"/>
  <c r="Q54" i="5"/>
  <c r="Q62" i="5"/>
  <c r="Q11" i="5"/>
  <c r="Q33" i="5"/>
  <c r="Q51" i="5"/>
  <c r="Q10" i="5"/>
  <c r="Q50" i="5"/>
  <c r="O15" i="6" a="1"/>
  <c r="O15" i="6" s="1"/>
  <c r="O25" i="6" a="1"/>
  <c r="O25" i="6" s="1"/>
  <c r="O35" i="6" a="1"/>
  <c r="O35" i="6" s="1"/>
  <c r="O23" i="6" a="1"/>
  <c r="O23" i="6" s="1"/>
  <c r="O33" i="6" a="1"/>
  <c r="O33" i="6" s="1"/>
  <c r="O32" i="6" a="1"/>
  <c r="O32" i="6" s="1"/>
  <c r="O17" i="6" a="1"/>
  <c r="O17" i="6" s="1"/>
  <c r="O27" i="6" a="1"/>
  <c r="O27" i="6" s="1"/>
  <c r="O36" i="6" a="1"/>
  <c r="O36" i="6" s="1"/>
  <c r="O22" i="6" a="1"/>
  <c r="O22" i="6" s="1"/>
  <c r="O30" i="6" a="1"/>
  <c r="O30" i="6" s="1"/>
  <c r="O16" i="9" a="1"/>
  <c r="O16" i="9" s="1"/>
  <c r="O52" i="9" a="1"/>
  <c r="O52" i="9" s="1"/>
  <c r="O31" i="9" a="1"/>
  <c r="O31" i="9" s="1"/>
  <c r="O32" i="9" a="1"/>
  <c r="O32" i="9" s="1"/>
  <c r="O24" i="9" a="1"/>
  <c r="O24" i="9" s="1"/>
  <c r="O8" i="9" a="1"/>
  <c r="O8" i="9" s="1"/>
  <c r="O13" i="9" a="1"/>
  <c r="O13" i="9" s="1"/>
  <c r="O17" i="9" a="1"/>
  <c r="O17" i="9" s="1"/>
  <c r="O21" i="9" a="1"/>
  <c r="O21" i="9" s="1"/>
  <c r="O25" i="9" a="1"/>
  <c r="O25" i="9" s="1"/>
  <c r="O29" i="9" a="1"/>
  <c r="O29" i="9" s="1"/>
  <c r="O33" i="9" a="1"/>
  <c r="O33" i="9" s="1"/>
  <c r="O37" i="9" a="1"/>
  <c r="O37" i="9" s="1"/>
  <c r="O41" i="9" a="1"/>
  <c r="O41" i="9" s="1"/>
  <c r="O45" i="9" a="1"/>
  <c r="O45" i="9" s="1"/>
  <c r="O22" i="9" a="1"/>
  <c r="O22" i="9" s="1"/>
  <c r="O38" i="9" a="1"/>
  <c r="O38" i="9" s="1"/>
  <c r="O6" i="9" a="1"/>
  <c r="O6" i="9" s="1"/>
  <c r="O9" i="9" a="1"/>
  <c r="O9" i="9" s="1"/>
  <c r="O11" i="9" a="1"/>
  <c r="O11" i="9" s="1"/>
  <c r="O15" i="9" a="1"/>
  <c r="O15" i="9" s="1"/>
  <c r="O18" i="9" a="1"/>
  <c r="O18" i="9" s="1"/>
  <c r="O34" i="9" a="1"/>
  <c r="O34" i="9" s="1"/>
  <c r="O50" i="9" a="1"/>
  <c r="O50" i="9" s="1"/>
  <c r="O5" i="9" a="1"/>
  <c r="O5" i="9" s="1"/>
  <c r="O14" i="9" a="1"/>
  <c r="O14" i="9" s="1"/>
  <c r="O42" i="9" a="1"/>
  <c r="O42" i="9" s="1"/>
  <c r="O23" i="9" a="1"/>
  <c r="O23" i="9" s="1"/>
  <c r="O26" i="9" a="1"/>
  <c r="O26" i="9" s="1"/>
  <c r="O46" i="9" a="1"/>
  <c r="O46" i="9" s="1"/>
  <c r="O54" i="9" a="1"/>
  <c r="O54" i="9" s="1"/>
  <c r="O58" i="9" a="1"/>
  <c r="O58" i="9" s="1"/>
  <c r="O30" i="9" a="1"/>
  <c r="O30" i="9" s="1"/>
  <c r="O27" i="9" a="1"/>
  <c r="O27" i="9" s="1"/>
  <c r="O43" i="9" a="1"/>
  <c r="O43" i="9" s="1"/>
  <c r="O62" i="9" a="1"/>
  <c r="O62" i="9" s="1"/>
  <c r="O39" i="9" a="1"/>
  <c r="O39" i="9" s="1"/>
  <c r="O59" i="9" a="1"/>
  <c r="O59" i="9" s="1"/>
  <c r="O49" i="9" a="1"/>
  <c r="O49" i="9" s="1"/>
  <c r="O40" i="9" a="1"/>
  <c r="O40" i="9" s="1"/>
  <c r="O36" i="9" a="1"/>
  <c r="O36" i="9" s="1"/>
  <c r="O12" i="9" a="1"/>
  <c r="O12" i="9" s="1"/>
  <c r="O47" i="9" a="1"/>
  <c r="O47" i="9" s="1"/>
  <c r="O56" i="9" a="1"/>
  <c r="O56" i="9" s="1"/>
  <c r="O35" i="9" a="1"/>
  <c r="O35" i="9" s="1"/>
  <c r="O4" i="9" a="1"/>
  <c r="O4" i="9" s="1"/>
  <c r="O20" i="9" a="1"/>
  <c r="O20" i="9" s="1"/>
  <c r="O19" i="9" a="1"/>
  <c r="O19" i="9" s="1"/>
  <c r="O60" i="9" a="1"/>
  <c r="O60" i="9" s="1"/>
  <c r="O7" i="9" a="1"/>
  <c r="O7" i="9" s="1"/>
  <c r="O44" i="9" a="1"/>
  <c r="O44" i="9" s="1"/>
  <c r="O61" i="9" a="1"/>
  <c r="O61" i="9" s="1"/>
  <c r="O48" i="9" a="1"/>
  <c r="O48" i="9" s="1"/>
  <c r="O63" i="9" a="1"/>
  <c r="O63" i="9" s="1"/>
  <c r="O28" i="9" a="1"/>
  <c r="O28" i="9" s="1"/>
  <c r="O4" i="6" a="1"/>
  <c r="O4" i="6" s="1"/>
  <c r="O5" i="6" a="1"/>
  <c r="O5" i="6" s="1"/>
  <c r="O6" i="6" a="1"/>
  <c r="O6" i="6" s="1"/>
  <c r="O7" i="6" a="1"/>
  <c r="O7" i="6" s="1"/>
  <c r="O8" i="6" a="1"/>
  <c r="O8" i="6" s="1"/>
  <c r="O9" i="6" a="1"/>
  <c r="O9" i="6" s="1"/>
  <c r="O10" i="6" a="1"/>
  <c r="O10" i="6" s="1"/>
  <c r="O38" i="6" a="1"/>
  <c r="O38" i="6" s="1"/>
  <c r="O42" i="6" a="1"/>
  <c r="O42" i="6" s="1"/>
  <c r="O46" i="6" a="1"/>
  <c r="O46" i="6" s="1"/>
  <c r="O50" i="6" a="1"/>
  <c r="O50" i="6" s="1"/>
  <c r="O54" i="6" a="1"/>
  <c r="O54" i="6" s="1"/>
  <c r="O58" i="6" a="1"/>
  <c r="O58" i="6" s="1"/>
  <c r="O62" i="6" a="1"/>
  <c r="O62" i="6" s="1"/>
  <c r="O37" i="6" a="1"/>
  <c r="O37" i="6" s="1"/>
  <c r="O41" i="6" a="1"/>
  <c r="O41" i="6" s="1"/>
  <c r="O45" i="6" a="1"/>
  <c r="O45" i="6" s="1"/>
  <c r="O49" i="6" a="1"/>
  <c r="O49" i="6" s="1"/>
  <c r="O53" i="6" a="1"/>
  <c r="O53" i="6" s="1"/>
  <c r="O57" i="6" a="1"/>
  <c r="O57" i="6" s="1"/>
  <c r="O61" i="6" a="1"/>
  <c r="O61" i="6" s="1"/>
  <c r="O40" i="6" a="1"/>
  <c r="O40" i="6" s="1"/>
  <c r="O44" i="6" a="1"/>
  <c r="O44" i="6" s="1"/>
  <c r="O48" i="6" a="1"/>
  <c r="O48" i="6" s="1"/>
  <c r="O52" i="6" a="1"/>
  <c r="O52" i="6" s="1"/>
  <c r="O56" i="6" a="1"/>
  <c r="O56" i="6" s="1"/>
  <c r="O60" i="6" a="1"/>
  <c r="O60" i="6" s="1"/>
  <c r="O11" i="6" a="1"/>
  <c r="O11" i="6" s="1"/>
  <c r="O39" i="6" a="1"/>
  <c r="O39" i="6" s="1"/>
  <c r="O43" i="6" a="1"/>
  <c r="O43" i="6" s="1"/>
  <c r="O47" i="6" a="1"/>
  <c r="O47" i="6" s="1"/>
  <c r="O51" i="6" a="1"/>
  <c r="O51" i="6" s="1"/>
  <c r="O55" i="6" a="1"/>
  <c r="O55" i="6" s="1"/>
  <c r="O59" i="6" a="1"/>
  <c r="O59" i="6" s="1"/>
  <c r="O63" i="6" a="1"/>
  <c r="O63" i="6" s="1"/>
  <c r="O24" i="6" a="1"/>
  <c r="O24" i="6" s="1"/>
  <c r="O34" i="6" a="1"/>
  <c r="O34" i="6" s="1"/>
  <c r="O10" i="9" a="1"/>
  <c r="O10" i="9" s="1"/>
  <c r="O51" i="9" a="1"/>
  <c r="O51" i="9" s="1"/>
  <c r="O53" i="9" a="1"/>
  <c r="O53" i="9" s="1"/>
  <c r="O13" i="6" a="1"/>
  <c r="O13" i="6" s="1"/>
  <c r="O21" i="6" a="1"/>
  <c r="O21" i="6" s="1"/>
  <c r="O29" i="6" a="1"/>
  <c r="O29" i="6" s="1"/>
  <c r="O20" i="6" a="1"/>
  <c r="O20" i="6" s="1"/>
  <c r="O55" i="9" a="1"/>
  <c r="O55" i="9" s="1"/>
  <c r="O14" i="6" a="1"/>
  <c r="O14" i="6" s="1"/>
  <c r="O16" i="6" a="1"/>
  <c r="O16" i="6" s="1"/>
  <c r="O57" i="9" a="1"/>
  <c r="O57" i="9" s="1"/>
  <c r="O26" i="6" a="1"/>
  <c r="O26" i="6" s="1"/>
  <c r="O12" i="6" a="1"/>
  <c r="O1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<sst xmlns="http://schemas.openxmlformats.org/spreadsheetml/2006/main" count="4439" uniqueCount="972">
  <si>
    <t>Progress</t>
  </si>
  <si>
    <t>Duration (in seconds)</t>
  </si>
  <si>
    <t>Finished</t>
  </si>
  <si>
    <t>PROLIFIC_PID</t>
  </si>
  <si>
    <t>Create New Field or Choose From Dropdown...</t>
  </si>
  <si>
    <t>Q2.3 - Actionability</t>
  </si>
  <si>
    <t>Q2.3 - Effort</t>
  </si>
  <si>
    <t>Q2.3 - Effort Numeric</t>
  </si>
  <si>
    <t>Q2.3 - Emotion Intensity</t>
  </si>
  <si>
    <t>Q2.3 - Emotion</t>
  </si>
  <si>
    <t>Q2.3 - Parent Topics</t>
  </si>
  <si>
    <t>Q2.3 - Sentiment Polarity</t>
  </si>
  <si>
    <t>Q2.3 - Sentiment Score</t>
  </si>
  <si>
    <t>Q2.3 - Sentiment</t>
  </si>
  <si>
    <t>Q2.3 - Topic Sentiment Label</t>
  </si>
  <si>
    <t>Q2.3 - Topic Sentiment Score</t>
  </si>
  <si>
    <t>Q2.3 - Topics</t>
  </si>
  <si>
    <t>Q_AmbiguousTextPresent</t>
  </si>
  <si>
    <t>Q_AmbiguousTextQuestions</t>
  </si>
  <si>
    <t>Q2.3 - Topic Hierarchy Level 1</t>
  </si>
  <si>
    <t>Start Date</t>
  </si>
  <si>
    <t>End Date</t>
  </si>
  <si>
    <t>IP Address</t>
  </si>
  <si>
    <t>Recorded Date</t>
  </si>
  <si>
    <t>Response ID</t>
  </si>
  <si>
    <t>Location Latitude</t>
  </si>
  <si>
    <t>Location Longitude</t>
  </si>
  <si>
    <t>Distribution Channel</t>
  </si>
  <si>
    <t>Imagine you were in a social gathering with your childhood friends. Write a hypothetical social media post about this event.</t>
  </si>
  <si>
    <t>Your significant other is having a birthday. Write them a social media post that congratulates them.</t>
  </si>
  <si>
    <t>What is your Prolific ID? Please note that this response should auto-fill with the correct ID</t>
  </si>
  <si>
    <t>True</t>
  </si>
  <si>
    <t/>
  </si>
  <si>
    <t>anonymous</t>
  </si>
  <si>
    <t>other</t>
  </si>
  <si>
    <t>Neutral</t>
  </si>
  <si>
    <t>High</t>
  </si>
  <si>
    <t>Very Positive</t>
  </si>
  <si>
    <t>Unknown</t>
  </si>
  <si>
    <t>174.230.147.245</t>
  </si>
  <si>
    <t>R_6ym7U0dsgWcsnwk</t>
  </si>
  <si>
    <t>OMG we went to the movie theater and watched a new movie and had fun there was a cute boy a few rolls up from us and we was throwing popcorn at him to get his attention he met us outside after the movies and we talked and exchanged phone numbers and we've been talking ever since me and my friends enjoyed this night</t>
  </si>
  <si>
    <t>I just want to shout out happy birthday to my amazing husband he always does everything for us and gets up and goes to work and works hard everyday to provide everything that we need I just want to say I'm so grateful for him and everything he has done for me and our children and I will continue to be grateful everyday</t>
  </si>
  <si>
    <t>6706b06808493754f3d167da</t>
  </si>
  <si>
    <t>Thankfulness</t>
  </si>
  <si>
    <t>QID84</t>
  </si>
  <si>
    <t>86.12.79.252</t>
  </si>
  <si>
    <t>R_2hDvhnUkmz4tRoU</t>
  </si>
  <si>
    <t xml:space="preserve">Such a great night with this incredible bunch, but I'm feeling it this morning! Everyone needs those friends who know you so well, who'll see you through anything and everything. And no matter how old we get are still up for a good girls night out, even if it now takes us two days to recover! Night at Sixways is always the best, love this place, and Love you all 😘😘 </t>
  </si>
  <si>
    <t>It's official, he's getting older! Happy birthday to my gorgeous husband, another year old and not any wiser! The kindest, funniest soul I will ever meet, and the most amazing dog Dad you could ever find. Looking forward to spoiling you rotten today - and maybe a few surprises this weekend! Happy birthday favourite human xoxo</t>
  </si>
  <si>
    <t>5966f6c744b2d20001defeec</t>
  </si>
  <si>
    <t>Mixed</t>
  </si>
  <si>
    <t>Medium</t>
  </si>
  <si>
    <t>Love</t>
  </si>
  <si>
    <t>86.138.71.199</t>
  </si>
  <si>
    <t>R_246V0WrsskF7Xwd</t>
  </si>
  <si>
    <t>We spent the evening around my house, me and my 4 friends. We love spending time together and chilling out. Once they came here we spent the evening wining and dining. I must stay i think i out done myself with the cooking autumn soup with homemade bread for starters, steak and sides for main and sticky toffee pudding for dessert. Alongside we drank many bottes of wine and had many shots. Feeling it today haha!</t>
  </si>
  <si>
    <t>Happy birthday, hope you have the best day ever XX I cherish all our memories together and enjoyed our 6 year relationship every day is a blessing spending it with you. Love you forever and always xx Your the most and gentle person ever and make me the happiest girl alive. The love you give me is the best</t>
  </si>
  <si>
    <t>6136001fcd0e07e6f5f66bc1</t>
  </si>
  <si>
    <t>172.56.67.182</t>
  </si>
  <si>
    <t>R_6fCME6i2jGSYvKw</t>
  </si>
  <si>
    <t>Wow! It's so great to see everyone after all this time! I am so excited to be here and catch up on all that we missed over time. It's great to see all these familiar faces smiling back at me! I really have missed you and seeing you here and now, I am reminded of some of the best times of my life!</t>
  </si>
  <si>
    <t>Happy Birthday XXXX! Just wanted you to know I was thinking about you on your special day and wish you many more! I know that you will a wonderful journey ahead of you in days to come and I will be there to cheer you on the whole way. Enjoy your day, take some time to yourself and start back to work tomorrow. L,S</t>
  </si>
  <si>
    <t>5f36e3d19ff99d12681ffca7</t>
  </si>
  <si>
    <t>Low</t>
  </si>
  <si>
    <t>Joy</t>
  </si>
  <si>
    <t>83.105.255.162</t>
  </si>
  <si>
    <t>R_8oupQGgEZbRq82D</t>
  </si>
  <si>
    <t>Lovely to catch up with some old friends and reminisce on childhood memories! It's crazy to see how much everybody has grown and achieved in life and where their paths have taken them. I love days like these, hope to catch up with you all again sometime soon and make more brilliant memories ❤️</t>
  </si>
  <si>
    <t>To the love of my life, I hope you have the best day and make the best memories! Thank you for making the world a happier place and staying by my side. I'd be lost without you, don't ever change! I love you with all of my heart, always ❤️ happy birthday my love, here is to many more together xxx</t>
  </si>
  <si>
    <t>6658c5cc20f33b713aa2592d</t>
  </si>
  <si>
    <t>Love,Joy</t>
  </si>
  <si>
    <t>86.20.116.156</t>
  </si>
  <si>
    <t>R_8pQXdNvMhyv5vW4</t>
  </si>
  <si>
    <t>today guys I have reunited with my childhood friends and I was so excited. it was an amazing experience which I totally recommend if you can do it as the feeling of meeting someone you used to play with when you talked to them is unforgettable. Also the fact that you used to be so close with them is shocking!</t>
  </si>
  <si>
    <t>Happy birthday dear. I am so happy to see you growing up bit by bit. I always see that amazing special smile once a year, unique from the others and that makes me overjoyed. I wish you the best of many days and years to come and I hope you find my gifts splendid aswell as everyone elses.</t>
  </si>
  <si>
    <t>5bf7be3abd1fd30001aa5498</t>
  </si>
  <si>
    <t>86.19.229.47</t>
  </si>
  <si>
    <t>R_2neI4BwZXc4Hucj</t>
  </si>
  <si>
    <t>Had a lovely time with the girls today, we went to our favourite childhood restaurant. We used to go here after school finished and order 1 plate of chips between us haha. 15 years of friendship down, a lifetime to go. I know our teachers that told us we spoke too much in class are mad haha.</t>
  </si>
  <si>
    <t>My lover my lover. Happy Birthday to you. You're getting old but at least you still look fly haha. I hope you have a fabulous day today filled with love and joy and many more birthdays.  You're truly one of a kind. I love you dearly and cant wait to spend the rest of the day with you.</t>
  </si>
  <si>
    <t>6658c6faab732c38533b2b87</t>
  </si>
  <si>
    <t>Joy,Love</t>
  </si>
  <si>
    <t>212.233.148.243</t>
  </si>
  <si>
    <t>R_8gbyTr0pUTngfFm</t>
  </si>
  <si>
    <t xml:space="preserve">time flies by, I cant believe its been so long since we all met,  had so much fun seeing you all again and catching up. I remember when we used to go out on our bikes for hours now we all have our own house's. its crazy. we should make this an annual thing every year. none of you have changed! </t>
  </si>
  <si>
    <t>Happpy Birthdayyyy. I hope your day is filled with all the things you love and your favorite people. This last year has been amazing and i cant wait to celebrate every birthday with you, even when we are old we'll still have each others company. Love you and cant wait to celebrate this day with you.</t>
  </si>
  <si>
    <t>62df57db36c1085c48f8d86c</t>
  </si>
  <si>
    <t>131.227.165.164</t>
  </si>
  <si>
    <t>R_2FwvrUqmtPGBfia</t>
  </si>
  <si>
    <t>Day 1s! 
We finally met up after so long - It was so lovely to catch up with all of you. It has been way too long since we last saw each other, and it really good to hear that you're all doing well. So much has changed since we used to see each other daily, but somehow it feels like no time has passed when we got back togehter
Let me know when you're all back in town - we can hang out again.</t>
  </si>
  <si>
    <t>Happy birthday!!
I hope you had an amazing day with friends and family - and thank you for letting me share it with you. I'm so proud of all you've achieved this past year. It has been full of many great times and I'm sure the next year will be full of lots of new opportunities. I look forward to spending the next year with you 
See you later today!</t>
  </si>
  <si>
    <t>5de401d34c451d000a669419</t>
  </si>
  <si>
    <t>92.18.162.175</t>
  </si>
  <si>
    <t>R_2QEFierITmTW23L</t>
  </si>
  <si>
    <t>having a brill time at the reunion, saw lots of faces i've not seen in a longggggg time. we mustn't leave it so long next time. just waiting for the karaoke to begin so i can impress everyone with a bit of Enrique ! I hope everyone doesn't leave the room when I start singing otherwise i'll never dare pick up a microphone ever again.  Talking about old times at school was a blast....rekindled many good memories.</t>
  </si>
  <si>
    <t>Happy Birthday to Khaleesy ! Hope you liked the flowers babe, I'll see you when I get home ....expect the princess treatment !!! love you  xxxxx
You always say that my messages on here are too short so i'm making an effort to write you a longgggggggggggggggggg one this time hahaha
happy birthday to you, happy birthday to you, happy birthday Khaleesy, Happy Birthday too youuuuuuuuuuuuuu....uuuuuuuu xxxxx</t>
  </si>
  <si>
    <t>66c46c4e8a82f52621c06c4f</t>
  </si>
  <si>
    <t>QID80,QID84</t>
  </si>
  <si>
    <t>185.100.169.179</t>
  </si>
  <si>
    <t>R_2XrDc7sxdHaRNmx</t>
  </si>
  <si>
    <t>Hey guys!!!
guess who we have here today???
My childhood friends came over. Oh my God, i have really missed them, i saw them last about 8 years ago but we've always been in communication. I'm so happy to see them and i can't wait to update you guys on the plans we have to catch up. 
Stay tuned!</t>
  </si>
  <si>
    <t>Happy birthday to the love of my life. I can't imagine what my life could have been without you, you brought colors into my life. On this big day of yours, i wish you heavens choicest blessings and i pray all your hear desires are granted. I love you so much and i hope i make you happy as much as you make me</t>
  </si>
  <si>
    <t>66f4147ffea1a6689de3a7ac</t>
  </si>
  <si>
    <t>86.164.61.184</t>
  </si>
  <si>
    <t>R_84vceDPeXIPqL7l</t>
  </si>
  <si>
    <t>Had a great catch up with my old school pals. 
Dinner was lovely and lots of laughs and drinks as usual! Always great to see them and amazing that we are all still friends after over 30 years.
Can't wait until the next one in December . Hope everyone can make it as it's going to be a special trip!</t>
  </si>
  <si>
    <t>Wishing you the happiest of birthdays. You deserve to have the best day!
Thanks for being the most amazing and supportive partner.
We all appreciate everything you do for us .
We hope you love your surprise party .. you won't read this until after , so it's safe to write this :-) Lots of love ...</t>
  </si>
  <si>
    <t>6675938aa473a834959cd7ae</t>
  </si>
  <si>
    <t>Easy</t>
  </si>
  <si>
    <t>172.56.208.192</t>
  </si>
  <si>
    <t>R_395hRYENYhsB6m1</t>
  </si>
  <si>
    <t>I hung out with my best friend when I was a teenager.   We were in San Diego in a rented condo.  We drank and danced to 80s music!  I kicked her butt in air hockey and we went to the zoo.  Shout out to Dassi.  I love you! Cant wait to do it again!  Let's go whale watching next time.</t>
  </si>
  <si>
    <t>Happy Birthday my Kub.  I love you so much and am praying that God blesses you with peace and happiness this year.  I know God is good, he brought me to you.   You are the best thing that has ever happened to me.  I pray for many more years together.  Love your Kewgar.  Happy Birthday my rub.</t>
  </si>
  <si>
    <t>66a7d0cf364864abc49f3a4a</t>
  </si>
  <si>
    <t>174.181.46.34</t>
  </si>
  <si>
    <t>R_3DSl2eKZbV0kJ73</t>
  </si>
  <si>
    <t>Times Like This🥰Life can be complicated, but my people make it all worth it. My loved ones are what keep me going. Whether we go for drinks, go out to eat, or are just kicked back smoking and talking. I don't know where I would be without them. I'm so blessed to be able to call you guys my family. All glory to God.</t>
  </si>
  <si>
    <t>HAPPY BIRTHDAY BABYGIRL🎂💖I am so proud of you for making it another year. Even when times are tough you always keep that spark. I love you so much. You really show me what real love is. I don't know where I'd be without you. Another year and forever to go for us baby. I love you so much and I'm so blessed to have you.</t>
  </si>
  <si>
    <t>6706ab788354be204ade932b</t>
  </si>
  <si>
    <t>Love,Thankfulness</t>
  </si>
  <si>
    <t>5.151.156.70</t>
  </si>
  <si>
    <t>R_2QyiNkRK3qqULav</t>
  </si>
  <si>
    <t>Just got back from a reunion with some friends from back home! These guys always had my back, except when it comes to telling me I'm any good at bowling or mini golf :0 Then again, the drinks probably messed my aim up a litttle bit. Hope to see you guys soon!! Keep it real @xComedyCheesex @Crazygamer05 @7evenup</t>
  </si>
  <si>
    <t>To this beautiful girl who was a stranger up until 10 months ago, happy birthday my love, I hope that we can spend many more together! P.S. Don't tell anyone I forgot the cake and had to ask you to bake us another one to save myself from the embarassment. Love you lots! Have the best birthday ever &amp;lt;3</t>
  </si>
  <si>
    <t>6416533bd4ee6639c3df6040</t>
  </si>
  <si>
    <t>Hard</t>
  </si>
  <si>
    <t>86.174.176.63</t>
  </si>
  <si>
    <t>R_2EZrcIuHvrRO1G9</t>
  </si>
  <si>
    <t>went to a great birthday party today at the drummond park animal experience
centre with ash, jen, jodie jake, alex and all the rest of the crew.  loved watching the
monkeys antics.  the lion cubs were so cute.  alex ate too much cake and looked alittle
green jake punched him in the stomach to sicee if he could make him sick ..</t>
  </si>
  <si>
    <t>wow!  another landmark birthday.  we are all so looking forward to your birthday
bash at Fisher's restaurant.  can't believe you've come this far despite all the
hoops you've had to jump through in the past few years,  what an achievement
well done you.  I know you said no presents but well suspect there may still be one or two surprises</t>
  </si>
  <si>
    <t>577e3a5025cb71000128727e</t>
  </si>
  <si>
    <t>82.36.121.239</t>
  </si>
  <si>
    <t>R_8cA4APD1NOcT3fL</t>
  </si>
  <si>
    <t xml:space="preserve">Finally! The stars aligned and we were able to go out together! What a wild time we've had, you would think that we were in 2004 living our best life at XXX university! The venue was just perfect, and by the look of the videos, despite turning 40 we can still bust a move like when we were 20! </t>
  </si>
  <si>
    <t>My darling partner, wishing you the best birthday ever (yet!). Just like fine wine you've aged amazingly well, the salt and pepper look really becomes you! I hope you will enjoy the celebrations we planned for you today, fear not we'll keep it low key and definitely not party like we did for your thirtieth!</t>
  </si>
  <si>
    <t>66fead1918de99938b57b217</t>
  </si>
  <si>
    <t>92.19.21.217</t>
  </si>
  <si>
    <t>R_8IE54vQD8Qwqsla</t>
  </si>
  <si>
    <t>School reunion gathering, fun night with all. Lots of laughs and embarrassing stories which may or may not have been true. It was great to catch up with everyone again after so long. Let's not leave it so long next time. Here's to being not to old to dance the night away in true school disco style.</t>
  </si>
  <si>
    <t>He has finally made it another year older. I don't know how he has reached this great milestone—happy Birthday to the three-score and ten-year-old man I love. It would not be your birthday without a post like this. Your turn next to embarrass me. Here to cake, fizz and a fun-filled day of surprises.</t>
  </si>
  <si>
    <t>63c553434f75911d5ec08571</t>
  </si>
  <si>
    <t>31.49.225.26</t>
  </si>
  <si>
    <t>R_2plrbJWROQb79Qs</t>
  </si>
  <si>
    <t>So exciting to catch up with everyone! Being in our thirties means meeting up takes at least ten conversations about the event, at least one cancellation, minimum two babies and a stray husband. Glad this one made it out of the group chat. To next time; hopefully it doesn't take eight months ;)</t>
  </si>
  <si>
    <t>Turning 30 has never looked better. Spending our twenties together was incredible; the highs, the lows, but most importantly being with you. So excited to spend the rest of my life with you. Happy birthday to the love of my life. You have changed my life in the most incredible way and you are so special to me. Cheers to my favourite person. I love you.</t>
  </si>
  <si>
    <t>57473cf37fd0ec000db68466</t>
  </si>
  <si>
    <t>82.132.228.139</t>
  </si>
  <si>
    <t>R_2aaGfg9BUytDOPV</t>
  </si>
  <si>
    <t>Wow. Having a great time catching up with old childhood friends after over 50 years! We haven't changed a bit 😉😂.  Other than having several marriages, 18 children and 7 grandchildren between us. Life has definitely been a journey and pretty good to all of us 🥰. Lets not leave it another 50 years to catch up ❤❤</t>
  </si>
  <si>
    <t>Happy Birthday to this amazing man who I'm so proud to call my husband and father of my chidren. Hope you have an absolutely brilliant day and so glad i get to share it with you. You're definitely like a fine wine and get better and better with each passing year. All my love forever and always ❤</t>
  </si>
  <si>
    <t>5dc5ab2bd9873541c1569918</t>
  </si>
  <si>
    <t>Love,Trust,Joy</t>
  </si>
  <si>
    <t>90.193.36.35</t>
  </si>
  <si>
    <t>R_24UYIAdNtHKiDpT</t>
  </si>
  <si>
    <t>Good times with old friends! Great catch up and a nostalgic trip down memory lane with childhood pals. Food, drinks, music, games and great chat! Venue was great too with great service, would highly recommend. Thanks to all for coming. Should make this a regular thing, so heres to the next one!</t>
  </si>
  <si>
    <t>A very happy birthday to my incredible wife! you are the most loving, strong and inspirational person that i know, and i am privileged to have you in my life. Congratulations on all that you have achieved and your recent success, long may it continue. thanks for many memories and look forward to creating many more with you.</t>
  </si>
  <si>
    <t>5c51c71e556ac300018be1b7</t>
  </si>
  <si>
    <t>86.171.149.174</t>
  </si>
  <si>
    <t>R_8Y4XeO2093FCZC5</t>
  </si>
  <si>
    <t xml:space="preserve">It had been a long time coming, I met my childhood friends after nearly 10 years. We certainly had plenty of banter and catch up talk to go through. It is amazing how we have all gone down different routes yet have had similar childhood experiences. It was also interesting how our personality traits are still noticeable from all that time ago. </t>
  </si>
  <si>
    <t xml:space="preserve">Happy Birthday! Many happy returns and I hope you have a wonderful dream fulled day! Looking forward to going out to celebrate your Birthday. Hope you liked all your presents. I am sure it will be a day to remember with all the celebrations. Love you loads and wishing you all the best. </t>
  </si>
  <si>
    <t>59d8d3aeea41450001ec79b0</t>
  </si>
  <si>
    <t>176.26.166.121</t>
  </si>
  <si>
    <t>R_2ANjwvD8lOgoDlN</t>
  </si>
  <si>
    <t>An unforgettable day with childhood friends! A magical day reminicising together and catching up after so long. Doesn’t matter how long it’s been we all slot back together like no time has passed at all. Watching our kids play together and seeing the cycles of life begin all over again is so emotional. Love you all xx #westhillgang #pyegreenmassive #childhood #friends</t>
  </si>
  <si>
    <t>Happy Birthday to my best friend, the best husband and dad in the world! I’ve celebrated 13 of your birthdays with you and every day in between and for all the chats and hugs, the love, the tough times, it is never ever enough. I look forward to seeing you every morning, I can’t wait to see you after work every day. The love of my life, I am so in love with you. Happy Birthday, my love xxx</t>
  </si>
  <si>
    <t>6139bb7008f1e7f556c8b7d2</t>
  </si>
  <si>
    <t>91.124.134.74</t>
  </si>
  <si>
    <t>R_7QM2JKoB9kuvsjX</t>
  </si>
  <si>
    <t>Had the best time ca tching up with my chilidhood friends last night! It’s amazing how, despite t he years, we fall riight back into those silly jokes and shared memories. From playing games in the backyard to reminis cing about our wild adventures, it was a great reminder of the b onds that shaped us</t>
  </si>
  <si>
    <t>Happy Birtihday to the love of my life! i’m so grateful for every moment we share together. You bring so mucih joy and laughter into my world. I can’t wait to celebrate you today and make more amazinng memories! Here’s to another year of love, adventure, and all your dreams coming true. You deserve the best!</t>
  </si>
  <si>
    <t>667ac1826ce22f03fab354c3</t>
  </si>
  <si>
    <t>109.159.2.191</t>
  </si>
  <si>
    <t>R_8EpjoJoX6DeY4TS</t>
  </si>
  <si>
    <t>Was lucky enough to recently meet up and have an amazing time catching up with old friends from school who I hadn't seen in years, these are the people who made my childhood and shaped me into the person i am now so to see them all again and share memories was unbelievable, hopefully do it again soon</t>
  </si>
  <si>
    <t xml:space="preserve">Happy birthday to my amazing partner, hope you have an fantastic day, thank you for everything you have done for me since the first moment I met you and putting up with me all the time, wishing you an amazing day and I've got a lot planned that will hopefully give you the day you deserve and to spoil you </t>
  </si>
  <si>
    <t>5b031e450a56660001284e2c</t>
  </si>
  <si>
    <t>2.98.10.99</t>
  </si>
  <si>
    <t>R_8Pj6Bief4QczLdS</t>
  </si>
  <si>
    <t>Loved loved loved seeing these guys today…the original OG’s from way back when I still had a fringe, wore double denim and was reading Shout magazine. Wah life goes by so fast.
I’m so lucky to have these guys still in my life today, we need to make these meet ups a more regular thing!</t>
  </si>
  <si>
    <t>Happy Birthday to our one and only, our jam in the sandwich… have the best day. Me and the boys will be on our best behaviour today so get some rest and do something you enjoy. We love you along with everyone else who knows you. Wishing you the best of health wealth and happiness.</t>
  </si>
  <si>
    <t>66a517feaf4252a732984fa8</t>
  </si>
  <si>
    <t>82.33.189.177</t>
  </si>
  <si>
    <t>R_2lFhzSwpYO5XDG6</t>
  </si>
  <si>
    <t>After all these years it's very interesting seeing how everyone I grew up with has changed, it's almost as if I was talking to two different versions of people from parallel universes, one a complete immature and incompetent buffon, the other a sophisticated and well mannered individual. It's crazy how time flies!</t>
  </si>
  <si>
    <t>From cheerleader to married, I'm so appreciative of all the things you have done for me, and our family. Helping us financially or help cope with illness, I knew I made the right decision engaging with a nurse.I'm so glad that you came into my life and that we'll one day exit together. Happy 26th birthday my love!</t>
  </si>
  <si>
    <t>66e6c3a7b04be3c08b154199</t>
  </si>
  <si>
    <t>92.40.219.203</t>
  </si>
  <si>
    <t>R_8PtDNasRgljjUBf</t>
  </si>
  <si>
    <t xml:space="preserve">My oldest and dearest friends gathered at the weekend to celebrate 30 years since leaving school. Much laughing and getting over how much we had all aged. Looking back at our old school photos was hilarious. Some of us didn't even recognise ourselves. We had such a good time that we decided to make this an annual event </t>
  </si>
  <si>
    <t>The most important person in my life achieves a milestone birthday today. Congratulations on your 50th and may we share many more happy years together. Unfortunately it's all downhill from here. Buckle up for the coming mid life crisis and keep smiling. These can be the best years of life with the right attitude. Get writing that bucket list and let's see the world ticking them off.</t>
  </si>
  <si>
    <t>5a0c036857cee70001767a58</t>
  </si>
  <si>
    <t>suggestions</t>
  </si>
  <si>
    <t>86.30.7.205</t>
  </si>
  <si>
    <t>R_22meBfLxG74xar8</t>
  </si>
  <si>
    <t>After all this time , the 5 of us still have our meet ups!  We just carry on chatting as though  we met yesterday and it's not just a yearly event. Great friends,  really lucky to be still in touch .
Luckily we're all in Good health... apart from a few old age creaks and cracks.
Already planned next year venue.</t>
  </si>
  <si>
    <t>Well the next year is upon us! Yep you're having another birthday... watch out for an influx of children later , and be prepared for a lot of noise.
Just because you're a year older,  doesn't mean you can get a quiet life!
Glad you're my husband...
Happy birthday xxxx  and many more  to come xxxx</t>
  </si>
  <si>
    <t>59a325d98d2b1600011b3f96</t>
  </si>
  <si>
    <t>Positive</t>
  </si>
  <si>
    <t>31.94.28.149</t>
  </si>
  <si>
    <t>R_8IovVSwNXKseJGF</t>
  </si>
  <si>
    <t>What a weekend we have just had catching up with my childhood friends. The sun made a special appearance for us and it felt like the gods were looking out for us!
We ate, drank, laughed and shopped our hearts out.
Thank you for this special time together and can’t wait to do this again ☺️😎❤️🍷</t>
  </si>
  <si>
    <t>Happy birthday to you, my wonderful husband. Can’t wait to shower you with your gifts and take you out and celebrate you. We will go to your favourite restaurant 😜
Congratulations 🙌 on this your special birthday 🎁 🍷 let’s have lots of funnnnn!!
Love you very much, see you later my darling xxxxx</t>
  </si>
  <si>
    <t>616d97114eff93a1ea6332df</t>
  </si>
  <si>
    <t>90.246.36.88</t>
  </si>
  <si>
    <t>R_2rMtELdljwA1DCJ</t>
  </si>
  <si>
    <t>Long awaited catch up with life long friends!  Why has it taken so long? It was so good to catch up with everybody.  It has been so great seeing how we have all changed and grown both physically and spiritually.  Let me know who is up for making this an annual event? Please let me know.  I am happy to organise it.  Feeling blessed.  Cheers everyone!</t>
  </si>
  <si>
    <t>Happy birthday to the best and most wonderful husband I could ever ask for xx  Thank you for everything you do. Thank you for being an awesome dad to our two children. Enjoy your day and look forward the birthday celebrations tonight.  Enjoy your gifts. 
 You  so deserve them.  Love as always.</t>
  </si>
  <si>
    <t>66d06140564a084d32a0f6f4</t>
  </si>
  <si>
    <t>86.157.110.248</t>
  </si>
  <si>
    <t>R_21MgugWmll98NVB</t>
  </si>
  <si>
    <t>A great thank you to my best childhood friends for organising this heart-warming event.
Emily, Sandra and Beckie - you are the best! 
Lots of stories and pictures were shared and we all thoroughly enjoyed a crazy ride down memory lane. It was great to see you all and see how you all got on in your lives girls!
Can't wait to do this again next year!</t>
  </si>
  <si>
    <t xml:space="preserve">A very Happy birthday to my bestie!!! Roy, I want you to know that you are the best thing that ever happened to me. I am so glad we met and I love you unconditionally. I hope you have the best day celebrating your 40th birthday and I'm so here for it. 
You have touched the lives of so many people including mine and we are forever grateful for your optimistic, caring, and kind personality, hope you'll never change!
</t>
  </si>
  <si>
    <t>5fb6a1222d290f0a260c08e3</t>
  </si>
  <si>
    <t>172.56.116.129</t>
  </si>
  <si>
    <t>R_1JSy4L0WKY76eS5</t>
  </si>
  <si>
    <t xml:space="preserve">Back with the besties! Hanging with my buds from grade school… can’t believe how long it’s been. After all this time they all still get it. Anyone who want to get a drink come on by. High school may have been fifteen years ago but it still feels like we graduated just yesterday. </t>
  </si>
  <si>
    <t xml:space="preserve">Happy birthday to my best friend and partner in crime. It’s crazy all we’ve been through in the past fifteen years. Through all the ups and downs you have always been there for me. I couldn’t ask for a better person to share my life with. Happy birthday and here’s to the next decade together. </t>
  </si>
  <si>
    <t>6705dad605f9b4dacd08bdbd</t>
  </si>
  <si>
    <t>86.4.19.220</t>
  </si>
  <si>
    <t>R_2Ldp2QtOGQ2WpFm</t>
  </si>
  <si>
    <t xml:space="preserve">just been to a reunion with my childhood friends and it was a great night and i would like to thank them all for great night.
 it brought back some good memorys and good times. at least this time we got drunk legally and didn't have to run off when we got caught.
i think we  should all do it again in the very near future. </t>
  </si>
  <si>
    <t xml:space="preserve">i would like to wish my better half a very happy birthday and i hope you have a very good day. you are the best thing that ever happened to me and i would be lost with out you.
 i've got a few special things planned for us to do for your birthday and i hope you will enjoy yourself.
</t>
  </si>
  <si>
    <t>66ccea0717ffecf7d719d1b9</t>
  </si>
  <si>
    <t>82.38.93.192</t>
  </si>
  <si>
    <t>R_837MCL7Dqoqy6PW</t>
  </si>
  <si>
    <t xml:space="preserve">Had a great catchup with my old friends today. It had been too long since we had last spoke with each other. Met up at a local pub and had some nice drinks and a great dinner. There was a show on across the road and we jumped over there after a few beers. Thanks for organising it guys and let's not wait too long for the next one! </t>
  </si>
  <si>
    <t>Happy birthday, babe! Where has the year gone? It felt like only last month we were talking about our plans for the year and now nearly a whole other year has gone by. Don't feel too worked up about your age because I know it gets to you, sometimes. We'll go out and enjoy ourselves and treat it like an 18th to make you happy. Remember, it's better to be over the hill than buried under it.</t>
  </si>
  <si>
    <t>5b258c9ba7cee100011d8aad</t>
  </si>
  <si>
    <t>response needed</t>
  </si>
  <si>
    <t>Negative</t>
  </si>
  <si>
    <t>86.21.94.47</t>
  </si>
  <si>
    <t>R_8dbtj6FCCYKCVNk</t>
  </si>
  <si>
    <t>I had the best time today, joining together with the girls I grew up with! We shared memories, laughed at our ridiculous behaviour (and outfits, though the less said about that, the better!). It was utterly joyful, and a real throwback to a much simpler time. Like therapy for the soul. I'm very excited to do it again very soon.</t>
  </si>
  <si>
    <t>I've never made a secret of how proud I am of my husband. I'm his biggest cheerleader and No.1 fan! As he approaches his 40th birthday, I want to thank him for our last 20 years together and congratulate him on every single achievement in his life! His children, his dedication to helping others and his commitment to being the best person he can be. So proud of you, darling! Love you lots xx</t>
  </si>
  <si>
    <t>66d076c43e5884e2da9ba056</t>
  </si>
  <si>
    <t>86.11.121.82</t>
  </si>
  <si>
    <t>R_8g0mK4QeoySPO9j</t>
  </si>
  <si>
    <t xml:space="preserve">After some years, I was finally able to spend some time with my old pal X from back home. It feels unreal to spend time with them after so many years spent apart and after so many things happened, whether it was moving abroad, new jobs or big family events. X you mean a lot and I cherish our friendship </t>
  </si>
  <si>
    <t>I still can't express how lucky I am to have you in my life, ever since I met you, you have been a integral part of my life and I can't express how much you mean to me and how much I love you. Happy birthday, I really mean that, wish you a happy birthday and may the years be kind to us</t>
  </si>
  <si>
    <t>5b23e494ac467800010cfdac</t>
  </si>
  <si>
    <t>78.151.124.99</t>
  </si>
  <si>
    <t>R_2SeHr13W7JMkh9o</t>
  </si>
  <si>
    <t xml:space="preserve">chlilling with my longest know friends. I can't believe we've known each other for as long as we have. I treasure this and I hope I can continue my life with you guys until the very end. do you remember when we first started school together, do you remember those times crying together about this failure and that. do you remember the times that we got to celebrate this achievement and that quality? </t>
  </si>
  <si>
    <t>Happy birhday my love. Here's to many more to come. You've grown so much this year and I'm so glad that we're celebrating our tenth year together. Hope you love your gifts and surprises. And thank you to everyone who wishes us the best. happy birthday to you, happy birthday to your mother and farther who birthed such a wonderful being</t>
  </si>
  <si>
    <t>5c5d43a4044f100001a4a3b5</t>
  </si>
  <si>
    <t>82.11.6.7</t>
  </si>
  <si>
    <t>R_8kc9LX8URsP5X0R</t>
  </si>
  <si>
    <t>Had an amazing night catching up with my childhood friends! It’s been way too long since we all got together. We reminisced about our wild adventures and laughed until our sides hurt. It’s crazy how some things never change, like our inside jokes and silly stories. Grateful for these friendships that stand the test of time! Can’t wait for the next reunion!</t>
  </si>
  <si>
    <t xml:space="preserve">
Happy birthday to the love of my life! You bring so much joy and laughter into my world, and I’m endlessly grateful for every moment we share. Your kindness, strength, and passion inspire me every day. Here’s to celebrating you today and all the amazing adventures ahead! Can’t wait to spoil you and make this day unforgettable. Love you to the moon and back!</t>
  </si>
  <si>
    <t>67128bc15cc59b4c123f98f7</t>
  </si>
  <si>
    <t>71.115.26.42</t>
  </si>
  <si>
    <t>R_3NOq4xsrkj0jGcr</t>
  </si>
  <si>
    <t>had fun today! got to see my friends that i've grown up with. im grateful to go through life with them and to see them grow as people. every accomplishment i will be there for becauase i know they will be there for me. i am truly grateful to have such a strong group of people around me and to uplift me.</t>
  </si>
  <si>
    <t>happy birthday my love. i am so proud of you. you are my best friend, my ace, my rock. i love you more than every. you keep me on my feet and you never let my crown tip. even trhrough all the trials and tribulations. i am lucky to have someone like you in my corner. you never fail to make me happt</t>
  </si>
  <si>
    <t>6711278767fd7d0ba7e82ebf</t>
  </si>
  <si>
    <t>82.20.15.26</t>
  </si>
  <si>
    <t>R_8O30iQikGK7EYog</t>
  </si>
  <si>
    <t>So good to see these guys again, especially those I haven't seen for years. Brings me right back to the days of playing Minecraft together. Spent a great day in London together, going to a café and exploring all the places we used to go together, it was a really great day, and I'm definitely up to do it again.</t>
  </si>
  <si>
    <t>Another year since birth for my favourite person on the planet, here's to many many many more together. I cannot express how much I love you, and I hope our day together lived up to that. We went to a really nice restaurant in town, which i would highly recommend everyone visits.</t>
  </si>
  <si>
    <t>6728b1f4fe2f3ae23c9c086e</t>
  </si>
  <si>
    <t>176.254.107.164</t>
  </si>
  <si>
    <t>R_8duJtqdlv8R1T55</t>
  </si>
  <si>
    <t>Back together again after 35 years! Childhood friends from Newton in Warwickshire reliving our fond memories of all the adventures and special times we shared together. At this moment it doesn’t seem that 35 years have passed. Sadly a few people couldn’t make it today and they are missed. Looking forward already to our next get together.</t>
  </si>
  <si>
    <t>Today’s your special birthday &amp;lt;cough&amp;gt; I hope that you enjoy all the things I have planned for you today. And the celebrations will continue long into the night with more birthday surprises. You deserve every single one of them! Thank you for all that you do and for being you! Let’s go and celebrate! Lots of love always xxxxxx</t>
  </si>
  <si>
    <t>647b06286361b427361fced5</t>
  </si>
  <si>
    <t>92.40.189.137</t>
  </si>
  <si>
    <t>R_2t9fSPOd9z8Y8Vs</t>
  </si>
  <si>
    <t>Good to finally get back together with the crew haha, been a long time coming but definitely worth the wait. All those memories, all the good times and the best part about it, we get to recreate those memories and relive them every time we talk about them. Good to see everytime. Until the next time!</t>
  </si>
  <si>
    <t>Happy birthday to the most gorgeous girl i've ever laid eyes on in my entire life. I always felt as though i was missing something in life, and now that i've found you i finally feel whole. I hope you have the best day and i hope you get everything you want out of life. Love you. I'll be raising a glass today, To more happiness and more memories!</t>
  </si>
  <si>
    <t>62c5ebe612c40c7e32390bf6</t>
  </si>
  <si>
    <t>86.158.149.194</t>
  </si>
  <si>
    <t>R_2xyhTCq21He2Ury</t>
  </si>
  <si>
    <t>How time surely flies meeting up with my old class for 08” has brought back so many good memories and some much nostalgia but glad today we are here together again and making more new memories. Growing up we always talked about this moment and how memorable it would be to be able to actually do after 10 years feels so surreal, am glad we meet so many years ago wouldn’t ask for more # when friends become family 😍😍</t>
  </si>
  <si>
    <t>when we meet online a few ago i never would imagined we would be celebrating your 34th  birthday together in this moment. I wish you many more birthdays ahead and wanted to let you know you are truly loved and appreciated everyday you bring love and warmth into our lives i could not ask for more. Many this birthday be everything you wish for and more and hope you age gracefully and we will celebrate many more birthdays together ❤️‍🔥❤️‍🔥</t>
  </si>
  <si>
    <t>6703a756fd3fe9cd2e047a13</t>
  </si>
  <si>
    <t>62.252.130.4</t>
  </si>
  <si>
    <t>R_2GbRcRBugdT4iaJ</t>
  </si>
  <si>
    <t>I visited some of my childhood friends that I haven't seen in many years. We reminisced about all of the good times we experienced together and had a fun time for many hours down at the local bar. I talked with many friends who I had even forgot existed, but we sat down at remembered many moments we shared together.</t>
  </si>
  <si>
    <t>Happy birthday to my significant other. They are such an amazing person and I am glad to have spent the last few years of my life with them. I am already looking forward to spending the future and hopefully the rest of my life with them. We have already spent so many good moments together.</t>
  </si>
  <si>
    <t>5b826da908ee760001522a91</t>
  </si>
  <si>
    <t>82.132.229.119</t>
  </si>
  <si>
    <t>R_2EMeu7ZMtQWBhMf</t>
  </si>
  <si>
    <t>Such a crazy time with my bro from childhood. We got to this house party which was full of vibes. From the time we got there we knew it was going to be special. The decoration on the house was amazing. Massive shout out to whoever made the ribs, chicken wings and burgers - 10/10. Music was on point, dancing was on point too. We need to do this again.</t>
  </si>
  <si>
    <t xml:space="preserve">Just want to send a special happy birthday to my wife - my best friend, my advisor, my partner in crime and in love. Your patience, kind heart, focus, intelligence and your resilience in the face of life's obstacles makes me so lucky to be called your husband. To witness and stand by the woman you've grown into is amazing. I look forward to celebrating many more birthdays with you. Happy birthday my love. </t>
  </si>
  <si>
    <t>6726a867380108f5d91d0421</t>
  </si>
  <si>
    <t>86.21.196.32</t>
  </si>
  <si>
    <t>R_8jlcslVgqBCpNgn</t>
  </si>
  <si>
    <t>I am really happy I attended this event as it really exposed me to a lot of persons I have not seen for a while. I was able to catch on things I have missed about my guys and reconnecting with them really gladdens my heart. I will quickly connect them on all social media network to sustain the relationship so as not to lose. Thank you guys.</t>
  </si>
  <si>
    <t xml:space="preserve">A superlative birthday shout out to my you my guy!
You have really done well in your career and I am so happy for you on this special occassion of yours. The Lord bless you real good brother.
I would have come around to say hello, but I am really busy right now.
Enjoy your day to the fullest and avoid trouble at all cost my guy.
</t>
  </si>
  <si>
    <t>67279f98f8c1c5c6f501d4ce</t>
  </si>
  <si>
    <t>86.175.250.168</t>
  </si>
  <si>
    <t>R_27M0Heq5GDRTbnr</t>
  </si>
  <si>
    <t>It feels so good to have the gang back together again! we had a lush dinner at Il Michelangelo and won a few games of bowling over at AllStars xoxo we loved reliving the same excitement from when we were young ~ that was 13 years ago! :O &amp;lt;3 P.S. no one noticed that my heel was starting to break...</t>
  </si>
  <si>
    <t>my darling, my dearest. I couldn't imagine life without you and your dimpled smiles and cuddles. when life gets tough, you're there for me and me for you. I feel so blessed that we found each other and that we get to share this adventure of life together. You've hit a quarter of a century and here's to many more. I love you, happy birthday! &amp;lt;3</t>
  </si>
  <si>
    <t>6672d93986a3b66d0d304aa4</t>
  </si>
  <si>
    <t>78.151.56.248</t>
  </si>
  <si>
    <t>R_2PdXtzwP2eWRpXR</t>
  </si>
  <si>
    <t xml:space="preserve">Saw one of my very good friends today! It was quite nostalgic; all those laughter and stories we never get to tell anyone else. He began kidding around and it was like, no time had elapsed and we were back in our childhood or teenage years telling stories of the places we used to hang around. One thing I’ve always grown to appreciate is the ability of friends to know you when you were still young and still support you to date. Thank you to people like this and for creating so many more wonderful memories! Cheers to the uncovered moments.  #Tbt #blessedfriends </t>
  </si>
  <si>
    <t xml:space="preserve">It is another great day for the love of my life, Happy Birthday to you! Today i celebrate you. You always bring so much joy and happiness in to my life, not to mention the patient and constant support. Thanks for every day, all the fun we have, the trips we take, the moments that matters to each of us. Happy anniversary to us yet again, Cheers to many more impressive years together by our side. Happy birthday to you and lots of happiness that you will be showered with today! #BirthdayWishes #BirthdayBoy </t>
  </si>
  <si>
    <t>6728ecedf5bbc7e4c0d02332</t>
  </si>
  <si>
    <t>147.148.117.208</t>
  </si>
  <si>
    <t>R_2qanP6MVzMUZpWF</t>
  </si>
  <si>
    <t>What a blast from the past it was last night!   50 years since we all left Morgan and went out into the big wide world.   It was amazing to see some of the old faces, some I barely recognised while with others we went straight back to third year French class!  Awesome to catch up with Brucie, Govie and Tich, but sobering to hear about those who are no longer with us.   Be grateful for every day.</t>
  </si>
  <si>
    <t>Woo hoo!  Bill is 70!   How did I come to be married to such an old man???   Thank you for putting up with me for all these years and am looking forward to celebrating with you tonight.  Play your cards right - I might just have a wee surprise for you later on!  In the meantime enjoy your cake, it's your favourite!</t>
  </si>
  <si>
    <t>6716822eb9d3278193c791ad</t>
  </si>
  <si>
    <t>107.180.174.126</t>
  </si>
  <si>
    <t>R_3KlQgSpFbgpI3bi</t>
  </si>
  <si>
    <t>Nothing like catching up with the people who knew you way back when life was all about playground games and ice cream. Tonight was full of laughter, nostalgia, and stories that makes sense ti us. So grateful for these lifelong friendships that pick up right where we left off, no matter how long it's been. Love childhood memories.</t>
  </si>
  <si>
    <t xml:space="preserve">Happy birthday to my fav person in this whole world. I'm so lucky to walk through life with you side by side. You bring so much joy, laughter, and love into my life every day. Cheers to another year of adventures, growth, and amazing memories together. Love you more than words could explain. #Happy birthday </t>
  </si>
  <si>
    <t>67288582b8ac67025f1b4124</t>
  </si>
  <si>
    <t>223.29.140.140</t>
  </si>
  <si>
    <t>R_7hRvdN5mDSgstbr</t>
  </si>
  <si>
    <t>it been a long time and it has been so long we see each other since childhood i moved house and left my day ones and now it is an opportunity to meet with them again we have gone through high school and tertiary institution and everybody is happy seeing each other yeah everyone is happy to meet each other and so everyone is with their family. what a joy to meet again</t>
  </si>
  <si>
    <t>happy birthday to the best friends i ever had today is a special day for you and i am happy and felicitate you on your day. long life and prosperity. what a wonderful day for you as you have been a wonderful friend it is a pleasure to share this day with you. may your heart be filled with joy and your face with smile and your day with happiness and your mind with peace</t>
  </si>
  <si>
    <t>672f2414bc0711ef951f2eba</t>
  </si>
  <si>
    <t>86.185.49.138</t>
  </si>
  <si>
    <t>R_2FLF9zYids6BLse</t>
  </si>
  <si>
    <t>As I sit with my childhood friends, the years seem to melt away. The familiar banter, the inside jokes that we’ve carried like treasures through the years, and the way we all seem to pick up right where we left off—it’s like time stands still. I catch myself laughing more freely, feeling that easy comfort I once did when the world seemed so simple. There’s something about being with people who know you in your purest form, before the world shaped you in its various ways.
The conversation flows from old memories—those endless summer days, the mischief we got into, the places we’d hide out—and then shifts to where life has taken us. There’s a warmth in seeing how far we’ve all come, and yet, we’re still those same people at our core. It’s a reminder of roots, of the strength and depth of bonds that time and distance can never fully sever. Even as we talk about new chapters and changes, I realize how much of my past is written in the pages of these friendships.
It feels like being wrapped in a blanket of shared history, and for a moment, I feel grounded again—anchored in who I was, who I am, and who I will always be to these people. The laughter, the ease, the nostalgia—it’s all a kind of reminder that some things, like friendship, never truly change.</t>
  </si>
  <si>
    <t>Another year with you feels like a gift I get to unwrap every single day. Watching you grow, laugh, and be the incredible person you are fills me with so much pride and gratitude. You are my heart, my best friend, and the person who makes everything brighter just by being you. 💫
Thank you for the countless memories we’ve already made and the many more to come. Here’s to celebrating you today (and always), to all your dreams coming true, and to the endless adventures ahead. I’m beyond lucky to walk through life with you by my side. 🎂🎉
You deserve all the happiness in the world, today and always. I love you more than words could ever say. 💖 #BirthdayQueen/King #LuckyToCallYouMine</t>
  </si>
  <si>
    <t>665c72ef8e6e166f13aee9f6</t>
  </si>
  <si>
    <t>157.231.20.77</t>
  </si>
  <si>
    <t>R_2Orb7P71kdMg16K</t>
  </si>
  <si>
    <t xml:space="preserve">so after an exciting wait - we finally all met up , Parsons meads Class of 1987. It had been a while and now we all had a few more wrinkles and grey hairs. The room was full of laughter and hugs and kisses as we all remembered the school days. we had a laugh and caught up with all the news about our families and planned the next catch up.
</t>
  </si>
  <si>
    <t>So my darling hubbie, the big day has come - the big 50. Half a century , wow who would have thought it. We have know each other for 33 years of that time, where has it gone. A few more grey hairs and wrinkles between us but we have 2 lovely kids and a great family. Happy Birthday!</t>
  </si>
  <si>
    <t>6364c680c75f0a035ba3abff</t>
  </si>
  <si>
    <t>194.81.235.30</t>
  </si>
  <si>
    <t>R_8GqcokfbjqnbKcJ</t>
  </si>
  <si>
    <t>Highschool reunion! Had such a blast hanging out with these lovely people. Thank you Annie for organising and getting us all back together for such a fun and frivolous evening. Good food, excellent drinks and brilliant company. Would definitely recommend the venue we were hanging out in. And the theme was so much fun! I think we looked amazing in our fancy dress.</t>
  </si>
  <si>
    <t>Congrats Jamie for surviving another year! It's definitely been a wild one between miving in, new job and adopting our first fur baby. I feel very lucky to be able to celebrate this birthday with you. Here we are enjoying dinner at the Sky Garden, picture taken by our lovely server for the evening. Can't wait to make more memories like this with you.</t>
  </si>
  <si>
    <t>5c97a90a93d57f001545b0d0</t>
  </si>
  <si>
    <t>2.120.79.48</t>
  </si>
  <si>
    <t>R_8txaQ6MW2yVm0Lf</t>
  </si>
  <si>
    <t>Finally back together again! Been far too long since we've seen each other but the three idiots are together and making mischief again at last. My cheeks and sides are already hurting from laughing too much. Time to set the world to rights and consume exhorbitant amounts of alcohol. Cheers!</t>
  </si>
  <si>
    <t>Happy birthday Big Ears! Just kidding, happy birthday to the loveliest man in the whole wide world! Another year older and just getting cuter (and somehow more silly) with age. Hope you have the best day with the best group of misfits and copious amounts of steak, cake an champagne! Lot's of prezzies waiting for you too!</t>
  </si>
  <si>
    <t>5d07ead6a1bdc70001799a94</t>
  </si>
  <si>
    <t>86.161.1.246</t>
  </si>
  <si>
    <t>R_25bHbHpF0oXyBwt</t>
  </si>
  <si>
    <t xml:space="preserve">Tonight I discovered that if you hang out with a bunch of people who you were friends with in school but haven't seen for approximately.... 30 mumble years...., you will spend a LOT of the time feeling just as awkward as you did when you were a teenager, a LOT of the time comparing your current need for reading glasses and/or perimenopausal symptoms, and a LOT of the time feeling as though you've blocked out half your memories. </t>
  </si>
  <si>
    <t xml:space="preserve">40 today! Happy birthday to S. At what point do you think people will stop saying "but you look about 12"? 😂 Have a great day and I'll see you later for the birthday surprise. Just one question - how do you feel about abseiling/parachute jumping/crocodile wrestling? Asking for a friend, obviously.... </t>
  </si>
  <si>
    <t>665d7f31a1345956ab238538</t>
  </si>
  <si>
    <t>86.24.78.50</t>
  </si>
  <si>
    <t>R_8dsQoK46wtRZ0Wp</t>
  </si>
  <si>
    <t xml:space="preserve">Was so great to see my childhood friends at the catch up recently.  So many old faces and memories.  It's so weird how everything has changed but also stayed the same at the same time.  Lucky to still have such a great group and a toast to those that couldn't be with us. Missed and not forgotten. xo </t>
  </si>
  <si>
    <t>Well another year older but no wiser just about sums it up!  Happiest of birthdays to my partner in crime! Expanding the birthday out over a whole weekend with drinks and dinner on our weekend getaway. Let's drink great wine and eat all the cake! London here we come. We love you xxx</t>
  </si>
  <si>
    <t>602257a4c4c9de32aa966833</t>
  </si>
  <si>
    <t>2.222.45.27</t>
  </si>
  <si>
    <t>R_2OYDMHwE5LFVhYi</t>
  </si>
  <si>
    <t xml:space="preserve">Had an amazing evening, sharing a few cheeky drinks  with some interesting people from a long time ago. It was great catching up with people from the past , sharing memories from our younger years, and sharing with everyone where life has taken us. Hopefully we won`t leave it so long before we catch up again   </t>
  </si>
  <si>
    <t>Happy 60th birthday Phil , now you can finally be the grumpy OLD man you`ve always like for the last 30 years ha ha . 
Enjoy your day , I`ll book the hearing test and eye test for next week . The zimmer frame should be delivered over the few days ha ha , until then , sit back, relax and watch your gardening programmes ( nothing new there ha ha ) xx</t>
  </si>
  <si>
    <t>671d39090c9e2ad9ec75a03c</t>
  </si>
  <si>
    <t>82.42.97.114</t>
  </si>
  <si>
    <t>R_296725Po3yV9Ecp</t>
  </si>
  <si>
    <t>Seeing all my old friends today as we gather for a meal in our favourite local restaurant has made me feel so nostalgic and happy. We all grew up together and went to the same little local school, it feels so long ago and we and the world around has changed so much, sometimes I think too much, and to able to get together and share all our memories is so comforting.</t>
  </si>
  <si>
    <t>To my lovely and supportive partner, whose birthday it is today, I hope you have a lovely need and get everything you wish for, you certainly deserve it, you have been a wonderful partner to me and such a good father to our sons, where would we be without you, you always put us first and show us you care, it means the world to us to know we have your love and support.</t>
  </si>
  <si>
    <t>5ef647ec3ce68a1178780f5a</t>
  </si>
  <si>
    <t>81.157.159.212</t>
  </si>
  <si>
    <t>R_2OV7JjXiKmfkILC</t>
  </si>
  <si>
    <t>Met up with the old gang last night and honestly it was class. Laughed way too much, talked absolute rubbish, and somehow ended up on memory lane for half the night. Everyone’s a bit more tired and creaky now but still the same idiots deep down. Proper reset, needed that. What a great one.</t>
  </si>
  <si>
    <t xml:space="preserve">Happy birthday to the one who somehow still puts up with me every day. Dunno how you do it but I’m glad you do. Hope your day’s full of your fave things (mainly food let’s be honest) and that you get spoilt like mad. Love you even when you’re a pain. thank you for everything and have a great one. xx
</t>
  </si>
  <si>
    <t>5e909d6c5321c13abee11725</t>
  </si>
  <si>
    <t>136.226.51.1</t>
  </si>
  <si>
    <t>R_6CKC2vVMfaqxjYq</t>
  </si>
  <si>
    <t xml:space="preserve">Just hanging out with my old pals. It’s been so long and I’m happy to be reunited with them. I’m looking forward to spending some much needed time with them. This should be like the good old days like back in high school. M going to tag everyone here but I’m sure that ill be missing someone </t>
  </si>
  <si>
    <t xml:space="preserve">Happy birthday baby girl. It’s been such incredible year with you and I’m so excited to be able to spend this time with you. You know how much birthdays mean to the both of us so I am honored to be spending it with you. You know that I have a dinner planned for us but I also have a few other surprises </t>
  </si>
  <si>
    <t>60fd6618f9a377f54dcdf318</t>
  </si>
  <si>
    <t>86.160.17.225</t>
  </si>
  <si>
    <t>R_8v99rveTosW9Sin</t>
  </si>
  <si>
    <t>Loving life with my day one Girls! Lovely to catch up over wine and nibbles. Enjoying the party so much, it's nice to actually sit and chat with no kids interupting us! We have been friends since primary school. You are so specical to me and we have shared so many memories over the years, from school, to teenage years, partying, houses, babies and now growing old with no grace! Heres to 30 more years! All my love xx</t>
  </si>
  <si>
    <t>Happy Birthday to the best husband, daddy, uncle, son out there. You are so special to me and the boys. You work so hard for us and are the most fun loving man known to this planet! You always put a smile on mine and the boys faces and we wouldnt know what to do without you. Have the best day and enjoy the lie in and brew in bed. All my love xxx</t>
  </si>
  <si>
    <t>60ef416bf0b42b5595e4f4c0</t>
  </si>
  <si>
    <t>67.11.109.232</t>
  </si>
  <si>
    <t>R_7PAoLfwehtOveHD</t>
  </si>
  <si>
    <t xml:space="preserve">It is always a joy to hang out with my day 1's. Truly could not be more blessed to know them. We've been through thick and thin together, and life has always brought us back together again. Cheers everyone, and to many more years of celebrating, crying, laughing, crying laughing, and savoring every bit of it. </t>
  </si>
  <si>
    <t xml:space="preserve">Happy birthday, my everything. You've showed me what it means to love somebody without expecting a single thing in return. You've fired up in me something I did not even think I had. A willingness to love freely, without any fear and with no boundaries. I love you so much and I'll always be here. Always, always. </t>
  </si>
  <si>
    <t>6638571040d1c418f87b6975</t>
  </si>
  <si>
    <t>81.129.112.94</t>
  </si>
  <si>
    <t>R_8grx2JqjPvBrOc9</t>
  </si>
  <si>
    <t>Hi everyone. Just wanted to tell you about what I have been getting up to. The other day went out to a school reunion with childhood fiends at a restaurant in town. It was just great to catch up and chat and see what had happened to them all. We had a good time, but also some had a few problems so we tried to cheer them up and give them our love and support. Let me know in Comments if this has ever happened to you and how it turned out. Love from me.</t>
  </si>
  <si>
    <t>Hi darling. You know that I think the world of you and love you loads. So I wanted to say yes- I did remember your birthday as its just such a special day. Congratulations and to me you still do not look a day older than when we first met at that friends party. Have a great day and no doubt you are wondering what I get you for your present- well Im not going to tell you as its a surprise- but you will have a great time when you see it tonight. Love form me.</t>
  </si>
  <si>
    <t>6053e01a6a8e8516ba7d47a7</t>
  </si>
  <si>
    <t>74.96.75.99</t>
  </si>
  <si>
    <t>R_71XItzDRxDsSZvH</t>
  </si>
  <si>
    <t xml:space="preserve">I am getting together with friends! We are having a great time! It feels so nice to be able to have intimacy and precious time together! Right now, we are hanging out inside at my home and later we plan to go shopping, do some singing, or watch a movie. I can't wait for dinner when we will either eat back at the house or go out to a restaurant! </t>
  </si>
  <si>
    <t xml:space="preserve">Happy birthday! Enjoy an amazing day! Celebrate and have fun on this special day. Looking forward to dinner tonight together and this weekend in nature! I can't wait for our quality time and enjoyable hike and listening to the birds chirp. Also excited about the pit stop for a nice drink and hanging out! </t>
  </si>
  <si>
    <t>5d7fd2a5987f70001602d95b</t>
  </si>
  <si>
    <t>88.209.229.86</t>
  </si>
  <si>
    <t>R_1CIXMgS9EJ8Z3aC</t>
  </si>
  <si>
    <t>Well, only if this was possible but meetin my childhood friends would be so awesome and magical. Seeing how far we have come, new parents and seeing ourselves in the future we imagined. Hoping to have achieved everything we hoped for, laughing at childhood jokes and mistakes, and planning more hangouts to keep te friendship bond stronger.</t>
  </si>
  <si>
    <t>My realest friend, I am happy to celebrate and witness your birthday. I love you so much that I believe we are one so happy birthday to you, me, us. As you celebrate this new chapter, I wish you more happiness and joy that the world can offer. Thank you for being there for me in the good times and even for standing with me in the terrible periods. I am so grateful to you for your help.</t>
  </si>
  <si>
    <t>67c451890eb65148aa1758ea</t>
  </si>
  <si>
    <t>Joy,Thankfulness,Love</t>
  </si>
  <si>
    <t>89.46.182.9</t>
  </si>
  <si>
    <t>R_5PdbnFXpzugWzes</t>
  </si>
  <si>
    <t>Reunited with my childhood crew after so many years, and it felt like no time had passed at all. Endless laughter, wild memories, and that same old energy we always had growing up. Grateful for friendships that stand the test of time. Here's to more spontaneous meetups and reliving the good old days. 💛 #ThrowbackVibes #ForeverFriends #NostalgiaMode</t>
  </si>
  <si>
    <t>Happy birthday to the one who makes my world brighter every single day. Your kindness, laughter, and love are gifts I never take for granted. I’m beyond lucky to walk through life with you. Here’s to more memories, more adventures, and all the joy your heart can hold. Love you endlessly 💫❤️ #HappyBirthday #MyPerson #GratefulForYou</t>
  </si>
  <si>
    <t>67d5ad565d7133672bf783d6</t>
  </si>
  <si>
    <t>193.237.154.2</t>
  </si>
  <si>
    <t>R_22wWVhHGnJpBt2p</t>
  </si>
  <si>
    <t>Just had the best night catching up with my childhood friends! It's amazing how no matter how much time passes, the laughs and memories always come flooding back. Feeling grateful for these lifelong bonds and all the fun stories we still share. Here's to many more nights like this!
#OldFriendsNewMemories</t>
  </si>
  <si>
    <t>Happy Birthday to the most incredible person in my life! Every day with you is a new adventure, full of love and laughter. I'm so lucky to have you by my side and I can't wait to celebrate many more birthdays together. Here is to you my love, my best friend, my everything. #BirthdayLove</t>
  </si>
  <si>
    <t>672df806e7c2f55e8e2bf477</t>
  </si>
  <si>
    <t>90.205.19.83</t>
  </si>
  <si>
    <t>R_8uJyw0XboTGiZJ7</t>
  </si>
  <si>
    <t>Amazing party with my childhood mates ,it was fantastic to catch up with each other and to see how their lives have turned out, We have laughed at our childhood antics and raised a glass to a couple of friends who are no longer with us, remembering our playing out till it got dark, playing at the park and coming home for our tea, Brilliant night guys, see you all soon</t>
  </si>
  <si>
    <t>Wishing my fantastic Hubby a very Happy Birthday today Hope you enjoy your special day and your party tonight. We are having a BBQ and a close group of family and friends are joining us to celebrate with you, you of course will be main chef in charge of the BBQ as usual as you love to do it xx</t>
  </si>
  <si>
    <t>5929d9db8bc6770001fc1e50</t>
  </si>
  <si>
    <t>89.241.242.244</t>
  </si>
  <si>
    <t>R_82ZjAZ2C30Lg11v</t>
  </si>
  <si>
    <t>There’s something truly special about being with the people who knew you before life got serious. Spent the evening with my childhood friends, and it felt like stepping back into a simpler, purer time. We laughed until our cheeks hurt, shared stories only we could understand, and just enjoyed each other’s company. Moments like these remind me how far we’ve come and how important it is to stay grounded.</t>
  </si>
  <si>
    <t>Happy birthday, my love. You’re not just the person I laugh with, grow with, and dream with. You’re the one who sees me, truly sees me, even in my quietest moments. Your kindness, your strength, your heart… they inspire me every day. I’m so thankful for the love we share and the life we’re building. Today, I celebrate you, all that you are, and all you’re becoming. I love you more than words ever quite capture.</t>
  </si>
  <si>
    <t>6773dea609f77d473900997a</t>
  </si>
  <si>
    <t>81.109.155.114</t>
  </si>
  <si>
    <t>R_8dX4ONNR6VOlakV</t>
  </si>
  <si>
    <t>have you ever felt nostalgia before? i know i am experiencing it right now, having the best afternoon with my childhood primary school friends. when you have thought a friendship or memory had diminished then you meet back up with them to feel that spark again, you know it is true ♡ so thankful for you guys, thank you for an amazing afternoon we will certainly have to do it again ♡</t>
  </si>
  <si>
    <t>♡ just wanted to wish a very happy birthday to my boyfriend of three years richard, thank you for everything you have done and do for me and i want you to know how much i appreciate you. i will see you later to celebrate, i may have a surprise or two up my sleeve but i promise you will remember the night just like you deserve. i love you x ♡</t>
  </si>
  <si>
    <t>604fa685e33606f9a0ee8189</t>
  </si>
  <si>
    <t>68.202.199.94</t>
  </si>
  <si>
    <t>R_3F949RtfLqGIgrS</t>
  </si>
  <si>
    <t xml:space="preserve">Wow, it was great getting together with a bunch of friends from my youth. Some faces and physiques have changed drastically while some people look remarkably the same. Such fun reuniting and reminiscing about the many fun times we shared in our childhood years. Hope to get together again soon!  </t>
  </si>
  <si>
    <t>I want to wish a very happy birthday to the person who means the most to me in this life. You grow more radiant and beautiful with each passing year. We have now shared many of these birthday celebrations together and with good health and some good luck, I hope we'll share many more. I love you !</t>
  </si>
  <si>
    <t>6272bd000471b3d9ed5d4da5</t>
  </si>
  <si>
    <t>208.56.157.103</t>
  </si>
  <si>
    <t>R_6oBwWfRy0aBvZzb</t>
  </si>
  <si>
    <t>It's really nice to catch up with old friends. It's crazy to see how much everyone has changed. I didn't know if I'd ever see any of them again. The only downside is having to hear some embarrassing stories being retold. That's a small price to pay though. I wonder if we will ever all be in the same room again.</t>
  </si>
  <si>
    <t xml:space="preserve">Hello sweetheart! Happy birthday. I feel really lucky to be able to celebrate this special day with you. I hope you have a very good day and know that you are cared for and loved by a lot of people, and that a lot of peoples lives are better just because you are in it :D. I hope to spend many more with you! I love you. </t>
  </si>
  <si>
    <t>559c3b0efdf99b32b6963e81</t>
  </si>
  <si>
    <t>104.178.81.218</t>
  </si>
  <si>
    <t>R_3ROJAgTG7iCCpyO</t>
  </si>
  <si>
    <t>Having an amazing time with my childhood friends! They are getting old like me, lol! This time together reminds me of the old days. I'm glad that we're still alive and kicking. I think we need to do this more often! Remember to hug your loved ones today, because you may not get tomorrow...</t>
  </si>
  <si>
    <t>Happy birthday to the most spectacular person on the planet. Your giving and loving is a testament to the wonderful person that you are. Be sure that you remind yourself that you are not getting older, you're leveling up! Cheers to many more awesome days together and I hope that today is everything you hoped for.</t>
  </si>
  <si>
    <t>66592dfcb3c1b6f73d81495c</t>
  </si>
  <si>
    <t>216.231.46.219</t>
  </si>
  <si>
    <t>R_78P3JnWu0ANlwrk</t>
  </si>
  <si>
    <t>Hello guys. I'm here with my best friends, with whom I've been together since I was a kid. We have been through a lot, and we have done crazy things with these amazing humans.
Among these friends, on the left is Marcus, followed by Tonny, and last is Zachary. Now, we're here to celebrate 20 years of friendship with these amazing people that turned into family members. I'll keep you updated, guys.</t>
  </si>
  <si>
    <t>Today is a wonderful day that I celebrate the birthday of one of my most amazing humans, mother to my kids, my best friend, and all in all, my lover. It has been 8 years of ups and downs, good moments, bad moments, and all in all I thank God for giving me such a soul. I'm blessed to have you as my babe, sweetheart, and mom to my kids. Cheers.</t>
  </si>
  <si>
    <t>67ccc62a623f466a4ad19371</t>
  </si>
  <si>
    <t>167.253.22.238</t>
  </si>
  <si>
    <t>R_5nN6xvHX7oSMhRD</t>
  </si>
  <si>
    <t>some nights are just good for the soul. Got to catch up with the people who knew me when I was still figuring out who I was (and rocking some questionable hairstyles). Laughed way too hard, told stories we’ve told a hundred times, and made a few new memories too. Grateful for lifelong friendships that still feel like home. #ThrowbackFeels #LifelongFriends</t>
  </si>
  <si>
    <t xml:space="preserve">Happy birthday to the one who makes every ordinary day feel extraordinary. Your heart, your laughter, your relentless support, I’m so lucky to do life with you. Here’s to more adventures, deep talks, and coffee-fueled mornings. You deserve all the joy today and always. Love you more than words can say. #HappyBirthday #MyPerson
</t>
  </si>
  <si>
    <t>67da04c280954fc1c778ca02</t>
  </si>
  <si>
    <t>185.124.60.109</t>
  </si>
  <si>
    <t>R_3EiVhM44LVbcJEd</t>
  </si>
  <si>
    <t>Talk of memories....what a day!!!.. I would love to do this all over again.. @I.D, @ L.N, @ L.J, we killed it! super dope!!,, @J.M, where you @ ,you missed out on loads of fun man.. we had our childhood games, relieved all of them, and talk of legendary stories, awesome.. we had so much fun reconnecting ,thanks guys, it was great, lets do this again soon.. dope!..</t>
  </si>
  <si>
    <t>To my lovely beautiful baby.. if i had to choose all over again, i would still choose you, a thousand times over.. you brought so much  joy and meaning into my life, you have been my best friend, a precious gift that i never thought i could have, I love you so much, and as  we celebrate your big day, today, you are special and precious to me my baby..</t>
  </si>
  <si>
    <t>6772bcc8c558767d3804cf72</t>
  </si>
  <si>
    <t>82.2.216.161</t>
  </si>
  <si>
    <t>R_2Q3EYfvLYOQywh8</t>
  </si>
  <si>
    <t>At the weekend, I met up with a group of friends that I haven't seen since year 6. It was so great to reconnect and see how everyone has progressed in their lives. Some people married, some people focused on their careers, some have families it was great. I think that we should do this more often!</t>
  </si>
  <si>
    <t xml:space="preserve">Happy birthday Miko, I hope you have an amazing day! You work so incredibly hard and deserve all the best. Make sure you drink lots of beer and eat lots and lots of cake. You are one of the best people I have ever met in my life and I am so grateful that I have met you - you make me the happiest person. Enjoy your day. Love you lots. </t>
  </si>
  <si>
    <t>5f2c65173e33c70008f0dabe</t>
  </si>
  <si>
    <t>71.63.3.237</t>
  </si>
  <si>
    <t>R_5aNftxy2KQK3Vg5</t>
  </si>
  <si>
    <t xml:space="preserve">We all got together after 25 years. Hugs were abound and smiles all around. It was just us, no wives or kids. Just the 5 of us. We decided to go to a theme park than go to a  buddys camp about an hour away to hang out  and do whatever. By the time the night ended it was 530 am, We all called it a night and went to bed.
The next day we woke up, we all decided to the amusement park agiain and do the same thing . This lasted about a week.
</t>
  </si>
  <si>
    <t>Happy B-day Keith, Love u man, miss u. Hope to talk soon. By the way, I moved to a different state. I friggin HATE IT. no good food and these ppl are stuck in the civil war ages. They yell AT ME cause im a Northerner, LIKE I STARTED THE WAR or something..
Anyways,
Hope the family is all good!
Love ya!</t>
  </si>
  <si>
    <t>67630619de3ffd0967c49875</t>
  </si>
  <si>
    <t>77.103.16.31</t>
  </si>
  <si>
    <t>R_8nl2I7vnbBgHx7J</t>
  </si>
  <si>
    <t xml:space="preserve">Yesterday, I met up with my childhood friends near our old school, and it felt just like the old days. We laughed, shared stories, and caught up on everything. Even after all these years, nothing has really changed between us. So grateful for friends who’ve been part of my life since the very beginning! #OldFriends </t>
  </si>
  <si>
    <t xml:space="preserve">Happy birthday to the ultimate birthday boss! 🎉 🎉🎉Today is all about eating way too much cake, dancing like no one’s watching, and making wild memories that we’ll laugh about forever. Get ready for a day full of fun, surprises, and nonstop good vibes. Let’s make this birthday totally epic! 🎂🔥🎈 #Birthday #Cake
</t>
  </si>
  <si>
    <t>5f7315d239bb5b04571dcbe9</t>
  </si>
  <si>
    <t>172.59.223.88</t>
  </si>
  <si>
    <t>R_5Fh3bc8ddxfC41L</t>
  </si>
  <si>
    <t xml:space="preserve">The gang is back together.  Representin the old hood. I can't believe it has been thirty years since we set foot on thus high school journey together and here we are now on the other side as adults. What an amazing reunion it has been full of reminiscing and making new memories 
</t>
  </si>
  <si>
    <t>Congratulations to the most amazing partner and friend on another year of life! After the year we have had I know we are unstoppable.  You have made me stronger abd helped me through so many difficult times as well as celebrated beside me so many new joys. Now it is time to celebrate you.</t>
  </si>
  <si>
    <t>63b6c18f4f13282703357493</t>
  </si>
  <si>
    <t>88.97.230.82</t>
  </si>
  <si>
    <t>R_8PdBK8DymVTH1HE</t>
  </si>
  <si>
    <t>Wow we had a great night on Saturday, it was so good to see everyone, it has been too long. Cannot believe that Troy travelled all the way from Tridor to be with us. I've missed all you guys so much. I have to say that I don't think I will ever be able to look at an umbrella the same way after the events the other night!!</t>
  </si>
  <si>
    <t>My love you make my life complete and I cherish every moment we share toegther. I'm not going to reveal what birthday it is but let's just say it is significant! So looking forward to our trip away to celebrate and also looking ahead with excitement to many more birthdays that we can share together in the future. Love you now and forever x</t>
  </si>
  <si>
    <t>651ac88823e71c05dbc1ff63</t>
  </si>
  <si>
    <t>163.120.92.137</t>
  </si>
  <si>
    <t>R_8nux4aP0Edj3FvK</t>
  </si>
  <si>
    <t>I attended a get together tonight where several of my childhood friends were there. It felt kind of weird as I never kept in touch with anyone after school (well except for one friend as we ended up working at the same place for a few months many years ago). I'm not sure why I went though as I much prefer being at home.</t>
  </si>
  <si>
    <t>Happy birthday to the love of my life. Let's have a fantastic few days away together to celebrate your birthday. It will be a lot of fun and a great chance to unwind as well. I hope you enjoy every bit of it and hope you get lots of wonderful gifts as well. It is always the best to see you smile.</t>
  </si>
  <si>
    <t>665abb661d3f242a05ffb7ed</t>
  </si>
  <si>
    <t>216.120.189.178</t>
  </si>
  <si>
    <t>R_2KHF9xuldGCi5ZC</t>
  </si>
  <si>
    <t>outside with my boys have the fun of our life noting beat a childhood friend party. i am so happy i have my boys with me again From trading snacks at lunch to trading life updates now it’s wild to see how far we’ve all come, and yet how easily we fall back into rhythm. Same teasing, same warmth, just a little more grown up 
Grateful for the memories, the people who helped shape me, and the reminder that some roots run deep no matter how much time passes</t>
  </si>
  <si>
    <t>It’s your birthday and that means it’s time for cake, hugs, and a LOT of smiles!! You are my FAVORITE person and I’m super duper happy you were born 
You make me laugh a lot, you give the best hugs, and you're SO cool even cooler than superheroes I hope you get all the fun things today and forever
I love you THIS MUCH</t>
  </si>
  <si>
    <t>671b67f55fca5f2c8617fc2e</t>
  </si>
  <si>
    <t>86.182.166.23</t>
  </si>
  <si>
    <t>R_8EEI07Rma1u0Dk8</t>
  </si>
  <si>
    <t>Another one for the ages! Had an absolutely incredible time seeing my day 1 besties. My fondest memories are without a doubt with this gang and we have just created infinitely more memories in one night. Love all of yous that could attend and those who wanted to but couldn't &amp;lt;3 
20 years down let's make it another 60.</t>
  </si>
  <si>
    <t>I am nothing without this woman. She has changed everything about me in any way imaginable. The smartest, kindest, most intelligent, downright hilarious beautiful woman I have ever met and will ever meet in this life or the next.
You are more than my wife Marina, you are the glue that holds my soul together. Without you I am merely a full person.
Happy 27th birthday my love &amp;lt;3</t>
  </si>
  <si>
    <t>6744d143eddffd17d345b192</t>
  </si>
  <si>
    <t>223.29.140.145</t>
  </si>
  <si>
    <t>R_6qE9hi6db2n7wR4</t>
  </si>
  <si>
    <t>its been a nice time out here with my friends. life has been busy for everyone since we all grew up so its always a pleasure to catch up once in a while and talk about our personal lives, achievements and goals for the future. these are the little moments that make life really interesting</t>
  </si>
  <si>
    <t>i want to use the medium to introduce my lovely wife to you all. its her birthday and want to publicly celebrate her and express my forever love to her. she has been a great wife and the pillar of our family. you all join me to wish my wife a happy birthday, send good prayers to her,</t>
  </si>
  <si>
    <t>66e62716a40afa9a9b4d23c6</t>
  </si>
  <si>
    <t>86.174.6.142</t>
  </si>
  <si>
    <t>R_84w0niM1psOYrtk</t>
  </si>
  <si>
    <t>Hey guys, next saturday we are having a little gathering with childhood friends. If you know anyone else who would like to join who's also a childhood friend feel free to forward this to them. It'll be great to see you all and learn more about what everything has been up to! Excited to see you all!</t>
  </si>
  <si>
    <t>Happy birthday to my one and only partner! Another year on this beautiful planet, I'm so proud of all the growth you've done and I'm glad to be here for you to celebrate another year! Let's both have an amazing time and I promise a very fun celebration with lots of cake and lots of tasty food!</t>
  </si>
  <si>
    <t>5e1b795dc799223a3b447ada</t>
  </si>
  <si>
    <t>Very Easy</t>
  </si>
  <si>
    <t>31.49.117.140</t>
  </si>
  <si>
    <t>R_8St62y47Bbouhup</t>
  </si>
  <si>
    <t xml:space="preserve">Just wanted to say guys, it was amazing to see you all.  Although we are all older we are definitely not wiser. My head hurts so much after all those shots of tequila and Barry you haven’t changed. Still being sick in the corner. We must do this more regularly. Let’s not leave it another 35 years as my liver won’t be able to cope. </t>
  </si>
  <si>
    <t>To my love and my best friend. Here’s to another year together. I hope I’m with you for the next 40 years. Here’s to sucking digestives together in the old people home. I love you every day. Even though you irritate the shit out of me sometimes. I couldn’t be without you. Happy birthday hunny. All my love xxx xxx</t>
  </si>
  <si>
    <t>67811c4fdaa9119f0fe31fca</t>
  </si>
  <si>
    <t>78.145.223.93</t>
  </si>
  <si>
    <t>R_8CrZlf1O7C1DIpt</t>
  </si>
  <si>
    <t xml:space="preserve">It’s so nice to see all my old friends again we haven’t seen each other for at least 30 years we have all changed so much in that time some of are married some of us are single or just have partners we all have different jobs and job professions every body story is different but it so nice to be able to meet up with everyone again </t>
  </si>
  <si>
    <t xml:space="preserve">I would like to wish my other half a very happy birthday today is for celebrating a very special birthday with family and friends and hope you have a really great day filled with with all special things and things to do as surprises I would like if everyone come together to celebrate  this special day with us </t>
  </si>
  <si>
    <t>663127d07fb81f5532bcfdad</t>
  </si>
  <si>
    <t>90.247.35.6</t>
  </si>
  <si>
    <t>R_2OOprA2hkDYAlVf</t>
  </si>
  <si>
    <t>Last night was unreal, got together with childhood friends and ended up reminiscing, playing silly games, and sharing dumb jokes. It felt just like those summer evenings growing up. Grateful for everyone who showed up and made it wild. Honestly, these moments make life sweet. Can't wait for the next one!</t>
  </si>
  <si>
    <t>Happy birthday to the one who makes life brighter and better every single day. Thank you for laughing with me, supporting me, and just being yourself. I can't wait to make more memories together. Hope today is full of love, cake, and everything you adore. You truly deserve it all!</t>
  </si>
  <si>
    <t>67ca1243e7c4d398474fc95d</t>
  </si>
  <si>
    <t>73.223.229.220</t>
  </si>
  <si>
    <t>R_3EWQkgZD57p4VL5</t>
  </si>
  <si>
    <t xml:space="preserve">I went out and hung out with a few of my childhood friends today. It was awesome and the way it all came together was crazy. Basically I was out shopping and I ran into one of them who I had not seen in 5 years. After chatting a bit he told me about how he had actually reunited with the other 2 recently and they all moved back to the city. After finding this out we quickly made a group chat and began to catchup and reminisce about the old days. </t>
  </si>
  <si>
    <t>Happy Birthday to the greatest partner ever. Today is more than just a simple celebration, but rather a monumental day of happiness and love. I know I speak for everyone when I say that you are a huge and integral part of my life and I could not ever picture an existence without you in it. I am so grateful to be with you and be able to call you my partner. Happy Birthday!</t>
  </si>
  <si>
    <t>5f517edd007af03cbf15085f</t>
  </si>
  <si>
    <t>Joy,Love,Thankfulness</t>
  </si>
  <si>
    <t>172.124.168.232</t>
  </si>
  <si>
    <t>R_5DJ11ZfKRBdmbf3</t>
  </si>
  <si>
    <t>Last night was the much-needed chaos I didn't know I needed! 🍻 Nothing beats a few hours with the crew that knew you when cargo pants were cool and before we had to worry about 401ks. We should definitely implement mandatory quarterly nostalgia sessions. Thanks for the laughs and the reminders of simpler times, guys! Now back to adulting... until next time! 🚀</t>
  </si>
  <si>
    <t>Happy Birthday to my favorite partner in saving, traveling, and goal-crushing! 🎉 Every year with you feels like compounding interest—the returns just keep getting better. Thank you for your endless support, your sharp wit, and making the future look so bright. Wishing you a day as amazing as the positive net worth you bring to my life. I love you! ❤️</t>
  </si>
  <si>
    <t>67327e4495f88dfc99471984</t>
  </si>
  <si>
    <t>65.51.206.202</t>
  </si>
  <si>
    <t>R_6LyahSN0T28aQ0h</t>
  </si>
  <si>
    <t>Oh, amazing, we met again after 30 years! Last Saturday night unforgettable. Recalled the jokes we played together, the games on the playground. The campus changed so much even the tour couldn’t pick something up. Are we going to meet again, in the next 5, 10, 20 years? Can’t believe it.</t>
  </si>
  <si>
    <t>He is one year old now, my significant one. Today’s birthday. No clue in the morning. The kids got up, dress for school, have breakfast as normal. I started out as usual. Nobody gave him a hint. He was hesitating , but still went to work. I will leave earlier afternoon and hurry back home. Set up the things before he’s back. The kids will be back early on this Friday. The dinner reservation down two weeks ago. Hope to surprise him.</t>
  </si>
  <si>
    <t>67676c64636d1669c5790324</t>
  </si>
  <si>
    <t>Anger</t>
  </si>
  <si>
    <t>Very Negative</t>
  </si>
  <si>
    <t>86.24.53.172</t>
  </si>
  <si>
    <t>R_8Ctu80qMU3BTvZn</t>
  </si>
  <si>
    <t>Some friendships last forever! I'm so glad to have these people in my life since childhood, we had a great time and I want to thank everybody for being there! I hope to see you all very soon  for our next meeting to share more laughs, drinks and silliness! Thanks again to be in my life!</t>
  </si>
  <si>
    <t>Happy birthday to the most important person in my life (after my cats obviously ah ah!) I hope you have great  fun celebrating and I'm glad to celebrate with you! I love you and I hope to share with you many birthdays and beautiful moments like today! Thanks to be in my life, I love you so much!</t>
  </si>
  <si>
    <t>668e8b2d29cef7917c9b19bd</t>
  </si>
  <si>
    <t>81.154.6.33</t>
  </si>
  <si>
    <t>R_8yjpPdBYpTxQOFb</t>
  </si>
  <si>
    <t xml:space="preserve">Always fun sharing great memories of past adventures with these friends.  People often take for granted the value of longstanding friendships and relationships.  Looking forward to more exciting times to come with this crew!  Thank you guys for always being there through good times and bad.  </t>
  </si>
  <si>
    <t xml:space="preserve">Happy Birthday to my beautiful girlfriend.  A special day to celebrate you and all that you are - please never change! I honestly can't imagine what my life would be like without you in it and I truly hope I will never have to face that day.  Thank you for everything that you do and I wish you a day filled with happiness. </t>
  </si>
  <si>
    <t>665daf967d49ecde0b65ec09</t>
  </si>
  <si>
    <t>149.52.123.24</t>
  </si>
  <si>
    <t>R_7Sf1JD8CHjeKZjP</t>
  </si>
  <si>
    <t xml:space="preserve">What a nolstalgic moment with childhood friends! We shared laughter, old school stories, silly games and the silly jokes we made back then. Talk of the punishments we received from parents and teachers back then, waah! We dint even realize the passage of time. I am grateful to have friends that have stood the test of time #Good friends with great vibes </t>
  </si>
  <si>
    <t>On this very special day, I cant hide my joy in celebrating my personal person who is the apple of my eyes. She is not only beautiful and elegant on the outside, but comes as a package with a warm, kind and loving heart. I thank the universe for making out paths cross that I got to meet her. She is an amazing person that I would love to spend my whole life with. I wish you my dear one a memorable day and good joyful days full of happiness all your days. Happy plus one birthday, to many more.</t>
  </si>
  <si>
    <t>675ce427f72ea526d6083376</t>
  </si>
  <si>
    <t>145.224.65.196</t>
  </si>
  <si>
    <t>R_2JIA1KXk1crTh5u</t>
  </si>
  <si>
    <t>These girls never fail to disappoint!! No matter how long we go without speaking, it's like we've never spent a day apart! 🤪
Always so good to catch up, lets not leave it so long next time eh?! We have so many memories, some we'd rather forget but ultimately they have made our friendship stronger throughout the years, from the school days, to the early twenties shenanigans to now and would you just look at us!!
Love you all, these are the days of our lives! ♥️</t>
  </si>
  <si>
    <t>A big happy birthday to my little 🚀
You are such a strong woman, I've never known anyone like you and I can't wait to spend the rest of our lives together.
Me and you against the world darling ♥️
Have the best day ever, hope you enjoy it and love all your pressies.
Love you ALWAYS xxxxx</t>
  </si>
  <si>
    <t>60f154e3b41e8202276ccc73</t>
  </si>
  <si>
    <t>92.40.111.84</t>
  </si>
  <si>
    <t>R_25GaB5H6nFPh9uc</t>
  </si>
  <si>
    <t>This is the type of friendship that can withstand long distance separation! Even though we have been separated for some time, it feels like we were together just the other day. Our childhood memories are still fresh as if it has not been over a two decades now. My heart if full, we have been laughing about some funny events that occurred when we were growing up. We ended up talking about our early days instead of our present lives.. #Reunion #Childhoodmemories</t>
  </si>
  <si>
    <t>What a wonderful day! I thank the heavens for this wonderful being. Congratulations on your birthday. May you have all the desires of your heart. May your days be filled with good health and joy. I love you! Happy Happy birthday. Cheers to many more years years as we create memories together.</t>
  </si>
  <si>
    <t>67d43f5c7253c147df75e9e5</t>
  </si>
  <si>
    <t>84.69.53.211</t>
  </si>
  <si>
    <t>R_8K137KvaJAaYnTa</t>
  </si>
  <si>
    <t>Catching up with my long time friends and paddies is something that money can't quantify.  It is a moment I cherish every single bit of it. It was lit as expected and I can't let go. lots of discussion about the past that I wished time stood still and never moved an each. We also discussed about the realities of life in recent times. It was worth the time spent.</t>
  </si>
  <si>
    <t>Happy birthday to you my dearest friend. On you special day I just want to wish you love and happiness. I cherish every moment we spend together, the way you way smile every now and then always captivate me. I can't forget your angelic voice especially when you sing, It sounds so heavenly. Please accept my warmest wishes.</t>
  </si>
  <si>
    <t>66959cf50e37b3130e0aeab4</t>
  </si>
  <si>
    <t>86.167.212.78</t>
  </si>
  <si>
    <t>R_8mVl0CvAf3vyPZQ</t>
  </si>
  <si>
    <t>met up with the class of 1980 today for the first time in 42 years. Great to catch up with so many old school freinds. Older and bolder but still so many memories to share about the old days. Really interestiong to find out what we all have done with our lives since leaving school</t>
  </si>
  <si>
    <t>Happy Birthday to my Princess, love you now and always. Have the best of days and really looking forward to our weekend away celebrating your birthday with family and freinds at the hotel and spa in devon. Hope you liked all your presentsa and cards and look out for your surprise</t>
  </si>
  <si>
    <t>66d31a1b0515fe747830bab9</t>
  </si>
  <si>
    <t>90.197.241.16</t>
  </si>
  <si>
    <t>R_8W2cjxO8WZQEA0x</t>
  </si>
  <si>
    <t>So good to be reunited with this crazy bunch! We may be wiser and older but boy we still know how to hold a party! What an amazing day with the memories made that will last forever. Dont know what id do without you guys. We need to make this more of a regular thing and not leave it so long this time. Now back home home with my feet up on the sofa chuckling away about the last 24 hours :)</t>
  </si>
  <si>
    <t>Happy Birthday to my gorgeous other half! Welcome to the 30's club! let me tell you it doesnt get any easier.....lol  Cant wait for you to get home so i can you take you on our suprise adventure this weekend! This is gonna be an unforgetable adventure and i cant wait to see you. Make sure you bring a crash helmet and some valium!! lol</t>
  </si>
  <si>
    <t>6663e96b22437338474611a4</t>
  </si>
  <si>
    <t>86.159.215.30</t>
  </si>
  <si>
    <t>R_26lNHaSM5AiaL6c</t>
  </si>
  <si>
    <t>Having such a good weekend for our annual uni meetup! Makes you realise you need to keep in contact more than just once a year! xD I am so glad to have met these people and we may not see eachother much but when we do we just slot back together, it's like no time has gone at all! Love you all :D</t>
  </si>
  <si>
    <t>Happy Birthday Rachel! 
I am so glad you came into my life and I couldn't ask for a better partner. I am so proud of the progress you are making every day and I can't wait to celebrate this and many more birthdays with you! Thank you for being you! Lots of love, Chris xxxxxxxxxx</t>
  </si>
  <si>
    <t>637f7c5ecaecb61bc8722a35</t>
  </si>
  <si>
    <t>113.20.53.210</t>
  </si>
  <si>
    <t>R_6cdVKvj5MmQRaBc</t>
  </si>
  <si>
    <t>Just got back from an amazing evening with my childhood friends! We laughed until our stomachs hurt, shared stories from the past, and caught up on everything happening in our lives now. Nights like this remind me how lucky I am to have friends who feel like family, no matter the years between us.</t>
  </si>
  <si>
    <t>Happy Birthday to the most incredible person in my life! You inspire me every single day with your kindness, humor, and endless love. I’m so grateful for every moment we share, for all the laughter, adventures, and memories we’ve created together. May your special day be filled with joy, love, happiness, and everything that makes your heart truly smile. You deserve all the amazing things life has to offer, today and always!</t>
  </si>
  <si>
    <t>67a95d468d14bd6324b4bbba</t>
  </si>
  <si>
    <t>Thankfulness,Joy,Love</t>
  </si>
  <si>
    <t>92.26.230.26</t>
  </si>
  <si>
    <t>R_28RGFeFE50YvbWN</t>
  </si>
  <si>
    <t>I have just got back from my high school reunion and wow! Everyone has changed so much and yet they are still very much the same. I felt so good to catch up with people that I had no seen in decades. Time sure does seem to fly fast these days I just hope that the next few decades go a bit slower.</t>
  </si>
  <si>
    <t>Happy Birthday to the one I love. Happy Birthday to the one I didn't leave behind. She's not a prop to occupy my time. Happy Birthday to the one I love. FIRE!!!!!! - Now if only there was some way to musically add the guitar section in here. I really really love you babes (and REM)!</t>
  </si>
  <si>
    <t>5baa3265c0a8c000014bea73</t>
  </si>
  <si>
    <t>traits (neg + pos questions)</t>
  </si>
  <si>
    <t>A</t>
  </si>
  <si>
    <t>O</t>
  </si>
  <si>
    <t>N</t>
  </si>
  <si>
    <t>C</t>
  </si>
  <si>
    <t>E</t>
  </si>
  <si>
    <t>A (Low)</t>
  </si>
  <si>
    <t>C (Low)</t>
  </si>
  <si>
    <t>E (Low)</t>
  </si>
  <si>
    <t>N (Low)</t>
  </si>
  <si>
    <t>O (Low)</t>
  </si>
  <si>
    <t>#</t>
  </si>
  <si>
    <t>P. 1</t>
  </si>
  <si>
    <t>P. 2</t>
  </si>
  <si>
    <t>P. 3</t>
  </si>
  <si>
    <t>P. 4</t>
  </si>
  <si>
    <t>P. 5</t>
  </si>
  <si>
    <t>P. 6</t>
  </si>
  <si>
    <t>P. 7</t>
  </si>
  <si>
    <t>P. 8</t>
  </si>
  <si>
    <t>P. 9</t>
  </si>
  <si>
    <t>P. 10</t>
  </si>
  <si>
    <t>P. 11</t>
  </si>
  <si>
    <t>P. 12</t>
  </si>
  <si>
    <t>P. 13</t>
  </si>
  <si>
    <t>P. 14</t>
  </si>
  <si>
    <t>P. 15</t>
  </si>
  <si>
    <t>P. 16</t>
  </si>
  <si>
    <t>P. 17</t>
  </si>
  <si>
    <t>P. 18</t>
  </si>
  <si>
    <t>P. 19</t>
  </si>
  <si>
    <t>P. 20</t>
  </si>
  <si>
    <t>P. 21</t>
  </si>
  <si>
    <t>P. 22</t>
  </si>
  <si>
    <t>P. 23</t>
  </si>
  <si>
    <t>P. 24</t>
  </si>
  <si>
    <t>P. 25</t>
  </si>
  <si>
    <t>P. 26</t>
  </si>
  <si>
    <t>P. 27</t>
  </si>
  <si>
    <t>P. 28</t>
  </si>
  <si>
    <t>P. 29</t>
  </si>
  <si>
    <t>P. 30</t>
  </si>
  <si>
    <t>P. 31</t>
  </si>
  <si>
    <t>P. 32</t>
  </si>
  <si>
    <t>P. 33</t>
  </si>
  <si>
    <t>P. 34</t>
  </si>
  <si>
    <t>P. 35</t>
  </si>
  <si>
    <t>P. 36</t>
  </si>
  <si>
    <t>P. 37</t>
  </si>
  <si>
    <t>P. 38</t>
  </si>
  <si>
    <t>P. 39</t>
  </si>
  <si>
    <t>P. 40</t>
  </si>
  <si>
    <t>P. 41</t>
  </si>
  <si>
    <t>P. 42</t>
  </si>
  <si>
    <t>P. 43</t>
  </si>
  <si>
    <t>P. 44</t>
  </si>
  <si>
    <t>P. 45</t>
  </si>
  <si>
    <t>P. 46</t>
  </si>
  <si>
    <t>P. 47</t>
  </si>
  <si>
    <t>P. 48</t>
  </si>
  <si>
    <t>P. 49</t>
  </si>
  <si>
    <t>P. 50</t>
  </si>
  <si>
    <t>P. 51</t>
  </si>
  <si>
    <t>P. 52</t>
  </si>
  <si>
    <t>P. 53</t>
  </si>
  <si>
    <t>P. 54</t>
  </si>
  <si>
    <t>P. 55</t>
  </si>
  <si>
    <t>P. 56</t>
  </si>
  <si>
    <t>P. 57</t>
  </si>
  <si>
    <t>P. 58</t>
  </si>
  <si>
    <t>P. 59</t>
  </si>
  <si>
    <t>P. 60</t>
  </si>
  <si>
    <t>P. 61</t>
  </si>
  <si>
    <t>P. 62</t>
  </si>
  <si>
    <t>P. 63</t>
  </si>
  <si>
    <t>P. 64</t>
  </si>
  <si>
    <t>P. 65</t>
  </si>
  <si>
    <t>P. 66</t>
  </si>
  <si>
    <t>P. 67</t>
  </si>
  <si>
    <t>P. 68</t>
  </si>
  <si>
    <t>P. 69</t>
  </si>
  <si>
    <t>P. 70</t>
  </si>
  <si>
    <t>P. 71</t>
  </si>
  <si>
    <t>P. 72</t>
  </si>
  <si>
    <t>P. 73</t>
  </si>
  <si>
    <t>P. 74</t>
  </si>
  <si>
    <t>P. 75</t>
  </si>
  <si>
    <t>P. 76</t>
  </si>
  <si>
    <t>P. 77</t>
  </si>
  <si>
    <t>P. 78</t>
  </si>
  <si>
    <t>P. 79</t>
  </si>
  <si>
    <t>P. 80</t>
  </si>
  <si>
    <t>P. 81</t>
  </si>
  <si>
    <t>P. 82</t>
  </si>
  <si>
    <t>P. 83</t>
  </si>
  <si>
    <t>P. 84</t>
  </si>
  <si>
    <t>P. 85</t>
  </si>
  <si>
    <t>P. 86</t>
  </si>
  <si>
    <t>P. 87</t>
  </si>
  <si>
    <t>P. 88</t>
  </si>
  <si>
    <t>P. 89</t>
  </si>
  <si>
    <t>P. 90</t>
  </si>
  <si>
    <t>P. 91</t>
  </si>
  <si>
    <t>P. 92</t>
  </si>
  <si>
    <t>P. 93</t>
  </si>
  <si>
    <t>P. 94</t>
  </si>
  <si>
    <t>P. 95</t>
  </si>
  <si>
    <t>P. 96</t>
  </si>
  <si>
    <t>P. 97</t>
  </si>
  <si>
    <t>P. 98</t>
  </si>
  <si>
    <t>P. 99</t>
  </si>
  <si>
    <t>P. 100</t>
  </si>
  <si>
    <t>P. 101</t>
  </si>
  <si>
    <t>P. 102</t>
  </si>
  <si>
    <t>P. 103</t>
  </si>
  <si>
    <t>P. 104</t>
  </si>
  <si>
    <t>P. 105</t>
  </si>
  <si>
    <t>PROLIFIC_PID_big_final_participants</t>
  </si>
  <si>
    <t>PROLIFIC_PID_60_original_participants</t>
  </si>
  <si>
    <t>Recorded_time</t>
  </si>
  <si>
    <t>Moderate</t>
  </si>
  <si>
    <t>אחוזונים</t>
  </si>
  <si>
    <t>avg</t>
  </si>
  <si>
    <t>p</t>
  </si>
  <si>
    <t>I believe in the importance of art.</t>
  </si>
  <si>
    <t>I have a vivid imagination.</t>
  </si>
  <si>
    <t>I do not like art.</t>
  </si>
  <si>
    <t>I avoid philosophical discussions.</t>
  </si>
  <si>
    <t>Original</t>
  </si>
  <si>
    <t>Inquisitive</t>
  </si>
  <si>
    <t>Creative</t>
  </si>
  <si>
    <t>Imaginative</t>
  </si>
  <si>
    <t>I enjoy going to art museums.</t>
  </si>
  <si>
    <t>I am interested in the meaning of things.</t>
  </si>
  <si>
    <t>I am not interested in abstract ideas.</t>
  </si>
  <si>
    <t>I enjoy hearing new ideas.</t>
  </si>
  <si>
    <t>I accept people the way they are.</t>
  </si>
  <si>
    <t>My moods change easily.</t>
  </si>
  <si>
    <t>I take care of other people before taking care of myself.</t>
  </si>
  <si>
    <t>I am always prepared.</t>
  </si>
  <si>
    <t>I feel comfortable around people.</t>
  </si>
  <si>
    <t>I often feel blue.</t>
  </si>
  <si>
    <t>I am the life of the party.</t>
  </si>
  <si>
    <t>I treat everyone with kindness and sympathy.</t>
  </si>
  <si>
    <t>I get chores done right away.</t>
  </si>
  <si>
    <t>I have a kind word for everyone.</t>
  </si>
  <si>
    <t>I am skilled in handling social situations.</t>
  </si>
  <si>
    <t>I often feel anxious about what could go wrong.</t>
  </si>
  <si>
    <t>I start arguments just for the fun of it.</t>
  </si>
  <si>
    <t>I often worry that I am not good enough.</t>
  </si>
  <si>
    <t>I find it difficult to get to work.</t>
  </si>
  <si>
    <t>I stay in the background.</t>
  </si>
  <si>
    <t>There are many things that I do not like about myself.</t>
  </si>
  <si>
    <t>I seldom feel blue.</t>
  </si>
  <si>
    <t>I stop what I am doing to help other people.</t>
  </si>
  <si>
    <t>I change my plans frequently.</t>
  </si>
  <si>
    <t>I am often troubled by negative thoughts.</t>
  </si>
  <si>
    <t>I feel comfortable with myself.</t>
  </si>
  <si>
    <t>Systematic</t>
  </si>
  <si>
    <t>Shy</t>
  </si>
  <si>
    <t>Soft-Hearted</t>
  </si>
  <si>
    <t>Tense</t>
  </si>
  <si>
    <t>Forgetful</t>
  </si>
  <si>
    <t>Reserved</t>
  </si>
  <si>
    <t>Agreeable</t>
  </si>
  <si>
    <t>Nervous</t>
  </si>
  <si>
    <t>Self-Disciplined</t>
  </si>
  <si>
    <t>Outgoing</t>
  </si>
  <si>
    <t>Charitable</t>
  </si>
  <si>
    <t>Moody</t>
  </si>
  <si>
    <t>Organized</t>
  </si>
  <si>
    <t>Talkative</t>
  </si>
  <si>
    <t>Humble</t>
  </si>
  <si>
    <t>Pessimistic</t>
  </si>
  <si>
    <t>I have a lot to say.</t>
  </si>
  <si>
    <t>I always make good use of my time.</t>
  </si>
  <si>
    <t>I avoid taking on a lot of responsibility.</t>
  </si>
  <si>
    <t>I don't like to draw attention to myself.</t>
  </si>
  <si>
    <t>I feel I am better than other people.</t>
  </si>
  <si>
    <t>I make friends easily.</t>
  </si>
  <si>
    <t>I make plans and stick to them.</t>
  </si>
  <si>
    <t>I criticize other people.</t>
  </si>
  <si>
    <t>I don't talk a lot.</t>
  </si>
  <si>
    <t>It’s important to me that people are on time.</t>
  </si>
  <si>
    <t>true labels 3 classes</t>
  </si>
  <si>
    <t>true labels 2 classes</t>
  </si>
  <si>
    <t>3 classes true labels</t>
  </si>
  <si>
    <t>2 classes true labels</t>
  </si>
  <si>
    <t>Happy birthday to the love of my life! You bring so much joy and laughter into my world, and I’m endlessly grateful for every moment we share. Your kindness, strength, and passion inspire me every day. Here’s to celebrating you today and all the amazing adventures ahead! Can’t wait to spoil you and make this day unforgettable. Love you to the moon and back!</t>
  </si>
  <si>
    <t>post1</t>
  </si>
  <si>
    <t>post2</t>
  </si>
  <si>
    <t>USE FOR</t>
  </si>
  <si>
    <t>rule generation</t>
  </si>
  <si>
    <t>v0</t>
  </si>
  <si>
    <t>final test</t>
  </si>
  <si>
    <t>v1</t>
  </si>
  <si>
    <t>v2</t>
  </si>
  <si>
    <t>v3</t>
  </si>
  <si>
    <t>P. 106</t>
  </si>
  <si>
    <t>P. 107</t>
  </si>
  <si>
    <t>P. 108</t>
  </si>
  <si>
    <t>P. 109</t>
  </si>
  <si>
    <t>P. 110</t>
  </si>
  <si>
    <t>P. 111</t>
  </si>
  <si>
    <t>P. 112</t>
  </si>
  <si>
    <t>P. 113</t>
  </si>
  <si>
    <t>P. 114</t>
  </si>
  <si>
    <t>P. 115</t>
  </si>
  <si>
    <t>Catching up with my friends felt like being a time capsule tonight. We laughed about old stories, argued about who remembered them correctly and thought about how much things have and haven't changed. It was nice to see old familiar faces and reminisce on our shared history. Nights like this one remind me how lucky I am to have spent so much time with you growing up</t>
  </si>
  <si>
    <t xml:space="preserve">Happy Birthday to the person who makes the most dull days feel wonderful. Today reminds me how amazing you are and how lucky I am to share my life with someone who brings so much humour, warmth and love. Thankyou for everything, I hope this next year brings you everything you ask for. I love you </t>
  </si>
  <si>
    <t>what a great catch up with the best guys out there. havent seen some of them for what feels like years but the memories just came flooding back of all the good times and laughter we had. We went for Lunch then onto the cinema and finally rounded the day off with a few beers in the local, till next time.</t>
  </si>
  <si>
    <t>Happy Birthday to the best mum and wife out there and i know everyone says that but you truely are, you are always putting us before you and today just for once to quote mcfly its all about you, so put your feet up and let me and the kids take care of dinner and the washing up and you can relax for once</t>
  </si>
  <si>
    <t xml:space="preserve">Me and the guys finally found time in our busy adult lives to hang out and catch up with one another. We met at the ball field where we spent many days out there playing games. It was fun and very much needed to get out and feel like old times. Sometimes we get so busy with life and taking care of adult things that we forget how to be a kid but I think it is important that we have more of these days again to be youthful and regain a sense of happiness because those days we spent on the field truly were my happy days. </t>
  </si>
  <si>
    <t>Happy birthday to my beautiful wife. I am so thankful I get to share these special occasions with you and I hope I can make this day extra special just as you are. You do so much for me and often I may fail to do the same for you. Your birthday is a reminder that you are so special and deserve special treatment. I want to take you to dinner tonight and this weekend I want you to pick an outing that you want to do. Anything for you! I love you!</t>
  </si>
  <si>
    <t>Glad to see everybody, can't believe that I used to be much younger and at school with all of these amazing people. Thank you so much for the great time, everybody was great to talk to and I really liked sharing our stories of how our lives have turned out. Best wishes to everyone and let's all meet up again in another 20 years.</t>
  </si>
  <si>
    <t>Happy birthday, glad I could share it with you and the friends and family we have together.  I feel happy every day I have met you and I love you. Here's to another year of us together and all the memories we share. Lots of gifts and cake to go around and you managed to blow out all of the candles in one, good job.</t>
  </si>
  <si>
    <t>I went to the racetrack and sat on the deck outside overlooking the finish line. I was with a boyhood friend. We sat down and another boyhood friend was sitting nearby. I went over and deliberately bumped into him and was surprised he did not immediately recognize me because he was vain and not wearing his eye glasses. In our ensuring talk, he turned out to be a "dick".</t>
  </si>
  <si>
    <t>I am so delighted to be able to share this milestone with you. Somehow we have gotten this far. Some credit goes to our genes, the rest, to moderation. Who would have thought that this event would be happening years ago, when the world was falling apart. It took heroic steps to get up and continue when all seemed lost. You did it. Congratulations. Go Moderation Go!</t>
  </si>
  <si>
    <t xml:space="preserve">It was great seeing my childhood friends at the social gathering. I have not seen them for many years and it was nice opportunity to re-connect. Some have become grandparents at such a young age, its quite astonishing how time literally flies by. Many have moved to different locations in the UK and couple had moved abroad. Shame our school was knocked down. </t>
  </si>
  <si>
    <t xml:space="preserve">Happy birthday to my dear one, I hope you have fantastic day. As each year goes by you become more endearing to me and I cherish each moment I spend time with you. As you grow another year older, you have become more wiser and beautiful with time. May you have more birthday celebrations to come. </t>
  </si>
  <si>
    <t xml:space="preserve">Last night I was at a gathering that included some childhood friends. It was organised by one of the friends as a yearly get together for old friends. We met at a local bar and had a few glasses of wine while discussing what we have been up to over the past few months. Its wonderful to be able to meet these wonderful ladies. </t>
  </si>
  <si>
    <t xml:space="preserve">Dear SP,
Happy birthday my darling. Another year older but another year in love. I hope your day will be filled with amazing adventures and that you create wonderful memories to add to your box of existing memories. I cant wait to spend another year in your beautiful company so that we can make more memories together. </t>
  </si>
  <si>
    <t>Met up with me old mates from school. It's been a good twenty or so years and has been so great to see you all again. We cannot leave it so long next time! I've loved to hear about how your lives have twisted and turned as we've all got older, it was amazing to hear about your families, life experiences and adventures.</t>
  </si>
  <si>
    <t>Dear my partner. We've been together for two years now and I've loved how we've grown together. It has not been an easy journey but we've worked through things together and I've never met such a romantic, kind and funny person. You are truly unique and I am so glad to have met you. I love you and happy birthday!</t>
  </si>
  <si>
    <t>Had the best time catching up with my childhood friends today! It's crazy how no matter how much time passes, we always pick up right where we left off. Lots of laughs, memories, and a whole lot of nostalgia. :) Can't believe how much we've all changed, but the bond is still the same. So grateful for these lifelong friendships!  #GoodTimes #OldFriends #Grateful #Nostalgia #UnforgettableMemories</t>
  </si>
  <si>
    <t>Happy Birthday to the love of my life!  Every day with you is a blessing, but today I get to celebrate U. You make my world brighter, my heart fuller, and my life so much better just by being you. Thank you for all the love, laughter, and endless memories. Here's to many more birthdays together! Love you endlessly! #HappyBirthday #MyPerson #ForeverAndAlways #FeelingBlessed</t>
  </si>
  <si>
    <t>It was great to spend time catching up with old friends. It was great to see friends that I have not seen in a while and we were soon reminiscing and laughing about our earlier times together and the antics we used to caught up in. It is always great to catch up and remember the good times we have shared together.</t>
  </si>
  <si>
    <t>Today is a special day for a very special person. Another year passed but with each passing year my love and admiration only increases further. It is a day for celebrating your amazing life, how you have been such a positive impact on so many people, and for us to tell you how much you mean to us.</t>
  </si>
  <si>
    <t>Wow. it's been amazing to see all these people again - some of them I hadn't seen in over 30 years! We had a lovely time catching up and learning about how everyone's lives have gone so far. Some of us had really clear memories from that time that others had forgotten  - it was a lot of fun rediscovering things about our childhoods.</t>
  </si>
  <si>
    <t>Happy birthday, my love - who knew you were that old already? ;-) I hope you are having a lovely day - and even though it's a work day I know there will be a beer waiting for you in our favourite pub this evening. I wish you all the best for this next year of your life and hope you get to do many more of the things you've been dreaming of.</t>
  </si>
  <si>
    <t xml:space="preserve">So happy that this hang out actually made it out of the group chat this time! It is always a good time hanging out with these lovely ladies, time has absolutely flown by and I'm glad I was able to spend the afternoon having fun with people I care about. I knew when we first met as kids that these would be lasting friendships and I consider myself very lucky. </t>
  </si>
  <si>
    <t>I wanted to wish my boyfriend and perfect dog dad a very happy birthday. I am not trying to ruin the surprise but i have a fun filled celebratory day planned to celebrate your emergence into this world. You're able to make the bad days better and turn my frown upside down. You light up any room you walk into and are very special to me.</t>
  </si>
  <si>
    <t xml:space="preserve">Sometimes it's nice to just reminisce about times you shared with friends. I remember a time when it was my birthday all my friends and I were really into wrestling. We were all at my house and watched a match then started an event ourselves. We really used to have fun as kids.. </t>
  </si>
  <si>
    <t>Just want to give a big birthday shoutout to my significant other! Very happy to say I've enjoyed all the years we spent together and times we've had. I know you're a very smart and hard worker and deserve only the best on your special day. Hope you have a really great day and I'll see you soon!</t>
  </si>
  <si>
    <t>We've known each other for so long that we often finish each other's thoughts. I'm so glad to have this group of friends. Always there for each other through all of life's ups and downs. I know they will be there for the rest of my life and that brings me a lot of joy. Being with all of you was amazing.</t>
  </si>
  <si>
    <t>I'm so happy that we met. I didn't believe there was anyone out there for me, but then you showed up. You are always there for me when I need you. I couldn't ask for a better or more supportive partner. You always do your best to understand my needs. I'm happy to celebrate you on this day.</t>
  </si>
  <si>
    <t>Just got back from the reunion party! Saw all the guys from school, it was great. So nice to catch up with everyone! What a great year group we had in school! It's crazy how fast time goes by, we should definitely meet up again (sooner this time!). Hope everyone got home safe! Please stay in touch everyone!</t>
  </si>
  <si>
    <t>Happy birthday Jess! Another year older! The big 29, only 1 more year to go until THE birthday!! This year has gone by so fast, it's crazy to think it was just last year that we were in Malta! Exactly one year ago at this time we were just getting ready to go out for a meal, and we're doing the same now!</t>
  </si>
  <si>
    <t>Just spent the afternoon hanging out with my childhood friends, and it honestly felt like stepping back in time. We laughed about the silly things we used to do, caught up on where life has taken each of us, and realized that even though we've all changed, the vibe is still the same. Grateful for the people who knew me way before life got complicated.</t>
  </si>
  <si>
    <t>Happy birthday to someone who brings so much light and positivity into my life. ðŸŽ‰ðŸ’› I'm really grateful for you and everything you doâ€”you make the good days even better and the tough days a little easier. Wishing you a year full of growth, joy, and everything you've been working toward. Enjoy your day!</t>
  </si>
  <si>
    <t>Hellow, ,my  friends its been a minute since we saw each other and i tink today is the day that we all are going to meet and reunit as childhood friends and enjoy ourselves,have some fun .We are going to play some games which will be fun ,educative and also not that tiring. we are also going to make some meals together eat and dance to some music which will bring back our childhood memories</t>
  </si>
  <si>
    <t>I am very happy today ,that my one and only love of my life was born an i wanna take this time and celebrate her day as it should be. May your life be filled with joy,laughter and blessings. Since you come into mylife it has been filled with lots of love and growth. I will love you to moon and back to earth and i promise to be by your side everyday of mylife.Enjoy your day and i have a litt;e surprise for you.</t>
  </si>
  <si>
    <t>there would be around 10 of us and we would all be girls, all mums now we would talk about our family life and our childhood days and the fun we had and the memories we have of our old houses and our old neighbourhoods and people we know i guess we would talk about people who had passed away and raise a toast to them</t>
  </si>
  <si>
    <t>happy birthday to the beat of my heart, its a joy to be so close to you on your special day and to celebrate you today i wish you a joyful and happy day full of celebration and joy i will raise a toast to you in honour of being your wife we love you so much more than all the stars in the sky</t>
  </si>
  <si>
    <t xml:space="preserve">       I was thinking about the places we used to go to as children.Kiddie Land was one of those places.Do you remember all the rides and fun we had? Your dad and mom took us there and we had a ball. So much fun as I remember so well.I really look back on the things we did as kids,and appreciate them so much. </t>
  </si>
  <si>
    <t xml:space="preserve">          Congrats on the birthday coming up. Can't believe that you are going to be 60. Sending love and prayers for a great day,with lots of family and presents. Remember, you are not getting older, just getting better. Just remember that I love you and wish you a wonderful day .Love to you always,baby.</t>
  </si>
  <si>
    <t xml:space="preserve">Had a really wonderful time catching up with some folk I haven't seen in more years than I dare admit. It's wild that despite how much we change over the years, being together with those you knew so long ago pulls you right back in to how you acted back then. We really are defined by our environments. </t>
  </si>
  <si>
    <t xml:space="preserve">Happy birthday [name]! It's been another year where you've delighted me with your clever wit, impressed with me with your insights on the films we've watched together, and produced so many memorable original pieces of art. But above all that, what truly impresses me is your devotion and love for others, the selflessness, and the care you have. You truly deserve the very best both today and for the rest of the next year. </t>
  </si>
  <si>
    <t xml:space="preserve">I'm hanging out with some of my favorite people from my childhood. It is so much fun to catch up and see what everyone is up to these days. Many of us have been through a lot over the years. It's great to see everyone. Some of us have changed so much. There are a few that seem like they are exactly the same. We went to one of our old hangout spots. It was so much fun remembering all of the good times we had. </t>
  </si>
  <si>
    <t xml:space="preserve">Happy Birthday to my favorite human. You are amazing! Thank you for all you do. I hope your day is fantastic. My wish is to have many more birthdays together. Thank you for including me in your very special day. I wish you health and happiness on your birthday. I hope that your life is filled with joy. </t>
  </si>
  <si>
    <t xml:space="preserve">It felt very nostalgic and after some time very comfortable and good fun.   We visited the park in which we used to play and we often looked over to a local Pub called the Kings head and would talk about visiting this pub all together for a nice meal and drinks when we were old enough. The feels and smells brought back many childhood memories'
</t>
  </si>
  <si>
    <t>CONGRATULATIONS HONEY!!!!! WOW!! When did you get so old? Just kidding. Seriously you are looking great for a 50 year old and I am so pleased to call you my husband and a great father to our two children that think the world of you too. Enjoy your day We have so much to celebrate and here's to many more birthdays spent together.</t>
  </si>
  <si>
    <t xml:space="preserve">Last night I reunited with my day ones. Best friends since school. Hadn't seen each other in ages but we picked up right where we left off. That's the sign of true friends.
Laughed so much reminsicing about all the silly things we got up to in our younger days and thought about how much our lives have changed.
There was something really grounding about being around people who knew you before you knew yourself. No pretence, no pressure â€” just genuine connection.
</t>
  </si>
  <si>
    <t>Happy birthday to my hubby aka partner in life and the one whose always stood by me. Hope you have an amazing day and I can't wait to spoil you today!
Thank you for all the love and little things you do for our family. We appreciate you a million and would be lost without you.
May your year ahead be filled with even more love, laughs and amazing memories.</t>
  </si>
  <si>
    <t>After so many years, we finally met up, there was a whole lot of catching up and fun, kinda took me back to the old days, I kinda felt yound again, felt like we never should have grown up. It was really fun to reconnect and discuss on how far we have come, we really have come a long way.</t>
  </si>
  <si>
    <t>Happy Birthday to one of the best things that has happened to me in recent times, when I count my blessing I count you twice and I'm not exaggerating, You have literally become a very important part of me and I dont feel like I can do without you, I'm sorry I'm beginning to make this about me but I guess that what they mean when I say "You have become a part of me", I'm really happy to have met you and I would do this over and over again, even in another life. Happy birthday once again my love,</t>
  </si>
  <si>
    <t>we had the most amazing time reliving our  childhood, How fast time has passed and even though we all did different thing, went in different directions seeing you all just sent me straight back to primary school days, it was like we were back there and the future had not happened, hope you all felt the same, Thanks guys u r the best Xx</t>
  </si>
  <si>
    <t>It was really great to see Jim, John and Jon tonight. It has been a very long time since we got all of us in a room together!!! Hopefully it won't be as long until the next time this happens and maybe we can bring our instruments and jam! That would be so awesome, we'll definitely have to make it happen! Miss you guys and please keep in touch!</t>
  </si>
  <si>
    <t>Happy Birthday! It has been a great year and so looking forward to many many more! Thanks for all that you do for us! We'll have to make some time to properly celebrate your 18th birthday, again....lol. Can't wait to see you soon! Hopefully, you get out of work on time so we can do dinner or something tonight!!</t>
  </si>
  <si>
    <t>Amazing time with lifelong friends. Perfect setting with our favourite Indian restaurant booked out, gorging on delicious food, remembering happy times we have had together. time for laughter and some reflection as we think of those who are no longer with us. Life is great is is worth living</t>
  </si>
  <si>
    <t>Who would have thought another year has passed.....and when did you get so old!! Only kidding my love, your only as old as you feel, so in your case around 60? Flattery to one side, have an amazing Birthday, you truely are a special person, loved by many. You are my soul mate, my one true love</t>
  </si>
  <si>
    <t>This weekend, I reconnected with some old friends who I've known my whole life, since we all went to the same primary school. We enjoyed different food platters that each person bought and ended the night with some hot chocolate to reminisce our Christmas times back in school. see you soon.</t>
  </si>
  <si>
    <t>Congratulations, I hope the best for the family and i cant wait to see all of you soon. I remember it as only being yesterday when we were in college and now you've already reached 40. We'll have a big dinner and catch up over some coffee but, what flavour cake do you like, i was thinking of making a carrot cake.</t>
  </si>
  <si>
    <t>Another year, another birthday, Another year, another laughter line, Another year, another grey hair, Another year, another ? Happy birthday Darling Xx Hope its a good one, To all family and freinds hope you  are all able to join us and help us celebrate this 21 again birthday, lol. meeting at the usual place around 7pm, no dress code :)</t>
  </si>
  <si>
    <t>P. 116</t>
  </si>
  <si>
    <t>P. 117</t>
  </si>
  <si>
    <t>P. 118</t>
  </si>
  <si>
    <t>P. 119</t>
  </si>
  <si>
    <t>P. 120</t>
  </si>
  <si>
    <t>P. 121</t>
  </si>
  <si>
    <t>P. 122</t>
  </si>
  <si>
    <t>P. 123</t>
  </si>
  <si>
    <t>P. 124</t>
  </si>
  <si>
    <t>P. 125</t>
  </si>
  <si>
    <t>P. 126</t>
  </si>
  <si>
    <t>P. 127</t>
  </si>
  <si>
    <t>P. 128</t>
  </si>
  <si>
    <t>P. 129</t>
  </si>
  <si>
    <t>P. 130</t>
  </si>
  <si>
    <t>P. 131</t>
  </si>
  <si>
    <t>P. 132</t>
  </si>
  <si>
    <t>P. 133</t>
  </si>
  <si>
    <t xml:space="preserve">I was thinking about the places we used to go to as children.Kiddie Land was one of those places.Do you remember all the rides and fun we had? Your dad and mom took us there and we had a ball. So much fun as I remember so well.I really look back on the things we did as kids,and appreciate them so much. </t>
  </si>
  <si>
    <t>Congrats on the birthday coming up. Can't believe that you are going to be 60. Sending love and prayers for a great day,with lots of family and presents. Remember, you are not getting older, just getting better. Just remember that I love you and wish you a wonderful day .Love to you always,baby.</t>
  </si>
  <si>
    <t>62b437a2dbff0b6b3d0121e4</t>
  </si>
  <si>
    <t>67868bfd54b06784ec11ae1c</t>
  </si>
  <si>
    <t>62c4d5821033848c1dc3667b</t>
  </si>
  <si>
    <t>67a96562e2b052e6c15ed963</t>
  </si>
  <si>
    <t>64fb3be137d2bd2bdfab8ba6</t>
  </si>
  <si>
    <t>5f0f6811a0ed4a11dbc57b79</t>
  </si>
  <si>
    <t>59d3ef2c078dbe000195117f</t>
  </si>
  <si>
    <t>5855878ec41fd900014345d4</t>
  </si>
  <si>
    <t>63b3377ca1ccdfc7cc567503</t>
  </si>
  <si>
    <t>5e5521580ee1b951df544c3c</t>
  </si>
  <si>
    <t>677d4ffb4e07a3f53e0c3fdd</t>
  </si>
  <si>
    <t>66eb407e1ff22f0926073501</t>
  </si>
  <si>
    <t>615dd5ed4fd5b2c64eee7e99</t>
  </si>
  <si>
    <t>632e0fd7424f2848637d173f</t>
  </si>
  <si>
    <t>5f4412624052727181839e3a</t>
  </si>
  <si>
    <t>67c78fbc58d20f4b7fe41479</t>
  </si>
  <si>
    <t>67eaa46b7bb6cbefdcbde74c</t>
  </si>
  <si>
    <t>5d20b0157e17470001e1c635</t>
  </si>
  <si>
    <t>6509a48ff7809e6aba0cf5fa</t>
  </si>
  <si>
    <t>5755c957eb80c4000741a9ce</t>
  </si>
  <si>
    <t>5ef6308c40846d2dfca0b66a</t>
  </si>
  <si>
    <t>5ef5f74fb4a08f2676fb3aba</t>
  </si>
  <si>
    <t>57b6dfafe2d5a60001099543</t>
  </si>
  <si>
    <t>672e4bec60ab7fbffe5272d5</t>
  </si>
  <si>
    <t>5c5d36bc034e280001644c3b</t>
  </si>
  <si>
    <t>660dd503e5fe51271b447a4c</t>
  </si>
  <si>
    <t>642ef01a04c9f327767cde23</t>
  </si>
  <si>
    <t>6693cc5c2454061c0414ee05</t>
  </si>
  <si>
    <t>86.180.124.255</t>
  </si>
  <si>
    <t>R_8no74MoIgu9Zyog</t>
  </si>
  <si>
    <t>Catching up with my friends felt like being a time capsule tonight. We laughed about old stories, argued about who remembered them correctly and thought about how much things have and havenâ€™t changed. It was nice to see old familiar faces and reminisce on our shared history. Nights like this one remind me how lucky I am to have spent so much time with you growing up</t>
  </si>
  <si>
    <t>51.14.78.88</t>
  </si>
  <si>
    <t>R_81dpknKYE4Gt1zm</t>
  </si>
  <si>
    <t>162.251.59.205</t>
  </si>
  <si>
    <t>R_7F4AN3tRwQ6qsvf</t>
  </si>
  <si>
    <t>92.40.204.102</t>
  </si>
  <si>
    <t>R_8P3W0r8RYmwZ4Qh</t>
  </si>
  <si>
    <t>71.206.56.149</t>
  </si>
  <si>
    <t>R_5cv1DOqyWKfyHWV</t>
  </si>
  <si>
    <t>95.214.228.107</t>
  </si>
  <si>
    <t>R_88NvMAZ9pma5CTE</t>
  </si>
  <si>
    <t>109.144.161.129</t>
  </si>
  <si>
    <t>R_2Pp0piwCRMlOTm8</t>
  </si>
  <si>
    <t>86.147.108.241</t>
  </si>
  <si>
    <t>R_2O6VVX2QDErwyRn</t>
  </si>
  <si>
    <t>171.22.105.15</t>
  </si>
  <si>
    <t>R_2EoKMMgN62j0PS4</t>
  </si>
  <si>
    <t>Had the best time catching up with my childhood friends today! Itâ€™s crazy how no matter how much time passes, we always pick up right where we left off. Lots of laughs, memories, and a whole lot of nostalgia. :) Canâ€™t believe how much weâ€™ve all changed, but the bond is still the same. So grateful for these lifelong friendships!  #GoodTimes #OldFriends #Grateful #Nostalgia #UnforgettableMemories</t>
  </si>
  <si>
    <t>Happy Birthday to the love of my life!  Every day with you is a blessing, but today I get to celebrate U. You make my world brighter, my heart fuller, and my life so much better just by being you. Thank you for all the love, laughter, and endless memories. Hereâ€™s to many more birthdays together! Love you endlessly! #HappyBirthday #MyPerson #ForeverAndAlways #FeelingBlessed</t>
  </si>
  <si>
    <t>86.169.99.226</t>
  </si>
  <si>
    <t>R_2yfzODswTEOC3fP</t>
  </si>
  <si>
    <t>81.78.115.219</t>
  </si>
  <si>
    <t>R_8RsJi5RgWnvw6ne</t>
  </si>
  <si>
    <t>172.59.66.139</t>
  </si>
  <si>
    <t>R_6g09k2FB5qRBnQf</t>
  </si>
  <si>
    <t>98.224.23.131</t>
  </si>
  <si>
    <t>R_3Q3FeCpn2NAtqVA</t>
  </si>
  <si>
    <t>199.19.236.135</t>
  </si>
  <si>
    <t>R_1vPqfoee9BbwIHD</t>
  </si>
  <si>
    <t>146.200.206.63</t>
  </si>
  <si>
    <t>R_2Xafo6e2AdPScsK</t>
  </si>
  <si>
    <t>86.109.82.172</t>
  </si>
  <si>
    <t>R_3dYA57KS3GTKWGE</t>
  </si>
  <si>
    <t>Just spent the afternoon hanging out with my childhood friends, and it honestly felt like stepping back in time. We laughed about the silly things we used to do, caught up on where life has taken each of us, and realized that even though weâ€™ve all changed, the vibe is still the same. Grateful for the people who knew me way before life got complicated.</t>
  </si>
  <si>
    <t>Happy birthday to someone who brings so much light and positivity into my life. ðŸŽ‰ðŸ’› Iâ€™m really grateful for you and everything you doâ€”you make the good days even better and the tough days a little easier. Wishing you a year full of growth, joy, and everything youâ€™ve been working toward. Enjoy your day!</t>
  </si>
  <si>
    <t>86.109.80.38</t>
  </si>
  <si>
    <t>R_50dXjQ6oiWgO5M5</t>
  </si>
  <si>
    <t>82.4.39.132</t>
  </si>
  <si>
    <t>R_8nu9s7QpXgU0guS</t>
  </si>
  <si>
    <t>104.191.18.64</t>
  </si>
  <si>
    <t>R_7NWKBkWfmNzCL8D</t>
  </si>
  <si>
    <t>90.251.246.52</t>
  </si>
  <si>
    <t>R_2wghRxfmPOV4BJo</t>
  </si>
  <si>
    <t>Joy,Love,Trust</t>
  </si>
  <si>
    <t>24.2.91.147</t>
  </si>
  <si>
    <t>R_5wFABd6J5sRZPQQ</t>
  </si>
  <si>
    <t>165.120.115.170</t>
  </si>
  <si>
    <t>R_21XDA1yhvreCEBy</t>
  </si>
  <si>
    <t>Thankfulness,Joy</t>
  </si>
  <si>
    <t>109.108.156.52</t>
  </si>
  <si>
    <t>R_2hzNhAQU6Ccg4XT</t>
  </si>
  <si>
    <t>31.55.107.75</t>
  </si>
  <si>
    <t>R_8tBin2gI8G1yOBj</t>
  </si>
  <si>
    <t>31.125.83.11</t>
  </si>
  <si>
    <t>R_2Ojyo9Eu6BlV6SE</t>
  </si>
  <si>
    <t>172.56.100.150</t>
  </si>
  <si>
    <t>R_6hELisVdVoEpDJJ</t>
  </si>
  <si>
    <t>5.67.129.92</t>
  </si>
  <si>
    <t>R_2dmkpmnwDEqj8yZ</t>
  </si>
  <si>
    <t>95.146.252.77</t>
  </si>
  <si>
    <t>R_8n5UGE3UJIfkFJO</t>
  </si>
  <si>
    <t>None</t>
  </si>
  <si>
    <t>true labels 2 classes by percentiles</t>
  </si>
  <si>
    <t>true labels 3 classes by percentiles</t>
  </si>
  <si>
    <t>true labels 3 classes by fixed ranges</t>
  </si>
  <si>
    <t>true labels 2 classes by fixed ranges</t>
  </si>
  <si>
    <t>o by fixed ranges</t>
  </si>
  <si>
    <t>e by percentiles</t>
  </si>
  <si>
    <t>e by fixed ranges</t>
  </si>
  <si>
    <t>o by percentiles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</si>
</sst>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8" x14ac:knownFonts="1">
    <font>
      <sz val="11"/>
      <color indexed="8"/>
      <name val="Aptos Narrow"/>
      <family val="2"/>
      <scheme val="minor"/>
    </font>
    <font>
      <sz val="11"/>
      <color indexed="8"/>
      <name val="Aptos Narrow"/>
      <family val="2"/>
      <scheme val="minor"/>
    </font>
    <font>
      <sz val="11"/>
      <color rgb="FFFF0000"/>
      <name val="Aptos Narrow"/>
      <family val="2"/>
      <charset val="177"/>
      <scheme val="minor"/>
    </font>
    <font>
      <sz val="8"/>
      <name val="Aptos Narrow"/>
      <family val="2"/>
      <scheme val="minor"/>
    </font>
    <font>
      <b/>
      <sz val="11"/>
      <color indexed="8"/>
      <name val="Aptos Narrow"/>
      <family val="2"/>
      <scheme val="minor"/>
    </font>
    <font>
      <sz val="11"/>
      <color theme="4" tint="-0.249977111117893"/>
      <name val="Aptos Narrow"/>
      <family val="2"/>
      <scheme val="minor"/>
    </font>
    <font>
      <sz val="8"/>
      <color indexed="8"/>
      <name val="Aptos Narrow"/>
      <family val="2"/>
      <scheme val="minor"/>
    </font>
    <font>
      <b/>
      <sz val="11"/>
      <color theme="0"/>
      <name val="Aptos Narrow"/>
      <family val="2"/>
      <scheme val="minor"/>
    </font>
  </fonts>
  <fills count="15">
    <fill>
      <patternFill patternType="none"/>
    </fill>
    <fill>
      <patternFill patternType="gray125"/>
    </fill>
    <fill>
      <patternFill patternType="solid">
        <fgColor indexed="22"/>
      </patternFill>
    </fill>
    <fill>
      <patternFill patternType="solid">
        <fgColor theme="0"/>
        <bgColor indexed="64"/>
      </patternFill>
    </fill>
    <fill>
      <patternFill patternType="solid">
        <fgColor theme="7"/>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theme="4"/>
        <bgColor indexed="64"/>
      </patternFill>
    </fill>
    <fill>
      <patternFill patternType="solid">
        <fgColor theme="5" tint="0.59999389629810485"/>
        <bgColor indexed="64"/>
      </patternFill>
    </fill>
    <fill>
      <patternFill patternType="solid">
        <fgColor theme="4"/>
        <bgColor theme="4"/>
      </patternFill>
    </fill>
  </fills>
  <borders count="11">
    <border>
      <left/>
      <right/>
      <top/>
      <bottom/>
      <diagonal/>
    </border>
    <border>
      <left/>
      <right/>
      <top style="thin">
        <color theme="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bottom>
      <diagonal/>
    </border>
    <border>
      <left/>
      <right/>
      <top style="thin">
        <color theme="4" tint="0.39997558519241921"/>
      </top>
      <bottom style="thin">
        <color theme="4"/>
      </bottom>
      <diagonal/>
    </border>
    <border>
      <left style="thin">
        <color theme="4" tint="0.39997558519241921"/>
      </left>
      <right/>
      <top style="thin">
        <color theme="4"/>
      </top>
      <bottom/>
      <diagonal/>
    </border>
    <border>
      <left/>
      <right style="thin">
        <color theme="4" tint="0.39997558519241921"/>
      </right>
      <top style="thin">
        <color theme="4"/>
      </top>
      <bottom/>
      <diagonal/>
    </border>
    <border>
      <left/>
      <right style="thin">
        <color theme="4" tint="0.39997558519241921"/>
      </right>
      <top style="thin">
        <color theme="4" tint="0.39997558519241921"/>
      </top>
      <bottom style="thin">
        <color theme="4"/>
      </bottom>
      <diagonal/>
    </border>
    <border>
      <left/>
      <right/>
      <top style="thin">
        <color theme="4" tint="0.39997558519241921"/>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0" fontId="0" fillId="0" borderId="0" xfId="0" applyAlignment="1">
      <alignment horizontal="center"/>
    </xf>
    <xf numFmtId="0" fontId="0" fillId="5" borderId="0" xfId="0" applyFill="1" applyAlignment="1">
      <alignment horizontal="center"/>
    </xf>
    <xf numFmtId="49" fontId="0" fillId="9" borderId="0" xfId="0" applyNumberFormat="1" applyFill="1" applyAlignment="1">
      <alignment wrapText="1"/>
    </xf>
    <xf numFmtId="14" fontId="0" fillId="0" borderId="0" xfId="0" applyNumberFormat="1"/>
    <xf numFmtId="12" fontId="0" fillId="11" borderId="0" xfId="0" applyNumberFormat="1" applyFill="1" applyAlignment="1">
      <alignment horizontal="center"/>
    </xf>
    <xf numFmtId="0" fontId="0" fillId="11" borderId="0" xfId="0" applyFill="1" applyAlignment="1">
      <alignment horizontal="center"/>
    </xf>
    <xf numFmtId="0" fontId="4" fillId="0" borderId="0" xfId="0" applyFont="1" applyAlignment="1">
      <alignment horizontal="center"/>
    </xf>
    <xf numFmtId="0" fontId="2" fillId="0" borderId="0" xfId="0" applyFont="1" applyAlignment="1">
      <alignment horizontal="center"/>
    </xf>
    <xf numFmtId="12" fontId="0" fillId="12" borderId="0" xfId="0" applyNumberFormat="1" applyFill="1"/>
    <xf numFmtId="43" fontId="0" fillId="12" borderId="0" xfId="1" applyFont="1" applyFill="1"/>
    <xf numFmtId="12" fontId="0" fillId="12" borderId="0" xfId="0" applyNumberFormat="1" applyFill="1" applyAlignment="1">
      <alignment horizontal="center"/>
    </xf>
    <xf numFmtId="2" fontId="0" fillId="0" borderId="0" xfId="0" applyNumberFormat="1" applyAlignment="1">
      <alignment horizontal="center"/>
    </xf>
    <xf numFmtId="2" fontId="0" fillId="11" borderId="0" xfId="0" applyNumberFormat="1" applyFill="1" applyAlignment="1">
      <alignment horizontal="center"/>
    </xf>
    <xf numFmtId="0" fontId="5" fillId="10" borderId="1" xfId="0" applyFont="1" applyFill="1" applyBorder="1" applyAlignment="1">
      <alignment horizontal="center"/>
    </xf>
    <xf numFmtId="0" fontId="0" fillId="13" borderId="0" xfId="0" applyFill="1"/>
    <xf numFmtId="12" fontId="0" fillId="13" borderId="0" xfId="0" applyNumberFormat="1" applyFill="1"/>
    <xf numFmtId="2" fontId="0" fillId="12" borderId="0" xfId="0" applyNumberFormat="1" applyFill="1"/>
    <xf numFmtId="0" fontId="0" fillId="0" borderId="0" xfId="0" applyAlignment="1">
      <alignment horizontal="center" wrapText="1"/>
    </xf>
    <xf numFmtId="0" fontId="0" fillId="0" borderId="0" xfId="0" applyAlignment="1">
      <alignment horizontal="left"/>
    </xf>
    <xf numFmtId="0" fontId="0" fillId="0" borderId="0" xfId="0" applyAlignment="1">
      <alignment wrapText="1"/>
    </xf>
    <xf numFmtId="11" fontId="0" fillId="0" borderId="0" xfId="0" applyNumberFormat="1"/>
    <xf numFmtId="0" fontId="5" fillId="10" borderId="7" xfId="0" applyFont="1" applyFill="1" applyBorder="1" applyAlignment="1">
      <alignment horizontal="center"/>
    </xf>
    <xf numFmtId="0" fontId="5" fillId="10" borderId="8" xfId="0" applyFont="1" applyFill="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10" borderId="2" xfId="0" applyFont="1" applyFill="1" applyBorder="1" applyAlignment="1">
      <alignment horizontal="center"/>
    </xf>
    <xf numFmtId="0" fontId="5" fillId="10" borderId="3" xfId="0" applyFont="1" applyFill="1" applyBorder="1" applyAlignment="1">
      <alignment horizontal="center"/>
    </xf>
    <xf numFmtId="0" fontId="5" fillId="10" borderId="4" xfId="0" applyFont="1" applyFill="1" applyBorder="1" applyAlignment="1">
      <alignment horizontal="center"/>
    </xf>
    <xf numFmtId="0" fontId="5" fillId="10" borderId="5" xfId="0" applyFont="1" applyFill="1" applyBorder="1" applyAlignment="1">
      <alignment horizontal="center"/>
    </xf>
    <xf numFmtId="0" fontId="5" fillId="10" borderId="6" xfId="0" applyFont="1" applyFill="1" applyBorder="1" applyAlignment="1">
      <alignment horizontal="center"/>
    </xf>
    <xf numFmtId="0" fontId="5" fillId="10" borderId="9" xfId="0" applyFont="1" applyFill="1" applyBorder="1" applyAlignment="1">
      <alignment horizontal="center"/>
    </xf>
    <xf numFmtId="0" fontId="0" fillId="2" borderId="0" xfId="0" applyFill="1" applyAlignment="1">
      <alignment wrapText="1"/>
    </xf>
    <xf numFmtId="22" fontId="0" fillId="0" borderId="0" xfId="0" applyNumberFormat="1" applyAlignment="1">
      <alignment wrapText="1"/>
    </xf>
    <xf numFmtId="0" fontId="0" fillId="7" borderId="0" xfId="0" applyFill="1" applyAlignment="1">
      <alignment horizontal="center"/>
    </xf>
    <xf numFmtId="0" fontId="0" fillId="8"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9" borderId="0" xfId="0" applyFill="1"/>
    <xf numFmtId="0" fontId="0" fillId="6" borderId="0" xfId="0" applyFill="1" applyAlignment="1">
      <alignment horizontal="center" wrapText="1"/>
    </xf>
    <xf numFmtId="0" fontId="6" fillId="2" borderId="0" xfId="0" applyFont="1" applyFill="1" applyAlignment="1">
      <alignment horizontal="center" vertical="center" wrapText="1"/>
    </xf>
    <xf numFmtId="0" fontId="6" fillId="9" borderId="0" xfId="0" applyFont="1" applyFill="1"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xf>
    <xf numFmtId="0" fontId="7" fillId="14" borderId="10" xfId="0" applyFont="1" applyFill="1" applyBorder="1" applyAlignment="1">
      <alignment horizontal="center" vertical="center" wrapText="1"/>
    </xf>
    <xf numFmtId="0" fontId="0" fillId="3" borderId="0" xfId="0" applyFill="1" applyAlignment="1">
      <alignment horizontal="center"/>
    </xf>
    <xf numFmtId="0" fontId="0" fillId="2" borderId="0" xfId="0" applyFill="1" applyAlignment="1">
      <alignment horizontal="center"/>
    </xf>
    <xf numFmtId="0" fontId="0" fillId="0" borderId="0" xfId="0" applyAlignment="1">
      <alignment horizontal="center"/>
    </xf>
    <xf numFmtId="0" fontId="0" fillId="12" borderId="0" xfId="0" applyFill="1" applyAlignment="1">
      <alignment horizontal="center"/>
    </xf>
  </cellXfs>
  <cellStyles count="2">
    <cellStyle name="Comma" xfId="1" builtinId="3"/>
    <cellStyle name="Normal" xfId="0" builtinId="0"/>
  </cellStyles>
  <dxfs count="3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alignment horizontal="center" vertical="bottom" textRotation="0" wrapText="0"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none">
          <fgColor indexed="64"/>
          <bgColor indexed="65"/>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B53082-63AD-4379-8BC2-19258DEE13F0}" name="טבלה8" displayName="טבלה8" ref="N3:R136" totalsRowShown="0">
  <tableColumns count="5">
    <tableColumn id="1" xr3:uid="{B67C99FC-0870-41B1-8C48-DCB7C04EB0EF}" name="avg" dataDxfId="28">
      <calculatedColumnFormula>AVERAGE(B4:M4)</calculatedColumnFormula>
    </tableColumn>
    <tableColumn id="3" xr3:uid="{CD7E9C75-A451-4F07-9CCD-85C7C4FF2454}" name="true labels 3 classes by percentiles" dataDxfId="27">
      <calculatedColumnFormula>_xlfn.SWITCH(TRUE, N4&lt;=$S$11, "Low", N4&gt;=$S$12, "High", "Moderate")</calculatedColumnFormula>
    </tableColumn>
    <tableColumn id="5" xr3:uid="{0DDC4106-4BF2-45E4-B97A-7B7BC13E8E28}" name="true labels 3 classes by fixed ranges" dataDxfId="26">
      <calculatedColumnFormula array="1">_xlfn.SWITCH(TRUE, N4&gt;=3.5, "High", N4&gt;=2.5, "Moderate", "Low")</calculatedColumnFormula>
    </tableColumn>
    <tableColumn id="4" xr3:uid="{6EDC044C-51C3-4B7E-9218-353121D0410B}" name="true labels 2 classes by percentiles" dataDxfId="25">
      <calculatedColumnFormula>_xlfn.SWITCH(TRUE, N4&lt;=$S$13, "Low", "High")</calculatedColumnFormula>
    </tableColumn>
    <tableColumn id="6" xr3:uid="{B62C9FA2-2701-4050-A447-45FB3583089F}" name="true labels 2 classes by fixed ranges" dataDxfId="24">
      <calculatedColumnFormula array="1">_xlfn.SWITCH(TRUE, N4&gt;=3, "High", "Low")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4DA98F-F861-469B-9B81-ADBFF1F2D2F4}" name="טבלה7" displayName="טבלה7" ref="N3:R136" totalsRowShown="0" headerRowDxfId="23">
  <autoFilter ref="N3:R136" xr:uid="{D14DA98F-F861-469B-9B81-ADBFF1F2D2F4}"/>
  <tableColumns count="5">
    <tableColumn id="1" xr3:uid="{8AAF1D9C-7D16-4903-BC1A-EA0B1773158D}" name="avg" dataDxfId="22">
      <calculatedColumnFormula>AVERAGE(B4:M4)</calculatedColumnFormula>
    </tableColumn>
    <tableColumn id="3" xr3:uid="{903E54B6-1858-44AB-B99F-8BDDFE0E4EDC}" name="true labels 3 classes by percentiles" dataDxfId="21">
      <calculatedColumnFormula array="1">_xlfn.SWITCH(TRUE, N4&lt;=$S$7, "Low", N4&gt;=$S$8, "High", "Moderate")</calculatedColumnFormula>
    </tableColumn>
    <tableColumn id="2" xr3:uid="{2DF22270-2004-4EFC-AD91-3361390B41F4}" name="true labels 3 classes by fixed ranges" dataDxfId="20">
      <calculatedColumnFormula array="1">_xlfn.SWITCH(TRUE, N4&gt;=3.5, "High", N4&gt;=2.5, "Moderate", "Low")</calculatedColumnFormula>
    </tableColumn>
    <tableColumn id="4" xr3:uid="{92F5D99E-C54C-4B44-94C9-57D0DD6C1B74}" name="true labels 2 classes by percentiles" dataDxfId="19">
      <calculatedColumnFormula>_xlfn.SWITCH(TRUE, N4&lt;=$S$9, "Low", "High")</calculatedColumnFormula>
    </tableColumn>
    <tableColumn id="5" xr3:uid="{A3F3AB0E-EF30-43DB-BD0A-3469AFFA912E}" name="true labels 2 classes by fixed ranges" dataDxfId="18">
      <calculatedColumnFormula array="1">_xlfn.SWITCH(TRUE, N4&gt;=3, "High", "Low")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65B884-EB7E-4D10-86B5-AADFCD282EA9}" name="טבלה2" displayName="טבלה2" ref="N3:P108" totalsRowShown="0">
  <autoFilter ref="N3:P108" xr:uid="{E265B884-EB7E-4D10-86B5-AADFCD282EA9}">
    <filterColumn colId="0" hiddenButton="1"/>
    <filterColumn colId="1" hiddenButton="1"/>
    <filterColumn colId="2" hiddenButton="1"/>
  </autoFilter>
  <tableColumns count="3">
    <tableColumn id="1" xr3:uid="{BE5DD1E3-0B85-446B-9600-0D9A74BB81C8}" name="avg" dataDxfId="17">
      <calculatedColumnFormula>AVERAGE(B4:M4)</calculatedColumnFormula>
    </tableColumn>
    <tableColumn id="2" xr3:uid="{ACD550BB-D70E-45A7-B9AA-A660C47F9ACA}" name="true labels 3 classes" dataDxfId="16">
      <calculatedColumnFormula array="1">_xlfn.SWITCH(TRUE, N4&lt;=$Q$8, "Low", N4&gt;=$Q$9, "High", "Moderate")</calculatedColumnFormula>
    </tableColumn>
    <tableColumn id="3" xr3:uid="{03D4D884-E809-4CCD-B3FA-A9E937D0F776}" name="true labels 2 classes" dataDxfId="15">
      <calculatedColumnFormula>_xlfn.SWITCH(TRUE, N4&lt;=$Q$10, "Low", "High")</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6F3C5B-992D-42FD-84B2-0587E314AE16}" name="טבלה1" displayName="טבלה1" ref="N3:P108" totalsRowShown="0" headerRowDxfId="14" dataDxfId="13">
  <autoFilter ref="N3:P108" xr:uid="{9B6F3C5B-992D-42FD-84B2-0587E314AE16}">
    <filterColumn colId="0" hiddenButton="1"/>
    <filterColumn colId="1" hiddenButton="1"/>
    <filterColumn colId="2" hiddenButton="1"/>
  </autoFilter>
  <tableColumns count="3">
    <tableColumn id="1" xr3:uid="{427D0091-16EA-4A46-BA19-24CD7E43B2C4}" name="avg" dataDxfId="12">
      <calculatedColumnFormula>AVERAGE(B4:M4)</calculatedColumnFormula>
    </tableColumn>
    <tableColumn id="2" xr3:uid="{E67FE78B-8077-40FD-B133-EB50E76A5210}" name="3 classes true labels" dataDxfId="11">
      <calculatedColumnFormula array="1">_xlfn.SWITCH(TRUE, M4&lt;$R$9, "Low", M4&gt;$R$10, "High", "Moderate")</calculatedColumnFormula>
    </tableColumn>
    <tableColumn id="3" xr3:uid="{BCB9CCB1-03CC-402F-B858-B948D39CE113}" name="2 classes true labels" dataDxfId="10">
      <calculatedColumnFormula array="1">_xlfn.SWITCH(TRUE, M4&lt;$R$11, "Low", "High")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99B10EF-C95F-4830-A0D5-98A7AAD4CAA8}" name="טבלה10" displayName="טבלה10" ref="A1:H134" totalsRowShown="0" headerRowDxfId="9" dataDxfId="8">
  <tableColumns count="8">
    <tableColumn id="1" xr3:uid="{32F34151-BFD0-4388-86C3-2A060B5B38CA}" name="p"/>
    <tableColumn id="2" xr3:uid="{56A25801-3807-4595-942B-65694068E286}" name="post1" dataDxfId="7"/>
    <tableColumn id="3" xr3:uid="{479F67EC-10B7-4E13-B3DE-9BB983F50782}" name="post2" dataDxfId="6"/>
    <tableColumn id="4" xr3:uid="{2ABBFBA4-CEFE-4C27-8FD5-D27DC893D2D3}" name="o by percentiles" dataDxfId="3"/>
    <tableColumn id="11" xr3:uid="{20B8481F-E2C3-4E1E-BB99-90BB9DF22AE7}" name="o by fixed ranges" dataDxfId="2"/>
    <tableColumn id="8" xr3:uid="{C70DE244-C5B2-41F5-B3EB-43CD164F2F55}" name="e by percentiles" dataDxfId="1"/>
    <tableColumn id="7" xr3:uid="{EE5632FC-DBCA-4E2B-AC04-EFB56302F52C}" name="e by fixed ranges" dataDxfId="0"/>
    <tableColumn id="9" xr3:uid="{F3F4F1C3-7F82-49A2-8F1F-702FFB3F27D6}" name="USE FOR" dataDxfId="5"/>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__11"/>
  <dimension ref="A1:CN135"/>
  <sheetViews>
    <sheetView topLeftCell="BE1" workbookViewId="0">
      <selection activeCell="BW1" sqref="BW1"/>
    </sheetView>
  </sheetViews>
  <sheetFormatPr defaultRowHeight="14" customHeight="1" x14ac:dyDescent="0.35"/>
  <cols>
    <col min="3" max="4" width="15.08984375" style="24" hidden="1" customWidth="1"/>
    <col min="5" max="8" width="0" style="24" hidden="1" customWidth="1"/>
    <col min="9" max="9" width="15.1796875" style="24" hidden="1" customWidth="1"/>
    <col min="10" max="10" width="0" style="24" hidden="1" customWidth="1"/>
    <col min="11" max="13" width="8.7265625" style="24" hidden="1" customWidth="1"/>
    <col min="14" max="15" width="8.7265625" style="24"/>
    <col min="16" max="75" width="8.7265625" style="24" customWidth="1"/>
    <col min="76" max="92" width="8.7265625" style="24"/>
  </cols>
  <sheetData>
    <row r="1" spans="1:92" ht="14" customHeight="1" x14ac:dyDescent="0.35">
      <c r="P1" s="44">
        <f>COLUMN(A2)</f>
        <v>1</v>
      </c>
      <c r="Q1" s="44">
        <f t="shared" ref="Q1:BW1" si="0">COLUMN(B2)</f>
        <v>2</v>
      </c>
      <c r="R1" s="44">
        <f t="shared" si="0"/>
        <v>3</v>
      </c>
      <c r="S1" s="44">
        <f t="shared" si="0"/>
        <v>4</v>
      </c>
      <c r="T1" s="44">
        <f t="shared" si="0"/>
        <v>5</v>
      </c>
      <c r="U1" s="44">
        <f t="shared" si="0"/>
        <v>6</v>
      </c>
      <c r="V1" s="44">
        <f t="shared" si="0"/>
        <v>7</v>
      </c>
      <c r="W1" s="44">
        <f t="shared" si="0"/>
        <v>8</v>
      </c>
      <c r="X1" s="44">
        <f t="shared" si="0"/>
        <v>9</v>
      </c>
      <c r="Y1" s="44">
        <f t="shared" si="0"/>
        <v>10</v>
      </c>
      <c r="Z1" s="44">
        <f t="shared" si="0"/>
        <v>11</v>
      </c>
      <c r="AA1" s="44">
        <f t="shared" si="0"/>
        <v>12</v>
      </c>
      <c r="AB1" s="44">
        <f t="shared" si="0"/>
        <v>13</v>
      </c>
      <c r="AC1" s="44">
        <f t="shared" si="0"/>
        <v>14</v>
      </c>
      <c r="AD1" s="44">
        <f t="shared" si="0"/>
        <v>15</v>
      </c>
      <c r="AE1" s="44">
        <f t="shared" si="0"/>
        <v>16</v>
      </c>
      <c r="AF1" s="44">
        <f t="shared" si="0"/>
        <v>17</v>
      </c>
      <c r="AG1" s="44">
        <f t="shared" si="0"/>
        <v>18</v>
      </c>
      <c r="AH1" s="44">
        <f t="shared" si="0"/>
        <v>19</v>
      </c>
      <c r="AI1" s="44">
        <f t="shared" si="0"/>
        <v>20</v>
      </c>
      <c r="AJ1" s="44">
        <f t="shared" si="0"/>
        <v>21</v>
      </c>
      <c r="AK1" s="44">
        <f t="shared" si="0"/>
        <v>22</v>
      </c>
      <c r="AL1" s="44">
        <f t="shared" si="0"/>
        <v>23</v>
      </c>
      <c r="AM1" s="44">
        <f t="shared" si="0"/>
        <v>24</v>
      </c>
      <c r="AN1" s="44">
        <f t="shared" si="0"/>
        <v>25</v>
      </c>
      <c r="AO1" s="44">
        <f t="shared" si="0"/>
        <v>26</v>
      </c>
      <c r="AP1" s="44">
        <f t="shared" si="0"/>
        <v>27</v>
      </c>
      <c r="AQ1" s="44">
        <f t="shared" si="0"/>
        <v>28</v>
      </c>
      <c r="AR1" s="44">
        <f t="shared" si="0"/>
        <v>29</v>
      </c>
      <c r="AS1" s="44">
        <f t="shared" si="0"/>
        <v>30</v>
      </c>
      <c r="AT1" s="44">
        <f t="shared" si="0"/>
        <v>31</v>
      </c>
      <c r="AU1" s="44">
        <f t="shared" si="0"/>
        <v>32</v>
      </c>
      <c r="AV1" s="44">
        <f t="shared" si="0"/>
        <v>33</v>
      </c>
      <c r="AW1" s="44">
        <f t="shared" si="0"/>
        <v>34</v>
      </c>
      <c r="AX1" s="44">
        <f t="shared" si="0"/>
        <v>35</v>
      </c>
      <c r="AY1" s="44">
        <f t="shared" si="0"/>
        <v>36</v>
      </c>
      <c r="AZ1" s="44">
        <f t="shared" si="0"/>
        <v>37</v>
      </c>
      <c r="BA1" s="44">
        <f t="shared" si="0"/>
        <v>38</v>
      </c>
      <c r="BB1" s="44">
        <f t="shared" si="0"/>
        <v>39</v>
      </c>
      <c r="BC1" s="44">
        <f t="shared" si="0"/>
        <v>40</v>
      </c>
      <c r="BD1" s="44">
        <f t="shared" si="0"/>
        <v>41</v>
      </c>
      <c r="BE1" s="44">
        <f t="shared" si="0"/>
        <v>42</v>
      </c>
      <c r="BF1" s="44">
        <f t="shared" si="0"/>
        <v>43</v>
      </c>
      <c r="BG1" s="44">
        <f t="shared" si="0"/>
        <v>44</v>
      </c>
      <c r="BH1" s="44">
        <f t="shared" si="0"/>
        <v>45</v>
      </c>
      <c r="BI1" s="44">
        <f t="shared" si="0"/>
        <v>46</v>
      </c>
      <c r="BJ1" s="44">
        <f t="shared" si="0"/>
        <v>47</v>
      </c>
      <c r="BK1" s="44">
        <f t="shared" si="0"/>
        <v>48</v>
      </c>
      <c r="BL1" s="44">
        <f t="shared" si="0"/>
        <v>49</v>
      </c>
      <c r="BM1" s="44">
        <f t="shared" si="0"/>
        <v>50</v>
      </c>
      <c r="BN1" s="44">
        <f t="shared" si="0"/>
        <v>51</v>
      </c>
      <c r="BO1" s="44">
        <f t="shared" si="0"/>
        <v>52</v>
      </c>
      <c r="BP1" s="44">
        <f t="shared" si="0"/>
        <v>53</v>
      </c>
      <c r="BQ1" s="44">
        <f t="shared" si="0"/>
        <v>54</v>
      </c>
      <c r="BR1" s="44">
        <f t="shared" si="0"/>
        <v>55</v>
      </c>
      <c r="BS1" s="44">
        <f t="shared" si="0"/>
        <v>56</v>
      </c>
      <c r="BT1" s="44">
        <f t="shared" si="0"/>
        <v>57</v>
      </c>
      <c r="BU1" s="44">
        <f t="shared" si="0"/>
        <v>58</v>
      </c>
      <c r="BV1" s="44">
        <f t="shared" si="0"/>
        <v>59</v>
      </c>
      <c r="BW1" s="44">
        <f t="shared" si="0"/>
        <v>60</v>
      </c>
    </row>
    <row r="2" spans="1:92" ht="14" customHeight="1" x14ac:dyDescent="0.35">
      <c r="A2" s="3" t="s">
        <v>30</v>
      </c>
      <c r="B2" s="37"/>
      <c r="C2" s="37" t="s">
        <v>20</v>
      </c>
      <c r="D2" s="37" t="s">
        <v>21</v>
      </c>
      <c r="E2" s="37" t="s">
        <v>22</v>
      </c>
      <c r="F2" s="37" t="s">
        <v>0</v>
      </c>
      <c r="G2" s="37" t="s">
        <v>1</v>
      </c>
      <c r="H2" s="37" t="s">
        <v>2</v>
      </c>
      <c r="I2" s="37" t="s">
        <v>23</v>
      </c>
      <c r="J2" s="37" t="s">
        <v>24</v>
      </c>
      <c r="K2" s="37" t="s">
        <v>25</v>
      </c>
      <c r="L2" s="37" t="s">
        <v>26</v>
      </c>
      <c r="M2" s="37" t="s">
        <v>27</v>
      </c>
      <c r="N2" s="37" t="s">
        <v>28</v>
      </c>
      <c r="O2" s="37" t="s">
        <v>29</v>
      </c>
      <c r="P2" s="37" t="s">
        <v>724</v>
      </c>
      <c r="Q2" s="37" t="s">
        <v>712</v>
      </c>
      <c r="R2" s="37" t="s">
        <v>725</v>
      </c>
      <c r="S2" s="37" t="s">
        <v>726</v>
      </c>
      <c r="T2" s="37" t="s">
        <v>727</v>
      </c>
      <c r="U2" s="37" t="s">
        <v>713</v>
      </c>
      <c r="V2" s="37" t="s">
        <v>728</v>
      </c>
      <c r="W2" s="37" t="s">
        <v>729</v>
      </c>
      <c r="X2" s="37" t="s">
        <v>730</v>
      </c>
      <c r="Y2" s="37" t="s">
        <v>731</v>
      </c>
      <c r="Z2" s="37" t="s">
        <v>732</v>
      </c>
      <c r="AA2" s="37" t="s">
        <v>733</v>
      </c>
      <c r="AB2" s="37" t="s">
        <v>734</v>
      </c>
      <c r="AC2" s="37" t="s">
        <v>735</v>
      </c>
      <c r="AD2" s="37" t="s">
        <v>736</v>
      </c>
      <c r="AE2" s="37" t="s">
        <v>737</v>
      </c>
      <c r="AF2" s="37" t="s">
        <v>738</v>
      </c>
      <c r="AG2" s="37" t="s">
        <v>739</v>
      </c>
      <c r="AH2" s="37" t="s">
        <v>740</v>
      </c>
      <c r="AI2" s="37" t="s">
        <v>741</v>
      </c>
      <c r="AJ2" s="37" t="s">
        <v>714</v>
      </c>
      <c r="AK2" s="37" t="s">
        <v>742</v>
      </c>
      <c r="AL2" s="37" t="s">
        <v>743</v>
      </c>
      <c r="AM2" s="37" t="s">
        <v>744</v>
      </c>
      <c r="AN2" s="37" t="s">
        <v>745</v>
      </c>
      <c r="AO2" s="37" t="s">
        <v>715</v>
      </c>
      <c r="AP2" s="37" t="s">
        <v>716</v>
      </c>
      <c r="AQ2" s="37" t="s">
        <v>746</v>
      </c>
      <c r="AR2" s="37" t="s">
        <v>747</v>
      </c>
      <c r="AS2" s="37" t="s">
        <v>748</v>
      </c>
      <c r="AT2" s="37" t="s">
        <v>749</v>
      </c>
      <c r="AU2" s="37" t="s">
        <v>717</v>
      </c>
      <c r="AV2" s="37" t="s">
        <v>750</v>
      </c>
      <c r="AW2" s="37" t="s">
        <v>751</v>
      </c>
      <c r="AX2" s="37" t="s">
        <v>752</v>
      </c>
      <c r="AY2" s="37" t="s">
        <v>753</v>
      </c>
      <c r="AZ2" s="37" t="s">
        <v>718</v>
      </c>
      <c r="BA2" s="37" t="s">
        <v>754</v>
      </c>
      <c r="BB2" s="37" t="s">
        <v>755</v>
      </c>
      <c r="BC2" s="37" t="s">
        <v>756</v>
      </c>
      <c r="BD2" s="37" t="s">
        <v>757</v>
      </c>
      <c r="BE2" s="37" t="s">
        <v>719</v>
      </c>
      <c r="BF2" s="37" t="s">
        <v>758</v>
      </c>
      <c r="BG2" s="37" t="s">
        <v>759</v>
      </c>
      <c r="BH2" s="37" t="s">
        <v>760</v>
      </c>
      <c r="BI2" s="37" t="s">
        <v>761</v>
      </c>
      <c r="BJ2" s="37" t="s">
        <v>762</v>
      </c>
      <c r="BK2" s="37" t="s">
        <v>720</v>
      </c>
      <c r="BL2" s="37" t="s">
        <v>763</v>
      </c>
      <c r="BM2" s="37" t="s">
        <v>721</v>
      </c>
      <c r="BN2" s="37" t="s">
        <v>764</v>
      </c>
      <c r="BO2" s="37" t="s">
        <v>765</v>
      </c>
      <c r="BP2" s="37" t="s">
        <v>766</v>
      </c>
      <c r="BQ2" s="37" t="s">
        <v>767</v>
      </c>
      <c r="BR2" s="37" t="s">
        <v>768</v>
      </c>
      <c r="BS2" s="37" t="s">
        <v>722</v>
      </c>
      <c r="BT2" s="37" t="s">
        <v>769</v>
      </c>
      <c r="BU2" s="37" t="s">
        <v>770</v>
      </c>
      <c r="BV2" s="37" t="s">
        <v>723</v>
      </c>
      <c r="BW2" s="37" t="s">
        <v>771</v>
      </c>
      <c r="BX2" s="37" t="s">
        <v>3</v>
      </c>
      <c r="BY2" s="37" t="s">
        <v>4</v>
      </c>
      <c r="BZ2" s="37" t="s">
        <v>5</v>
      </c>
      <c r="CA2" s="37" t="s">
        <v>6</v>
      </c>
      <c r="CB2" s="37" t="s">
        <v>7</v>
      </c>
      <c r="CC2" s="37" t="s">
        <v>8</v>
      </c>
      <c r="CD2" s="37" t="s">
        <v>9</v>
      </c>
      <c r="CE2" s="37" t="s">
        <v>10</v>
      </c>
      <c r="CF2" s="37" t="s">
        <v>11</v>
      </c>
      <c r="CG2" s="37" t="s">
        <v>12</v>
      </c>
      <c r="CH2" s="37" t="s">
        <v>13</v>
      </c>
      <c r="CI2" s="37" t="s">
        <v>14</v>
      </c>
      <c r="CJ2" s="37" t="s">
        <v>15</v>
      </c>
      <c r="CK2" s="37" t="s">
        <v>16</v>
      </c>
      <c r="CL2" s="37" t="s">
        <v>17</v>
      </c>
      <c r="CM2" s="37" t="s">
        <v>18</v>
      </c>
      <c r="CN2" s="37" t="s">
        <v>19</v>
      </c>
    </row>
    <row r="3" spans="1:92" ht="14" customHeight="1" x14ac:dyDescent="0.35">
      <c r="A3" s="2" t="s">
        <v>103</v>
      </c>
      <c r="B3" t="str">
        <f>"p"&amp;ROW(A1)</f>
        <v>p1</v>
      </c>
      <c r="C3" s="38">
        <v>45574.86078703704</v>
      </c>
      <c r="D3" s="38">
        <v>45574.869513888887</v>
      </c>
      <c r="E3" s="2" t="s">
        <v>99</v>
      </c>
      <c r="F3" s="24">
        <v>100</v>
      </c>
      <c r="G3" s="24">
        <v>754</v>
      </c>
      <c r="H3" s="2" t="s">
        <v>31</v>
      </c>
      <c r="I3" s="38">
        <v>45574.869530821758</v>
      </c>
      <c r="J3" s="2" t="s">
        <v>100</v>
      </c>
      <c r="K3" s="24">
        <v>51.507399999999997</v>
      </c>
      <c r="L3" s="24">
        <v>-0.1196</v>
      </c>
      <c r="M3" s="2" t="s">
        <v>33</v>
      </c>
      <c r="N3" s="2" t="s">
        <v>101</v>
      </c>
      <c r="O3" s="2" t="s">
        <v>102</v>
      </c>
      <c r="P3" s="22">
        <v>4</v>
      </c>
      <c r="Q3" s="22">
        <v>5</v>
      </c>
      <c r="R3" s="22">
        <v>5</v>
      </c>
      <c r="S3" s="22">
        <v>2</v>
      </c>
      <c r="T3" s="22">
        <v>4</v>
      </c>
      <c r="U3" s="22">
        <v>4</v>
      </c>
      <c r="V3" s="22">
        <v>2</v>
      </c>
      <c r="W3" s="22">
        <v>3</v>
      </c>
      <c r="X3" s="22">
        <v>2</v>
      </c>
      <c r="Y3" s="22">
        <v>4</v>
      </c>
      <c r="Z3" s="22">
        <v>3</v>
      </c>
      <c r="AA3" s="22">
        <v>4</v>
      </c>
      <c r="AB3" s="22">
        <v>3</v>
      </c>
      <c r="AC3" s="22">
        <v>5</v>
      </c>
      <c r="AD3" s="22">
        <v>2</v>
      </c>
      <c r="AE3" s="22">
        <v>3</v>
      </c>
      <c r="AF3" s="22">
        <v>2</v>
      </c>
      <c r="AG3" s="22">
        <v>4</v>
      </c>
      <c r="AH3" s="22">
        <v>3</v>
      </c>
      <c r="AI3" s="22">
        <v>1</v>
      </c>
      <c r="AJ3" s="22">
        <v>1</v>
      </c>
      <c r="AK3" s="22">
        <v>3</v>
      </c>
      <c r="AL3" s="22">
        <v>3</v>
      </c>
      <c r="AM3" s="22">
        <v>4</v>
      </c>
      <c r="AN3" s="22">
        <v>4</v>
      </c>
      <c r="AO3" s="22">
        <v>3</v>
      </c>
      <c r="AP3" s="22">
        <v>3</v>
      </c>
      <c r="AQ3" s="22">
        <v>3</v>
      </c>
      <c r="AR3" s="22">
        <v>5</v>
      </c>
      <c r="AS3" s="22">
        <v>5</v>
      </c>
      <c r="AT3" s="22">
        <v>5</v>
      </c>
      <c r="AU3" s="22">
        <v>4</v>
      </c>
      <c r="AV3" s="22">
        <v>4</v>
      </c>
      <c r="AW3" s="22">
        <v>5</v>
      </c>
      <c r="AX3" s="22">
        <v>4</v>
      </c>
      <c r="AY3" s="22">
        <v>5</v>
      </c>
      <c r="AZ3" s="22">
        <v>4</v>
      </c>
      <c r="BA3" s="22">
        <v>5</v>
      </c>
      <c r="BB3" s="22">
        <v>2</v>
      </c>
      <c r="BC3" s="22">
        <v>5</v>
      </c>
      <c r="BD3" s="22">
        <v>4</v>
      </c>
      <c r="BE3" s="22">
        <v>4</v>
      </c>
      <c r="BF3" s="22">
        <v>5</v>
      </c>
      <c r="BG3" s="22">
        <v>2</v>
      </c>
      <c r="BH3" s="22">
        <v>5</v>
      </c>
      <c r="BI3" s="22">
        <v>3</v>
      </c>
      <c r="BJ3" s="22">
        <v>3</v>
      </c>
      <c r="BK3" s="22">
        <v>5</v>
      </c>
      <c r="BL3" s="22">
        <v>4</v>
      </c>
      <c r="BM3" s="22">
        <v>5</v>
      </c>
      <c r="BN3" s="22">
        <v>3</v>
      </c>
      <c r="BO3" s="22">
        <v>3</v>
      </c>
      <c r="BP3" s="22">
        <v>2</v>
      </c>
      <c r="BQ3" s="22">
        <v>5</v>
      </c>
      <c r="BR3" s="22">
        <v>5</v>
      </c>
      <c r="BS3" s="22">
        <v>1</v>
      </c>
      <c r="BT3" s="22">
        <v>1</v>
      </c>
      <c r="BU3" s="22">
        <v>1</v>
      </c>
      <c r="BV3" s="22">
        <v>5</v>
      </c>
      <c r="BW3" s="22">
        <v>5</v>
      </c>
      <c r="BX3" s="2" t="s">
        <v>103</v>
      </c>
      <c r="BY3" s="2" t="s">
        <v>32</v>
      </c>
      <c r="BZ3" s="2" t="s">
        <v>34</v>
      </c>
      <c r="CA3" s="2" t="s">
        <v>35</v>
      </c>
      <c r="CB3" s="24">
        <v>0</v>
      </c>
      <c r="CC3" s="2" t="s">
        <v>36</v>
      </c>
      <c r="CD3" s="2" t="s">
        <v>51</v>
      </c>
      <c r="CE3" s="2" t="s">
        <v>32</v>
      </c>
      <c r="CF3" s="24">
        <v>0</v>
      </c>
      <c r="CG3" s="24">
        <v>2</v>
      </c>
      <c r="CH3" s="2" t="s">
        <v>37</v>
      </c>
      <c r="CI3" s="2" t="s">
        <v>32</v>
      </c>
      <c r="CJ3" s="2" t="s">
        <v>32</v>
      </c>
      <c r="CK3" s="2" t="s">
        <v>38</v>
      </c>
      <c r="CL3" s="24">
        <v>1</v>
      </c>
      <c r="CM3" s="2" t="s">
        <v>45</v>
      </c>
      <c r="CN3" s="2" t="s">
        <v>32</v>
      </c>
    </row>
    <row r="4" spans="1:92" ht="14" customHeight="1" x14ac:dyDescent="0.35">
      <c r="A4" s="2" t="s">
        <v>151</v>
      </c>
      <c r="B4" t="str">
        <f t="shared" ref="B4:B67" si="1">"p"&amp;ROW(A2)</f>
        <v>p2</v>
      </c>
      <c r="C4" s="38">
        <v>45574.861018518517</v>
      </c>
      <c r="D4" s="38">
        <v>45574.872152777774</v>
      </c>
      <c r="E4" s="2" t="s">
        <v>147</v>
      </c>
      <c r="F4" s="24">
        <v>100</v>
      </c>
      <c r="G4" s="24">
        <v>961</v>
      </c>
      <c r="H4" s="2" t="s">
        <v>31</v>
      </c>
      <c r="I4" s="38">
        <v>45574.872162627318</v>
      </c>
      <c r="J4" s="2" t="s">
        <v>148</v>
      </c>
      <c r="K4" s="24">
        <v>51.489699999999999</v>
      </c>
      <c r="L4" s="24">
        <v>-0.10630000000000001</v>
      </c>
      <c r="M4" s="2" t="s">
        <v>33</v>
      </c>
      <c r="N4" s="2" t="s">
        <v>149</v>
      </c>
      <c r="O4" s="2" t="s">
        <v>150</v>
      </c>
      <c r="P4" s="22">
        <v>4</v>
      </c>
      <c r="Q4" s="22">
        <v>5</v>
      </c>
      <c r="R4" s="22">
        <v>5</v>
      </c>
      <c r="S4" s="22">
        <v>5</v>
      </c>
      <c r="T4" s="22">
        <v>1</v>
      </c>
      <c r="U4" s="22">
        <v>5</v>
      </c>
      <c r="V4" s="22">
        <v>3</v>
      </c>
      <c r="W4" s="22">
        <v>4</v>
      </c>
      <c r="X4" s="22">
        <v>3</v>
      </c>
      <c r="Y4" s="22">
        <v>4</v>
      </c>
      <c r="Z4" s="22">
        <v>2</v>
      </c>
      <c r="AA4" s="22">
        <v>4</v>
      </c>
      <c r="AB4" s="22">
        <v>4</v>
      </c>
      <c r="AC4" s="22">
        <v>4</v>
      </c>
      <c r="AD4" s="22">
        <v>1</v>
      </c>
      <c r="AE4" s="22">
        <v>5</v>
      </c>
      <c r="AF4" s="22">
        <v>3</v>
      </c>
      <c r="AG4" s="22">
        <v>3</v>
      </c>
      <c r="AH4" s="22">
        <v>4</v>
      </c>
      <c r="AI4" s="22">
        <v>1</v>
      </c>
      <c r="AJ4" s="22">
        <v>1</v>
      </c>
      <c r="AK4" s="22">
        <v>4</v>
      </c>
      <c r="AL4" s="22">
        <v>5</v>
      </c>
      <c r="AM4" s="22">
        <v>4</v>
      </c>
      <c r="AN4" s="22">
        <v>2</v>
      </c>
      <c r="AO4" s="22">
        <v>1</v>
      </c>
      <c r="AP4" s="22">
        <v>3</v>
      </c>
      <c r="AQ4" s="22">
        <v>4</v>
      </c>
      <c r="AR4" s="22">
        <v>2</v>
      </c>
      <c r="AS4" s="22">
        <v>5</v>
      </c>
      <c r="AT4" s="22">
        <v>4</v>
      </c>
      <c r="AU4" s="22">
        <v>5</v>
      </c>
      <c r="AV4" s="22">
        <v>5</v>
      </c>
      <c r="AW4" s="22">
        <v>3</v>
      </c>
      <c r="AX4" s="22">
        <v>4</v>
      </c>
      <c r="AY4" s="22">
        <v>3</v>
      </c>
      <c r="AZ4" s="22">
        <v>4</v>
      </c>
      <c r="BA4" s="22">
        <v>2</v>
      </c>
      <c r="BB4" s="22">
        <v>3</v>
      </c>
      <c r="BC4" s="22">
        <v>3</v>
      </c>
      <c r="BD4" s="22">
        <v>4</v>
      </c>
      <c r="BE4" s="22">
        <v>5</v>
      </c>
      <c r="BF4" s="22">
        <v>2</v>
      </c>
      <c r="BG4" s="22">
        <v>4</v>
      </c>
      <c r="BH4" s="22">
        <v>4</v>
      </c>
      <c r="BI4" s="22">
        <v>2</v>
      </c>
      <c r="BJ4" s="22">
        <v>4</v>
      </c>
      <c r="BK4" s="22">
        <v>4</v>
      </c>
      <c r="BL4" s="22">
        <v>2</v>
      </c>
      <c r="BM4" s="22">
        <v>5</v>
      </c>
      <c r="BN4" s="22">
        <v>2</v>
      </c>
      <c r="BO4" s="22">
        <v>3</v>
      </c>
      <c r="BP4" s="22">
        <v>1</v>
      </c>
      <c r="BQ4" s="22">
        <v>3</v>
      </c>
      <c r="BR4" s="22">
        <v>1</v>
      </c>
      <c r="BS4" s="22">
        <v>1</v>
      </c>
      <c r="BT4" s="22">
        <v>1</v>
      </c>
      <c r="BU4" s="22">
        <v>2</v>
      </c>
      <c r="BV4" s="22">
        <v>5</v>
      </c>
      <c r="BW4" s="22">
        <v>3</v>
      </c>
      <c r="BX4" s="2" t="s">
        <v>151</v>
      </c>
      <c r="BY4" s="2" t="s">
        <v>32</v>
      </c>
      <c r="BZ4" s="2" t="s">
        <v>34</v>
      </c>
      <c r="CA4" s="2" t="s">
        <v>109</v>
      </c>
      <c r="CB4" s="24">
        <v>1</v>
      </c>
      <c r="CC4" s="2" t="s">
        <v>36</v>
      </c>
      <c r="CD4" s="2" t="s">
        <v>152</v>
      </c>
      <c r="CE4" s="2" t="s">
        <v>32</v>
      </c>
      <c r="CF4" s="24">
        <v>0</v>
      </c>
      <c r="CG4" s="24">
        <v>2</v>
      </c>
      <c r="CH4" s="2" t="s">
        <v>37</v>
      </c>
      <c r="CI4" s="2" t="s">
        <v>32</v>
      </c>
      <c r="CJ4" s="2" t="s">
        <v>32</v>
      </c>
      <c r="CK4" s="2" t="s">
        <v>38</v>
      </c>
      <c r="CL4" s="24">
        <v>1</v>
      </c>
      <c r="CM4" s="2" t="s">
        <v>45</v>
      </c>
      <c r="CN4" s="2" t="s">
        <v>32</v>
      </c>
    </row>
    <row r="5" spans="1:92" ht="14" customHeight="1" x14ac:dyDescent="0.35">
      <c r="A5" s="2" t="s">
        <v>167</v>
      </c>
      <c r="B5" t="str">
        <f t="shared" si="1"/>
        <v>p3</v>
      </c>
      <c r="C5" s="38">
        <v>45574.861319444448</v>
      </c>
      <c r="D5" s="38">
        <v>45574.873368055552</v>
      </c>
      <c r="E5" s="2" t="s">
        <v>163</v>
      </c>
      <c r="F5" s="24">
        <v>100</v>
      </c>
      <c r="G5" s="24">
        <v>1040</v>
      </c>
      <c r="H5" s="2" t="s">
        <v>31</v>
      </c>
      <c r="I5" s="38">
        <v>45574.873376388889</v>
      </c>
      <c r="J5" s="2" t="s">
        <v>164</v>
      </c>
      <c r="K5" s="24">
        <v>52.902900000000002</v>
      </c>
      <c r="L5" s="24">
        <v>-1.5045999999999999</v>
      </c>
      <c r="M5" s="2" t="s">
        <v>33</v>
      </c>
      <c r="N5" s="2" t="s">
        <v>165</v>
      </c>
      <c r="O5" s="2" t="s">
        <v>166</v>
      </c>
      <c r="P5" s="22">
        <v>4</v>
      </c>
      <c r="Q5" s="22">
        <v>5</v>
      </c>
      <c r="R5" s="22">
        <v>2</v>
      </c>
      <c r="S5" s="22">
        <v>5</v>
      </c>
      <c r="T5" s="22">
        <v>3</v>
      </c>
      <c r="U5" s="22">
        <v>2</v>
      </c>
      <c r="V5" s="22">
        <v>1</v>
      </c>
      <c r="W5" s="22">
        <v>5</v>
      </c>
      <c r="X5" s="22">
        <v>1</v>
      </c>
      <c r="Y5" s="22">
        <v>4</v>
      </c>
      <c r="Z5" s="22">
        <v>4</v>
      </c>
      <c r="AA5" s="22">
        <v>3</v>
      </c>
      <c r="AB5" s="22">
        <v>1</v>
      </c>
      <c r="AC5" s="22">
        <v>5</v>
      </c>
      <c r="AD5" s="22">
        <v>1</v>
      </c>
      <c r="AE5" s="22">
        <v>5</v>
      </c>
      <c r="AF5" s="22">
        <v>4</v>
      </c>
      <c r="AG5" s="22">
        <v>4</v>
      </c>
      <c r="AH5" s="22">
        <v>5</v>
      </c>
      <c r="AI5" s="22">
        <v>1</v>
      </c>
      <c r="AJ5" s="22">
        <v>1</v>
      </c>
      <c r="AK5" s="22">
        <v>5</v>
      </c>
      <c r="AL5" s="22">
        <v>2</v>
      </c>
      <c r="AM5" s="22">
        <v>5</v>
      </c>
      <c r="AN5" s="22">
        <v>1</v>
      </c>
      <c r="AO5" s="22">
        <v>1</v>
      </c>
      <c r="AP5" s="22">
        <v>3</v>
      </c>
      <c r="AQ5" s="22">
        <v>3</v>
      </c>
      <c r="AR5" s="22">
        <v>4</v>
      </c>
      <c r="AS5" s="22">
        <v>5</v>
      </c>
      <c r="AT5" s="22">
        <v>5</v>
      </c>
      <c r="AU5" s="22">
        <v>4</v>
      </c>
      <c r="AV5" s="22">
        <v>2</v>
      </c>
      <c r="AW5" s="22">
        <v>4</v>
      </c>
      <c r="AX5" s="22">
        <v>3</v>
      </c>
      <c r="AY5" s="22">
        <v>5</v>
      </c>
      <c r="AZ5" s="22">
        <v>4</v>
      </c>
      <c r="BA5" s="22">
        <v>1</v>
      </c>
      <c r="BB5" s="22">
        <v>1</v>
      </c>
      <c r="BC5" s="22">
        <v>5</v>
      </c>
      <c r="BD5" s="22">
        <v>2</v>
      </c>
      <c r="BE5" s="22">
        <v>4</v>
      </c>
      <c r="BF5" s="22">
        <v>5</v>
      </c>
      <c r="BG5" s="22">
        <v>3</v>
      </c>
      <c r="BH5" s="22">
        <v>4</v>
      </c>
      <c r="BI5" s="22">
        <v>2</v>
      </c>
      <c r="BJ5" s="22">
        <v>4</v>
      </c>
      <c r="BK5" s="22">
        <v>5</v>
      </c>
      <c r="BL5" s="22">
        <v>2</v>
      </c>
      <c r="BM5" s="22">
        <v>4</v>
      </c>
      <c r="BN5" s="22">
        <v>2</v>
      </c>
      <c r="BO5" s="22">
        <v>5</v>
      </c>
      <c r="BP5" s="22">
        <v>2</v>
      </c>
      <c r="BQ5" s="22">
        <v>1</v>
      </c>
      <c r="BR5" s="22">
        <v>3</v>
      </c>
      <c r="BS5" s="22">
        <v>2</v>
      </c>
      <c r="BT5" s="22">
        <v>3</v>
      </c>
      <c r="BU5" s="22">
        <v>5</v>
      </c>
      <c r="BV5" s="22">
        <v>3</v>
      </c>
      <c r="BW5" s="22">
        <v>2</v>
      </c>
      <c r="BX5" s="2" t="s">
        <v>167</v>
      </c>
      <c r="BY5" s="2" t="s">
        <v>32</v>
      </c>
      <c r="BZ5" s="2" t="s">
        <v>34</v>
      </c>
      <c r="CA5" s="2" t="s">
        <v>35</v>
      </c>
      <c r="CB5" s="24">
        <v>0</v>
      </c>
      <c r="CC5" s="2" t="s">
        <v>36</v>
      </c>
      <c r="CD5" s="2" t="s">
        <v>82</v>
      </c>
      <c r="CE5" s="2" t="s">
        <v>32</v>
      </c>
      <c r="CF5" s="24">
        <v>0</v>
      </c>
      <c r="CG5" s="24">
        <v>2</v>
      </c>
      <c r="CH5" s="2" t="s">
        <v>37</v>
      </c>
      <c r="CI5" s="2" t="s">
        <v>32</v>
      </c>
      <c r="CJ5" s="2" t="s">
        <v>32</v>
      </c>
      <c r="CK5" s="2" t="s">
        <v>38</v>
      </c>
      <c r="CL5" s="24">
        <v>1</v>
      </c>
      <c r="CM5" s="2" t="s">
        <v>45</v>
      </c>
      <c r="CN5" s="2" t="s">
        <v>32</v>
      </c>
    </row>
    <row r="6" spans="1:92" ht="14" customHeight="1" x14ac:dyDescent="0.35">
      <c r="A6" s="2" t="s">
        <v>87</v>
      </c>
      <c r="B6" t="str">
        <f t="shared" si="1"/>
        <v>p4</v>
      </c>
      <c r="C6" s="38">
        <v>45574.861597222225</v>
      </c>
      <c r="D6" s="38">
        <v>45574.868819444448</v>
      </c>
      <c r="E6" s="2" t="s">
        <v>83</v>
      </c>
      <c r="F6" s="24">
        <v>100</v>
      </c>
      <c r="G6" s="24">
        <v>624</v>
      </c>
      <c r="H6" s="2" t="s">
        <v>31</v>
      </c>
      <c r="I6" s="38">
        <v>45574.868833668981</v>
      </c>
      <c r="J6" s="2" t="s">
        <v>84</v>
      </c>
      <c r="K6" s="24">
        <v>43.412599999999998</v>
      </c>
      <c r="L6" s="24">
        <v>24.608899999999998</v>
      </c>
      <c r="M6" s="2" t="s">
        <v>33</v>
      </c>
      <c r="N6" s="2" t="s">
        <v>85</v>
      </c>
      <c r="O6" s="2" t="s">
        <v>86</v>
      </c>
      <c r="P6" s="22">
        <v>3</v>
      </c>
      <c r="Q6" s="22">
        <v>4</v>
      </c>
      <c r="R6" s="22">
        <v>4</v>
      </c>
      <c r="S6" s="22">
        <v>1</v>
      </c>
      <c r="T6" s="22">
        <v>1</v>
      </c>
      <c r="U6" s="22">
        <v>5</v>
      </c>
      <c r="V6" s="22">
        <v>3</v>
      </c>
      <c r="W6" s="22">
        <v>3</v>
      </c>
      <c r="X6" s="22">
        <v>3</v>
      </c>
      <c r="Y6" s="22">
        <v>4</v>
      </c>
      <c r="Z6" s="22">
        <v>1</v>
      </c>
      <c r="AA6" s="22">
        <v>1</v>
      </c>
      <c r="AB6" s="22">
        <v>2</v>
      </c>
      <c r="AC6" s="22">
        <v>5</v>
      </c>
      <c r="AD6" s="22">
        <v>1</v>
      </c>
      <c r="AE6" s="22">
        <v>4</v>
      </c>
      <c r="AF6" s="22">
        <v>2</v>
      </c>
      <c r="AG6" s="22">
        <v>3</v>
      </c>
      <c r="AH6" s="22">
        <v>5</v>
      </c>
      <c r="AI6" s="22">
        <v>3</v>
      </c>
      <c r="AJ6" s="22">
        <v>1</v>
      </c>
      <c r="AK6" s="22">
        <v>2</v>
      </c>
      <c r="AL6" s="22">
        <v>4</v>
      </c>
      <c r="AM6" s="22">
        <v>4</v>
      </c>
      <c r="AN6" s="22">
        <v>3</v>
      </c>
      <c r="AO6" s="22">
        <v>1</v>
      </c>
      <c r="AP6" s="22">
        <v>3</v>
      </c>
      <c r="AQ6" s="22">
        <v>4</v>
      </c>
      <c r="AR6" s="22">
        <v>4</v>
      </c>
      <c r="AS6" s="22">
        <v>3</v>
      </c>
      <c r="AT6" s="22">
        <v>4</v>
      </c>
      <c r="AU6" s="22">
        <v>5</v>
      </c>
      <c r="AV6" s="22">
        <v>3</v>
      </c>
      <c r="AW6" s="22">
        <v>3</v>
      </c>
      <c r="AX6" s="22">
        <v>4</v>
      </c>
      <c r="AY6" s="22">
        <v>4</v>
      </c>
      <c r="AZ6" s="22">
        <v>4</v>
      </c>
      <c r="BA6" s="22">
        <v>1</v>
      </c>
      <c r="BB6" s="22">
        <v>3</v>
      </c>
      <c r="BC6" s="22">
        <v>1</v>
      </c>
      <c r="BD6" s="22">
        <v>3</v>
      </c>
      <c r="BE6" s="22">
        <v>5</v>
      </c>
      <c r="BF6" s="22">
        <v>1</v>
      </c>
      <c r="BG6" s="22">
        <v>3</v>
      </c>
      <c r="BH6" s="22">
        <v>2</v>
      </c>
      <c r="BI6" s="22">
        <v>1</v>
      </c>
      <c r="BJ6" s="22">
        <v>3</v>
      </c>
      <c r="BK6" s="22">
        <v>1</v>
      </c>
      <c r="BL6" s="22">
        <v>1</v>
      </c>
      <c r="BM6" s="22">
        <v>4</v>
      </c>
      <c r="BN6" s="22">
        <v>3</v>
      </c>
      <c r="BO6" s="22">
        <v>5</v>
      </c>
      <c r="BP6" s="22">
        <v>1</v>
      </c>
      <c r="BQ6" s="22">
        <v>3</v>
      </c>
      <c r="BR6" s="22">
        <v>1</v>
      </c>
      <c r="BS6" s="22">
        <v>1</v>
      </c>
      <c r="BT6" s="22">
        <v>2</v>
      </c>
      <c r="BU6" s="22">
        <v>2</v>
      </c>
      <c r="BV6" s="22">
        <v>5</v>
      </c>
      <c r="BW6" s="22">
        <v>2</v>
      </c>
      <c r="BX6" s="2" t="s">
        <v>87</v>
      </c>
      <c r="BY6" s="2" t="s">
        <v>32</v>
      </c>
      <c r="BZ6" s="2" t="s">
        <v>34</v>
      </c>
      <c r="CA6" s="2" t="s">
        <v>35</v>
      </c>
      <c r="CB6" s="24">
        <v>0</v>
      </c>
      <c r="CC6" s="2" t="s">
        <v>36</v>
      </c>
      <c r="CD6" s="2" t="s">
        <v>53</v>
      </c>
      <c r="CE6" s="2" t="s">
        <v>32</v>
      </c>
      <c r="CF6" s="24">
        <v>0</v>
      </c>
      <c r="CG6" s="24">
        <v>2</v>
      </c>
      <c r="CH6" s="2" t="s">
        <v>37</v>
      </c>
      <c r="CI6" s="2" t="s">
        <v>32</v>
      </c>
      <c r="CJ6" s="2" t="s">
        <v>32</v>
      </c>
      <c r="CK6" s="2" t="s">
        <v>38</v>
      </c>
      <c r="CL6" s="24">
        <v>1</v>
      </c>
      <c r="CM6" s="2" t="s">
        <v>45</v>
      </c>
      <c r="CN6" s="2" t="s">
        <v>32</v>
      </c>
    </row>
    <row r="7" spans="1:92" ht="14" customHeight="1" x14ac:dyDescent="0.35">
      <c r="A7" s="2" t="s">
        <v>92</v>
      </c>
      <c r="B7" t="str">
        <f t="shared" si="1"/>
        <v>p5</v>
      </c>
      <c r="C7" s="38">
        <v>45574.861678240741</v>
      </c>
      <c r="D7" s="38">
        <v>45574.868958333333</v>
      </c>
      <c r="E7" s="2" t="s">
        <v>88</v>
      </c>
      <c r="F7" s="24">
        <v>100</v>
      </c>
      <c r="G7" s="24">
        <v>628</v>
      </c>
      <c r="H7" s="2" t="s">
        <v>31</v>
      </c>
      <c r="I7" s="38">
        <v>45574.868980196756</v>
      </c>
      <c r="J7" s="2" t="s">
        <v>89</v>
      </c>
      <c r="K7" s="24">
        <v>51.024999999999999</v>
      </c>
      <c r="L7" s="24">
        <v>-0.29780000000000001</v>
      </c>
      <c r="M7" s="2" t="s">
        <v>33</v>
      </c>
      <c r="N7" s="2" t="s">
        <v>90</v>
      </c>
      <c r="O7" s="2" t="s">
        <v>91</v>
      </c>
      <c r="P7" s="22">
        <v>5</v>
      </c>
      <c r="Q7" s="22">
        <v>5</v>
      </c>
      <c r="R7" s="22">
        <v>4</v>
      </c>
      <c r="S7" s="22">
        <v>4</v>
      </c>
      <c r="T7" s="22">
        <v>2</v>
      </c>
      <c r="U7" s="22">
        <v>5</v>
      </c>
      <c r="V7" s="22">
        <v>2</v>
      </c>
      <c r="W7" s="22">
        <v>4</v>
      </c>
      <c r="X7" s="22">
        <v>2</v>
      </c>
      <c r="Y7" s="22">
        <v>4</v>
      </c>
      <c r="Z7" s="22">
        <v>1</v>
      </c>
      <c r="AA7" s="22">
        <v>3</v>
      </c>
      <c r="AB7" s="22">
        <v>2</v>
      </c>
      <c r="AC7" s="22">
        <v>4</v>
      </c>
      <c r="AD7" s="22">
        <v>1</v>
      </c>
      <c r="AE7" s="22">
        <v>5</v>
      </c>
      <c r="AF7" s="22">
        <v>5</v>
      </c>
      <c r="AG7" s="22">
        <v>2</v>
      </c>
      <c r="AH7" s="22">
        <v>4</v>
      </c>
      <c r="AI7" s="22">
        <v>1</v>
      </c>
      <c r="AJ7" s="22">
        <v>1</v>
      </c>
      <c r="AK7" s="22">
        <v>4</v>
      </c>
      <c r="AL7" s="22">
        <v>4</v>
      </c>
      <c r="AM7" s="22">
        <v>4</v>
      </c>
      <c r="AN7" s="22">
        <v>3</v>
      </c>
      <c r="AO7" s="22">
        <v>1</v>
      </c>
      <c r="AP7" s="22">
        <v>3</v>
      </c>
      <c r="AQ7" s="22">
        <v>2</v>
      </c>
      <c r="AR7" s="22">
        <v>4</v>
      </c>
      <c r="AS7" s="22">
        <v>4</v>
      </c>
      <c r="AT7" s="22">
        <v>5</v>
      </c>
      <c r="AU7" s="22">
        <v>4</v>
      </c>
      <c r="AV7" s="22">
        <v>4</v>
      </c>
      <c r="AW7" s="22">
        <v>2</v>
      </c>
      <c r="AX7" s="22">
        <v>4</v>
      </c>
      <c r="AY7" s="22">
        <v>5</v>
      </c>
      <c r="AZ7" s="22">
        <v>5</v>
      </c>
      <c r="BA7" s="22">
        <v>2</v>
      </c>
      <c r="BB7" s="22">
        <v>2</v>
      </c>
      <c r="BC7" s="22">
        <v>3</v>
      </c>
      <c r="BD7" s="22">
        <v>4</v>
      </c>
      <c r="BE7" s="22">
        <v>5</v>
      </c>
      <c r="BF7" s="22">
        <v>1</v>
      </c>
      <c r="BG7" s="22">
        <v>3</v>
      </c>
      <c r="BH7" s="22">
        <v>3</v>
      </c>
      <c r="BI7" s="22">
        <v>3</v>
      </c>
      <c r="BJ7" s="22">
        <v>4</v>
      </c>
      <c r="BK7" s="22">
        <v>5</v>
      </c>
      <c r="BL7" s="22">
        <v>2</v>
      </c>
      <c r="BM7" s="22">
        <v>5</v>
      </c>
      <c r="BN7" s="22">
        <v>2</v>
      </c>
      <c r="BO7" s="22">
        <v>3</v>
      </c>
      <c r="BP7" s="22">
        <v>3</v>
      </c>
      <c r="BQ7" s="22">
        <v>2</v>
      </c>
      <c r="BR7" s="22">
        <v>4</v>
      </c>
      <c r="BS7" s="22">
        <v>1</v>
      </c>
      <c r="BT7" s="22">
        <v>3</v>
      </c>
      <c r="BU7" s="22">
        <v>1</v>
      </c>
      <c r="BV7" s="22">
        <v>5</v>
      </c>
      <c r="BW7" s="22">
        <v>2</v>
      </c>
      <c r="BX7" s="2" t="s">
        <v>92</v>
      </c>
      <c r="BY7" s="2" t="s">
        <v>32</v>
      </c>
      <c r="BZ7" s="2" t="s">
        <v>34</v>
      </c>
      <c r="CA7" s="2" t="s">
        <v>35</v>
      </c>
      <c r="CB7" s="24">
        <v>0</v>
      </c>
      <c r="CC7" s="2" t="s">
        <v>36</v>
      </c>
      <c r="CD7" s="2" t="s">
        <v>53</v>
      </c>
      <c r="CE7" s="2" t="s">
        <v>32</v>
      </c>
      <c r="CF7" s="24">
        <v>0</v>
      </c>
      <c r="CG7" s="24">
        <v>2</v>
      </c>
      <c r="CH7" s="2" t="s">
        <v>37</v>
      </c>
      <c r="CI7" s="2" t="s">
        <v>32</v>
      </c>
      <c r="CJ7" s="2" t="s">
        <v>32</v>
      </c>
      <c r="CK7" s="2" t="s">
        <v>38</v>
      </c>
      <c r="CL7" s="24">
        <v>1</v>
      </c>
      <c r="CM7" s="2" t="s">
        <v>45</v>
      </c>
      <c r="CN7" s="2" t="s">
        <v>32</v>
      </c>
    </row>
    <row r="8" spans="1:92" ht="14" customHeight="1" x14ac:dyDescent="0.35">
      <c r="A8" s="2" t="s">
        <v>131</v>
      </c>
      <c r="B8" t="str">
        <f t="shared" si="1"/>
        <v>p6</v>
      </c>
      <c r="C8" s="38">
        <v>45574.861678240741</v>
      </c>
      <c r="D8" s="38">
        <v>45574.869988425926</v>
      </c>
      <c r="E8" s="2" t="s">
        <v>127</v>
      </c>
      <c r="F8" s="24">
        <v>100</v>
      </c>
      <c r="G8" s="24">
        <v>718</v>
      </c>
      <c r="H8" s="2" t="s">
        <v>31</v>
      </c>
      <c r="I8" s="38">
        <v>45574.870005717596</v>
      </c>
      <c r="J8" s="2" t="s">
        <v>128</v>
      </c>
      <c r="K8" s="24">
        <v>56.379899999999999</v>
      </c>
      <c r="L8" s="24">
        <v>-3.8193999999999999</v>
      </c>
      <c r="M8" s="2" t="s">
        <v>33</v>
      </c>
      <c r="N8" s="2" t="s">
        <v>129</v>
      </c>
      <c r="O8" s="2" t="s">
        <v>130</v>
      </c>
      <c r="P8" s="22">
        <v>4</v>
      </c>
      <c r="Q8" s="22">
        <v>4</v>
      </c>
      <c r="R8" s="22">
        <v>2</v>
      </c>
      <c r="S8" s="22">
        <v>3</v>
      </c>
      <c r="T8" s="22">
        <v>3</v>
      </c>
      <c r="U8" s="22">
        <v>4</v>
      </c>
      <c r="V8" s="22">
        <v>2</v>
      </c>
      <c r="W8" s="22">
        <v>2</v>
      </c>
      <c r="X8" s="22">
        <v>1</v>
      </c>
      <c r="Y8" s="22">
        <v>3</v>
      </c>
      <c r="Z8" s="22">
        <v>3</v>
      </c>
      <c r="AA8" s="22">
        <v>3</v>
      </c>
      <c r="AB8" s="22">
        <v>2</v>
      </c>
      <c r="AC8" s="22">
        <v>2</v>
      </c>
      <c r="AD8" s="22">
        <v>2</v>
      </c>
      <c r="AE8" s="22">
        <v>3</v>
      </c>
      <c r="AF8" s="22">
        <v>3</v>
      </c>
      <c r="AG8" s="22">
        <v>3</v>
      </c>
      <c r="AH8" s="22">
        <v>4</v>
      </c>
      <c r="AI8" s="22">
        <v>4</v>
      </c>
      <c r="AJ8" s="22">
        <v>2</v>
      </c>
      <c r="AK8" s="22">
        <v>4</v>
      </c>
      <c r="AL8" s="22">
        <v>4</v>
      </c>
      <c r="AM8" s="22">
        <v>3</v>
      </c>
      <c r="AN8" s="22">
        <v>3</v>
      </c>
      <c r="AO8" s="22">
        <v>3</v>
      </c>
      <c r="AP8" s="22">
        <v>4</v>
      </c>
      <c r="AQ8" s="22">
        <v>3</v>
      </c>
      <c r="AR8" s="22">
        <v>4</v>
      </c>
      <c r="AS8" s="22">
        <v>2</v>
      </c>
      <c r="AT8" s="22">
        <v>2</v>
      </c>
      <c r="AU8" s="22">
        <v>4</v>
      </c>
      <c r="AV8" s="22">
        <v>2</v>
      </c>
      <c r="AW8" s="22">
        <v>4</v>
      </c>
      <c r="AX8" s="22">
        <v>4</v>
      </c>
      <c r="AY8" s="22">
        <v>3</v>
      </c>
      <c r="AZ8" s="22">
        <v>4</v>
      </c>
      <c r="BA8" s="22">
        <v>2</v>
      </c>
      <c r="BB8" s="22">
        <v>2</v>
      </c>
      <c r="BC8" s="22">
        <v>4</v>
      </c>
      <c r="BD8" s="22">
        <v>1</v>
      </c>
      <c r="BE8" s="22">
        <v>4</v>
      </c>
      <c r="BF8" s="22">
        <v>3</v>
      </c>
      <c r="BG8" s="22">
        <v>3</v>
      </c>
      <c r="BH8" s="22">
        <v>3</v>
      </c>
      <c r="BI8" s="22">
        <v>1</v>
      </c>
      <c r="BJ8" s="22">
        <v>3</v>
      </c>
      <c r="BK8" s="22">
        <v>4</v>
      </c>
      <c r="BL8" s="22">
        <v>3</v>
      </c>
      <c r="BM8" s="22">
        <v>4</v>
      </c>
      <c r="BN8" s="22">
        <v>3</v>
      </c>
      <c r="BO8" s="22">
        <v>2</v>
      </c>
      <c r="BP8" s="22">
        <v>3</v>
      </c>
      <c r="BQ8" s="22">
        <v>4</v>
      </c>
      <c r="BR8" s="22">
        <v>3</v>
      </c>
      <c r="BS8" s="22">
        <v>2</v>
      </c>
      <c r="BT8" s="22">
        <v>3</v>
      </c>
      <c r="BU8" s="22">
        <v>3</v>
      </c>
      <c r="BV8" s="22">
        <v>4</v>
      </c>
      <c r="BW8" s="22">
        <v>3</v>
      </c>
      <c r="BX8" s="2" t="s">
        <v>131</v>
      </c>
      <c r="BY8" s="2" t="s">
        <v>32</v>
      </c>
      <c r="BZ8" s="2" t="s">
        <v>34</v>
      </c>
      <c r="CA8" s="2" t="s">
        <v>35</v>
      </c>
      <c r="CB8" s="24">
        <v>0</v>
      </c>
      <c r="CC8" s="2" t="s">
        <v>52</v>
      </c>
      <c r="CD8" s="2" t="s">
        <v>51</v>
      </c>
      <c r="CE8" s="2" t="s">
        <v>32</v>
      </c>
      <c r="CF8" s="24">
        <v>0</v>
      </c>
      <c r="CG8" s="24">
        <v>0</v>
      </c>
      <c r="CH8" s="2" t="s">
        <v>51</v>
      </c>
      <c r="CI8" s="2" t="s">
        <v>32</v>
      </c>
      <c r="CJ8" s="2" t="s">
        <v>32</v>
      </c>
      <c r="CK8" s="2" t="s">
        <v>38</v>
      </c>
      <c r="CL8" s="24">
        <v>1</v>
      </c>
      <c r="CM8" s="2" t="s">
        <v>45</v>
      </c>
      <c r="CN8" s="2" t="s">
        <v>32</v>
      </c>
    </row>
    <row r="9" spans="1:92" ht="14" customHeight="1" x14ac:dyDescent="0.35">
      <c r="A9" s="2" t="s">
        <v>58</v>
      </c>
      <c r="B9" t="str">
        <f t="shared" si="1"/>
        <v>p7</v>
      </c>
      <c r="C9" s="38">
        <v>45574.86178240741</v>
      </c>
      <c r="D9" s="38">
        <v>45574.868078703701</v>
      </c>
      <c r="E9" s="2" t="s">
        <v>54</v>
      </c>
      <c r="F9" s="24">
        <v>100</v>
      </c>
      <c r="G9" s="24">
        <v>543</v>
      </c>
      <c r="H9" s="2" t="s">
        <v>31</v>
      </c>
      <c r="I9" s="38">
        <v>45574.868092349534</v>
      </c>
      <c r="J9" s="2" t="s">
        <v>55</v>
      </c>
      <c r="K9" s="24">
        <v>51.601100000000002</v>
      </c>
      <c r="L9" s="24">
        <v>-3.2744</v>
      </c>
      <c r="M9" s="2" t="s">
        <v>33</v>
      </c>
      <c r="N9" s="2" t="s">
        <v>56</v>
      </c>
      <c r="O9" s="2" t="s">
        <v>57</v>
      </c>
      <c r="P9" s="22">
        <v>3</v>
      </c>
      <c r="Q9" s="22">
        <v>2</v>
      </c>
      <c r="R9" s="22">
        <v>4</v>
      </c>
      <c r="S9" s="22">
        <v>3</v>
      </c>
      <c r="T9" s="22">
        <v>4</v>
      </c>
      <c r="U9" s="22">
        <v>4</v>
      </c>
      <c r="V9" s="22">
        <v>4</v>
      </c>
      <c r="W9" s="22">
        <v>3</v>
      </c>
      <c r="X9" s="22">
        <v>2</v>
      </c>
      <c r="Y9" s="22">
        <v>3</v>
      </c>
      <c r="Z9" s="22">
        <v>3</v>
      </c>
      <c r="AA9" s="22">
        <v>2</v>
      </c>
      <c r="AB9" s="22">
        <v>2</v>
      </c>
      <c r="AC9" s="22">
        <v>4</v>
      </c>
      <c r="AD9" s="22">
        <v>2</v>
      </c>
      <c r="AE9" s="22">
        <v>3</v>
      </c>
      <c r="AF9" s="22">
        <v>2</v>
      </c>
      <c r="AG9" s="22">
        <v>3</v>
      </c>
      <c r="AH9" s="22">
        <v>3</v>
      </c>
      <c r="AI9" s="22">
        <v>3</v>
      </c>
      <c r="AJ9" s="22">
        <v>2</v>
      </c>
      <c r="AK9" s="22">
        <v>3</v>
      </c>
      <c r="AL9" s="22">
        <v>3</v>
      </c>
      <c r="AM9" s="22">
        <v>2</v>
      </c>
      <c r="AN9" s="22">
        <v>3</v>
      </c>
      <c r="AO9" s="22">
        <v>2</v>
      </c>
      <c r="AP9" s="22">
        <v>2</v>
      </c>
      <c r="AQ9" s="22">
        <v>2</v>
      </c>
      <c r="AR9" s="22">
        <v>2</v>
      </c>
      <c r="AS9" s="22">
        <v>3</v>
      </c>
      <c r="AT9" s="22">
        <v>3</v>
      </c>
      <c r="AU9" s="22">
        <v>2</v>
      </c>
      <c r="AV9" s="22">
        <v>3</v>
      </c>
      <c r="AW9" s="22">
        <v>3</v>
      </c>
      <c r="AX9" s="22">
        <v>2</v>
      </c>
      <c r="AY9" s="22">
        <v>3</v>
      </c>
      <c r="AZ9" s="22">
        <v>2</v>
      </c>
      <c r="BA9" s="22">
        <v>3</v>
      </c>
      <c r="BB9" s="22">
        <v>3</v>
      </c>
      <c r="BC9" s="22">
        <v>3</v>
      </c>
      <c r="BD9" s="22">
        <v>3</v>
      </c>
      <c r="BE9" s="22">
        <v>3</v>
      </c>
      <c r="BF9" s="22">
        <v>3</v>
      </c>
      <c r="BG9" s="22">
        <v>3</v>
      </c>
      <c r="BH9" s="22">
        <v>2</v>
      </c>
      <c r="BI9" s="22">
        <v>2</v>
      </c>
      <c r="BJ9" s="22">
        <v>3</v>
      </c>
      <c r="BK9" s="22">
        <v>2</v>
      </c>
      <c r="BL9" s="22">
        <v>3</v>
      </c>
      <c r="BM9" s="22">
        <v>3</v>
      </c>
      <c r="BN9" s="22">
        <v>2</v>
      </c>
      <c r="BO9" s="22">
        <v>3</v>
      </c>
      <c r="BP9" s="22">
        <v>3</v>
      </c>
      <c r="BQ9" s="22">
        <v>3</v>
      </c>
      <c r="BR9" s="22">
        <v>3</v>
      </c>
      <c r="BS9" s="22">
        <v>4</v>
      </c>
      <c r="BT9" s="22">
        <v>3</v>
      </c>
      <c r="BU9" s="22">
        <v>1</v>
      </c>
      <c r="BV9" s="22">
        <v>3</v>
      </c>
      <c r="BW9" s="22">
        <v>4</v>
      </c>
      <c r="BX9" s="2" t="s">
        <v>58</v>
      </c>
      <c r="BY9" s="2" t="s">
        <v>32</v>
      </c>
      <c r="BZ9" s="2" t="s">
        <v>34</v>
      </c>
      <c r="CA9" s="2" t="s">
        <v>35</v>
      </c>
      <c r="CB9" s="24">
        <v>0</v>
      </c>
      <c r="CC9" s="2" t="s">
        <v>36</v>
      </c>
      <c r="CD9" s="2" t="s">
        <v>53</v>
      </c>
      <c r="CE9" s="2" t="s">
        <v>32</v>
      </c>
      <c r="CF9" s="24">
        <v>0</v>
      </c>
      <c r="CG9" s="24">
        <v>2</v>
      </c>
      <c r="CH9" s="2" t="s">
        <v>37</v>
      </c>
      <c r="CI9" s="2" t="s">
        <v>32</v>
      </c>
      <c r="CJ9" s="2" t="s">
        <v>32</v>
      </c>
      <c r="CK9" s="2" t="s">
        <v>38</v>
      </c>
      <c r="CL9" s="24">
        <v>1</v>
      </c>
      <c r="CM9" s="2" t="s">
        <v>45</v>
      </c>
      <c r="CN9" s="2" t="s">
        <v>32</v>
      </c>
    </row>
    <row r="10" spans="1:92" ht="14" customHeight="1" x14ac:dyDescent="0.35">
      <c r="A10" s="2" t="s">
        <v>70</v>
      </c>
      <c r="B10" t="str">
        <f t="shared" si="1"/>
        <v>p8</v>
      </c>
      <c r="C10" s="38">
        <v>45574.861793981479</v>
      </c>
      <c r="D10" s="38">
        <v>45574.86818287037</v>
      </c>
      <c r="E10" s="2" t="s">
        <v>66</v>
      </c>
      <c r="F10" s="24">
        <v>100</v>
      </c>
      <c r="G10" s="24">
        <v>552</v>
      </c>
      <c r="H10" s="2" t="s">
        <v>31</v>
      </c>
      <c r="I10" s="38">
        <v>45574.868196770833</v>
      </c>
      <c r="J10" s="2" t="s">
        <v>67</v>
      </c>
      <c r="K10" s="24">
        <v>53.798099999999998</v>
      </c>
      <c r="L10" s="24">
        <v>-1.7623</v>
      </c>
      <c r="M10" s="2" t="s">
        <v>33</v>
      </c>
      <c r="N10" s="2" t="s">
        <v>68</v>
      </c>
      <c r="O10" s="2" t="s">
        <v>69</v>
      </c>
      <c r="P10" s="22">
        <v>4</v>
      </c>
      <c r="Q10" s="22">
        <v>3</v>
      </c>
      <c r="R10" s="22">
        <v>4</v>
      </c>
      <c r="S10" s="22">
        <v>4</v>
      </c>
      <c r="T10" s="22">
        <v>2</v>
      </c>
      <c r="U10" s="22">
        <v>3</v>
      </c>
      <c r="V10" s="22">
        <v>2</v>
      </c>
      <c r="W10" s="22">
        <v>4</v>
      </c>
      <c r="X10" s="22">
        <v>2</v>
      </c>
      <c r="Y10" s="22">
        <v>4</v>
      </c>
      <c r="Z10" s="22">
        <v>2</v>
      </c>
      <c r="AA10" s="22">
        <v>4</v>
      </c>
      <c r="AB10" s="22">
        <v>2</v>
      </c>
      <c r="AC10" s="22">
        <v>5</v>
      </c>
      <c r="AD10" s="22">
        <v>1</v>
      </c>
      <c r="AE10" s="22">
        <v>5</v>
      </c>
      <c r="AF10" s="22">
        <v>3</v>
      </c>
      <c r="AG10" s="22">
        <v>4</v>
      </c>
      <c r="AH10" s="22">
        <v>5</v>
      </c>
      <c r="AI10" s="22">
        <v>2</v>
      </c>
      <c r="AJ10" s="22">
        <v>4</v>
      </c>
      <c r="AK10" s="22">
        <v>4</v>
      </c>
      <c r="AL10" s="22">
        <v>4</v>
      </c>
      <c r="AM10" s="22">
        <v>5</v>
      </c>
      <c r="AN10" s="22">
        <v>2</v>
      </c>
      <c r="AO10" s="22">
        <v>3</v>
      </c>
      <c r="AP10" s="22">
        <v>3</v>
      </c>
      <c r="AQ10" s="22">
        <v>3</v>
      </c>
      <c r="AR10" s="22">
        <v>4</v>
      </c>
      <c r="AS10" s="22">
        <v>4</v>
      </c>
      <c r="AT10" s="22">
        <v>4</v>
      </c>
      <c r="AU10" s="22">
        <v>4</v>
      </c>
      <c r="AV10" s="22">
        <v>4</v>
      </c>
      <c r="AW10" s="22">
        <v>4</v>
      </c>
      <c r="AX10" s="22">
        <v>3</v>
      </c>
      <c r="AY10" s="22">
        <v>4</v>
      </c>
      <c r="AZ10" s="22">
        <v>2</v>
      </c>
      <c r="BA10" s="22">
        <v>3</v>
      </c>
      <c r="BB10" s="22">
        <v>4</v>
      </c>
      <c r="BC10" s="22">
        <v>4</v>
      </c>
      <c r="BD10" s="22">
        <v>3</v>
      </c>
      <c r="BE10" s="22">
        <v>2</v>
      </c>
      <c r="BF10" s="22">
        <v>2</v>
      </c>
      <c r="BG10" s="22">
        <v>3</v>
      </c>
      <c r="BH10" s="22">
        <v>3</v>
      </c>
      <c r="BI10" s="22">
        <v>3</v>
      </c>
      <c r="BJ10" s="22">
        <v>3</v>
      </c>
      <c r="BK10" s="22">
        <v>2</v>
      </c>
      <c r="BL10" s="22">
        <v>2</v>
      </c>
      <c r="BM10" s="22">
        <v>4</v>
      </c>
      <c r="BN10" s="22">
        <v>4</v>
      </c>
      <c r="BO10" s="22">
        <v>4</v>
      </c>
      <c r="BP10" s="22">
        <v>1</v>
      </c>
      <c r="BQ10" s="22">
        <v>2</v>
      </c>
      <c r="BR10" s="22">
        <v>2</v>
      </c>
      <c r="BS10" s="22">
        <v>3</v>
      </c>
      <c r="BT10" s="22">
        <v>2</v>
      </c>
      <c r="BU10" s="22">
        <v>3</v>
      </c>
      <c r="BV10" s="22">
        <v>3</v>
      </c>
      <c r="BW10" s="22">
        <v>3</v>
      </c>
      <c r="BX10" s="2" t="s">
        <v>70</v>
      </c>
      <c r="BY10" s="2" t="s">
        <v>32</v>
      </c>
      <c r="BZ10" s="2" t="s">
        <v>34</v>
      </c>
      <c r="CA10" s="2" t="s">
        <v>35</v>
      </c>
      <c r="CB10" s="24">
        <v>0</v>
      </c>
      <c r="CC10" s="2" t="s">
        <v>36</v>
      </c>
      <c r="CD10" s="2" t="s">
        <v>71</v>
      </c>
      <c r="CE10" s="2" t="s">
        <v>32</v>
      </c>
      <c r="CF10" s="24">
        <v>0</v>
      </c>
      <c r="CG10" s="24">
        <v>2</v>
      </c>
      <c r="CH10" s="2" t="s">
        <v>37</v>
      </c>
      <c r="CI10" s="2" t="s">
        <v>32</v>
      </c>
      <c r="CJ10" s="2" t="s">
        <v>32</v>
      </c>
      <c r="CK10" s="2" t="s">
        <v>38</v>
      </c>
      <c r="CL10" s="24">
        <v>1</v>
      </c>
      <c r="CM10" s="2" t="s">
        <v>45</v>
      </c>
      <c r="CN10" s="2" t="s">
        <v>32</v>
      </c>
    </row>
    <row r="11" spans="1:92" ht="14" customHeight="1" x14ac:dyDescent="0.35">
      <c r="A11" s="2" t="s">
        <v>172</v>
      </c>
      <c r="B11" t="str">
        <f t="shared" si="1"/>
        <v>p9</v>
      </c>
      <c r="C11" s="38">
        <v>45574.861805555556</v>
      </c>
      <c r="D11" s="38">
        <v>45574.873657407406</v>
      </c>
      <c r="E11" s="2" t="s">
        <v>168</v>
      </c>
      <c r="F11" s="24">
        <v>100</v>
      </c>
      <c r="G11" s="24">
        <v>1024</v>
      </c>
      <c r="H11" s="2" t="s">
        <v>31</v>
      </c>
      <c r="I11" s="38">
        <v>45574.873674641203</v>
      </c>
      <c r="J11" s="2" t="s">
        <v>169</v>
      </c>
      <c r="K11" s="24">
        <v>37.750999999999998</v>
      </c>
      <c r="L11" s="24">
        <v>-97.822000000000003</v>
      </c>
      <c r="M11" s="2" t="s">
        <v>33</v>
      </c>
      <c r="N11" s="2" t="s">
        <v>170</v>
      </c>
      <c r="O11" s="2" t="s">
        <v>171</v>
      </c>
      <c r="P11" s="22">
        <v>5</v>
      </c>
      <c r="Q11" s="22">
        <v>5</v>
      </c>
      <c r="R11" s="22">
        <v>4</v>
      </c>
      <c r="S11" s="22">
        <v>5</v>
      </c>
      <c r="T11" s="22">
        <v>5</v>
      </c>
      <c r="U11" s="22">
        <v>5</v>
      </c>
      <c r="V11" s="22">
        <v>4</v>
      </c>
      <c r="W11" s="22">
        <v>1</v>
      </c>
      <c r="X11" s="22">
        <v>5</v>
      </c>
      <c r="Y11" s="22">
        <v>5</v>
      </c>
      <c r="Z11" s="22">
        <v>4</v>
      </c>
      <c r="AA11" s="22">
        <v>5</v>
      </c>
      <c r="AB11" s="22">
        <v>5</v>
      </c>
      <c r="AC11" s="22">
        <v>5</v>
      </c>
      <c r="AD11" s="22">
        <v>1</v>
      </c>
      <c r="AE11" s="22">
        <v>1</v>
      </c>
      <c r="AF11" s="22">
        <v>1</v>
      </c>
      <c r="AG11" s="22">
        <v>5</v>
      </c>
      <c r="AH11" s="22">
        <v>1</v>
      </c>
      <c r="AI11" s="22">
        <v>1</v>
      </c>
      <c r="AJ11" s="22">
        <v>1</v>
      </c>
      <c r="AK11" s="22">
        <v>5</v>
      </c>
      <c r="AL11" s="22">
        <v>3</v>
      </c>
      <c r="AM11" s="22">
        <v>1</v>
      </c>
      <c r="AN11" s="22">
        <v>4</v>
      </c>
      <c r="AO11" s="22">
        <v>4</v>
      </c>
      <c r="AP11" s="22">
        <v>5</v>
      </c>
      <c r="AQ11" s="22">
        <v>4</v>
      </c>
      <c r="AR11" s="22">
        <v>1</v>
      </c>
      <c r="AS11" s="22">
        <v>5</v>
      </c>
      <c r="AT11" s="22">
        <v>5</v>
      </c>
      <c r="AU11" s="22">
        <v>2</v>
      </c>
      <c r="AV11" s="22">
        <v>5</v>
      </c>
      <c r="AW11" s="22">
        <v>5</v>
      </c>
      <c r="AX11" s="22">
        <v>4</v>
      </c>
      <c r="AY11" s="22">
        <v>1</v>
      </c>
      <c r="AZ11" s="22">
        <v>5</v>
      </c>
      <c r="BA11" s="22">
        <v>5</v>
      </c>
      <c r="BB11" s="22">
        <v>4</v>
      </c>
      <c r="BC11" s="22">
        <v>5</v>
      </c>
      <c r="BD11" s="22">
        <v>1</v>
      </c>
      <c r="BE11" s="22">
        <v>5</v>
      </c>
      <c r="BF11" s="22">
        <v>5</v>
      </c>
      <c r="BG11" s="22">
        <v>1</v>
      </c>
      <c r="BH11" s="22">
        <v>5</v>
      </c>
      <c r="BI11" s="22">
        <v>1</v>
      </c>
      <c r="BJ11" s="22">
        <v>5</v>
      </c>
      <c r="BK11" s="22">
        <v>4</v>
      </c>
      <c r="BL11" s="22">
        <v>5</v>
      </c>
      <c r="BM11" s="22">
        <v>5</v>
      </c>
      <c r="BN11" s="22">
        <v>5</v>
      </c>
      <c r="BO11" s="22">
        <v>1</v>
      </c>
      <c r="BP11" s="22">
        <v>5</v>
      </c>
      <c r="BQ11" s="22">
        <v>5</v>
      </c>
      <c r="BR11" s="22">
        <v>4</v>
      </c>
      <c r="BS11" s="22">
        <v>1</v>
      </c>
      <c r="BT11" s="22">
        <v>5</v>
      </c>
      <c r="BU11" s="22">
        <v>1</v>
      </c>
      <c r="BV11" s="22">
        <v>5</v>
      </c>
      <c r="BW11" s="22">
        <v>5</v>
      </c>
      <c r="BX11" s="2" t="s">
        <v>172</v>
      </c>
      <c r="BY11" s="2" t="s">
        <v>32</v>
      </c>
      <c r="BZ11" s="2" t="s">
        <v>34</v>
      </c>
      <c r="CA11" s="2" t="s">
        <v>35</v>
      </c>
      <c r="CB11" s="24">
        <v>0</v>
      </c>
      <c r="CC11" s="2" t="s">
        <v>36</v>
      </c>
      <c r="CD11" s="2" t="s">
        <v>120</v>
      </c>
      <c r="CE11" s="2" t="s">
        <v>32</v>
      </c>
      <c r="CF11" s="24">
        <v>0</v>
      </c>
      <c r="CG11" s="24">
        <v>2</v>
      </c>
      <c r="CH11" s="2" t="s">
        <v>37</v>
      </c>
      <c r="CI11" s="2" t="s">
        <v>32</v>
      </c>
      <c r="CJ11" s="2" t="s">
        <v>32</v>
      </c>
      <c r="CK11" s="2" t="s">
        <v>38</v>
      </c>
      <c r="CL11" s="24">
        <v>1</v>
      </c>
      <c r="CM11" s="2" t="s">
        <v>45</v>
      </c>
      <c r="CN11" s="2" t="s">
        <v>32</v>
      </c>
    </row>
    <row r="12" spans="1:92" ht="14" customHeight="1" x14ac:dyDescent="0.35">
      <c r="A12" s="2" t="s">
        <v>125</v>
      </c>
      <c r="B12" t="str">
        <f t="shared" si="1"/>
        <v>p10</v>
      </c>
      <c r="C12" s="38">
        <v>45574.861967592595</v>
      </c>
      <c r="D12" s="38">
        <v>45574.869953703703</v>
      </c>
      <c r="E12" s="2" t="s">
        <v>121</v>
      </c>
      <c r="F12" s="24">
        <v>100</v>
      </c>
      <c r="G12" s="24">
        <v>690</v>
      </c>
      <c r="H12" s="2" t="s">
        <v>31</v>
      </c>
      <c r="I12" s="38">
        <v>45574.869962129633</v>
      </c>
      <c r="J12" s="2" t="s">
        <v>122</v>
      </c>
      <c r="K12" s="24">
        <v>51.403199999999998</v>
      </c>
      <c r="L12" s="24">
        <v>-0.92069999999999996</v>
      </c>
      <c r="M12" s="2" t="s">
        <v>33</v>
      </c>
      <c r="N12" s="2" t="s">
        <v>123</v>
      </c>
      <c r="O12" s="2" t="s">
        <v>124</v>
      </c>
      <c r="P12" s="22">
        <v>5</v>
      </c>
      <c r="Q12" s="22">
        <v>5</v>
      </c>
      <c r="R12" s="22">
        <v>4</v>
      </c>
      <c r="S12" s="22">
        <v>4</v>
      </c>
      <c r="T12" s="22">
        <v>3</v>
      </c>
      <c r="U12" s="22">
        <v>4</v>
      </c>
      <c r="V12" s="22">
        <v>5</v>
      </c>
      <c r="W12" s="22">
        <v>4</v>
      </c>
      <c r="X12" s="22">
        <v>4</v>
      </c>
      <c r="Y12" s="22">
        <v>4</v>
      </c>
      <c r="Z12" s="22">
        <v>2</v>
      </c>
      <c r="AA12" s="22">
        <v>3</v>
      </c>
      <c r="AB12" s="22">
        <v>4</v>
      </c>
      <c r="AC12" s="22">
        <v>3</v>
      </c>
      <c r="AD12" s="22">
        <v>1</v>
      </c>
      <c r="AE12" s="22">
        <v>4</v>
      </c>
      <c r="AF12" s="22">
        <v>3</v>
      </c>
      <c r="AG12" s="22">
        <v>1</v>
      </c>
      <c r="AH12" s="22">
        <v>2</v>
      </c>
      <c r="AI12" s="22">
        <v>2</v>
      </c>
      <c r="AJ12" s="22">
        <v>1</v>
      </c>
      <c r="AK12" s="22">
        <v>2</v>
      </c>
      <c r="AL12" s="22">
        <v>3</v>
      </c>
      <c r="AM12" s="22">
        <v>2</v>
      </c>
      <c r="AN12" s="22">
        <v>3</v>
      </c>
      <c r="AO12" s="22">
        <v>1</v>
      </c>
      <c r="AP12" s="22">
        <v>5</v>
      </c>
      <c r="AQ12" s="22">
        <v>4</v>
      </c>
      <c r="AR12" s="22">
        <v>1</v>
      </c>
      <c r="AS12" s="22">
        <v>3</v>
      </c>
      <c r="AT12" s="22">
        <v>2</v>
      </c>
      <c r="AU12" s="22">
        <v>4</v>
      </c>
      <c r="AV12" s="22">
        <v>4</v>
      </c>
      <c r="AW12" s="22">
        <v>4</v>
      </c>
      <c r="AX12" s="22">
        <v>4</v>
      </c>
      <c r="AY12" s="22">
        <v>2</v>
      </c>
      <c r="AZ12" s="22">
        <v>5</v>
      </c>
      <c r="BA12" s="22">
        <v>3</v>
      </c>
      <c r="BB12" s="22">
        <v>5</v>
      </c>
      <c r="BC12" s="22">
        <v>2</v>
      </c>
      <c r="BD12" s="22">
        <v>2</v>
      </c>
      <c r="BE12" s="22">
        <v>5</v>
      </c>
      <c r="BF12" s="22">
        <v>4</v>
      </c>
      <c r="BG12" s="22">
        <v>4</v>
      </c>
      <c r="BH12" s="22">
        <v>4</v>
      </c>
      <c r="BI12" s="22">
        <v>2</v>
      </c>
      <c r="BJ12" s="22">
        <v>4</v>
      </c>
      <c r="BK12" s="22">
        <v>4</v>
      </c>
      <c r="BL12" s="22">
        <v>2</v>
      </c>
      <c r="BM12" s="22">
        <v>5</v>
      </c>
      <c r="BN12" s="22">
        <v>2</v>
      </c>
      <c r="BO12" s="22">
        <v>1</v>
      </c>
      <c r="BP12" s="22">
        <v>3</v>
      </c>
      <c r="BQ12" s="22">
        <v>3</v>
      </c>
      <c r="BR12" s="22">
        <v>3</v>
      </c>
      <c r="BS12" s="22">
        <v>1</v>
      </c>
      <c r="BT12" s="22">
        <v>3</v>
      </c>
      <c r="BU12" s="22">
        <v>2</v>
      </c>
      <c r="BV12" s="22">
        <v>5</v>
      </c>
      <c r="BW12" s="22">
        <v>4</v>
      </c>
      <c r="BX12" s="2" t="s">
        <v>125</v>
      </c>
      <c r="BY12" s="2" t="s">
        <v>32</v>
      </c>
      <c r="BZ12" s="2" t="s">
        <v>34</v>
      </c>
      <c r="CA12" s="2" t="s">
        <v>126</v>
      </c>
      <c r="CB12" s="24">
        <v>-1</v>
      </c>
      <c r="CC12" s="2" t="s">
        <v>36</v>
      </c>
      <c r="CD12" s="2" t="s">
        <v>51</v>
      </c>
      <c r="CE12" s="2" t="s">
        <v>32</v>
      </c>
      <c r="CF12" s="24">
        <v>0</v>
      </c>
      <c r="CG12" s="24">
        <v>2</v>
      </c>
      <c r="CH12" s="2" t="s">
        <v>37</v>
      </c>
      <c r="CI12" s="2" t="s">
        <v>32</v>
      </c>
      <c r="CJ12" s="2" t="s">
        <v>32</v>
      </c>
      <c r="CK12" s="2" t="s">
        <v>38</v>
      </c>
      <c r="CL12" s="24">
        <v>1</v>
      </c>
      <c r="CM12" s="2" t="s">
        <v>45</v>
      </c>
      <c r="CN12" s="2" t="s">
        <v>32</v>
      </c>
    </row>
    <row r="13" spans="1:92" ht="14" customHeight="1" x14ac:dyDescent="0.35">
      <c r="A13" s="2" t="s">
        <v>50</v>
      </c>
      <c r="B13" t="str">
        <f t="shared" si="1"/>
        <v>p11</v>
      </c>
      <c r="C13" s="38">
        <v>45574.862002314818</v>
      </c>
      <c r="D13" s="38">
        <v>45574.8671412037</v>
      </c>
      <c r="E13" s="2" t="s">
        <v>46</v>
      </c>
      <c r="F13" s="24">
        <v>100</v>
      </c>
      <c r="G13" s="24">
        <v>444</v>
      </c>
      <c r="H13" s="2" t="s">
        <v>31</v>
      </c>
      <c r="I13" s="38">
        <v>45574.867156192129</v>
      </c>
      <c r="J13" s="2" t="s">
        <v>47</v>
      </c>
      <c r="K13" s="24">
        <v>51.865900000000003</v>
      </c>
      <c r="L13" s="24">
        <v>-2.2059000000000002</v>
      </c>
      <c r="M13" s="2" t="s">
        <v>33</v>
      </c>
      <c r="N13" s="2" t="s">
        <v>48</v>
      </c>
      <c r="O13" s="2" t="s">
        <v>49</v>
      </c>
      <c r="P13" s="22">
        <v>5</v>
      </c>
      <c r="Q13" s="22">
        <v>4</v>
      </c>
      <c r="R13" s="22">
        <v>3</v>
      </c>
      <c r="S13" s="22">
        <v>5</v>
      </c>
      <c r="T13" s="22">
        <v>4</v>
      </c>
      <c r="U13" s="22">
        <v>4</v>
      </c>
      <c r="V13" s="22">
        <v>5</v>
      </c>
      <c r="W13" s="22">
        <v>2</v>
      </c>
      <c r="X13" s="22">
        <v>4</v>
      </c>
      <c r="Y13" s="22">
        <v>4</v>
      </c>
      <c r="Z13" s="22">
        <v>3</v>
      </c>
      <c r="AA13" s="22">
        <v>4</v>
      </c>
      <c r="AB13" s="22">
        <v>5</v>
      </c>
      <c r="AC13" s="22">
        <v>2</v>
      </c>
      <c r="AD13" s="22">
        <v>1</v>
      </c>
      <c r="AE13" s="22">
        <v>4</v>
      </c>
      <c r="AF13" s="22">
        <v>2</v>
      </c>
      <c r="AG13" s="22">
        <v>1</v>
      </c>
      <c r="AH13" s="22">
        <v>4</v>
      </c>
      <c r="AI13" s="22">
        <v>4</v>
      </c>
      <c r="AJ13" s="22">
        <v>1</v>
      </c>
      <c r="AK13" s="22">
        <v>4</v>
      </c>
      <c r="AL13" s="22">
        <v>2</v>
      </c>
      <c r="AM13" s="22">
        <v>2</v>
      </c>
      <c r="AN13" s="22">
        <v>4</v>
      </c>
      <c r="AO13" s="22">
        <v>1</v>
      </c>
      <c r="AP13" s="22">
        <v>4</v>
      </c>
      <c r="AQ13" s="22">
        <v>3</v>
      </c>
      <c r="AR13" s="22">
        <v>2</v>
      </c>
      <c r="AS13" s="22">
        <v>4</v>
      </c>
      <c r="AT13" s="22">
        <v>2</v>
      </c>
      <c r="AU13" s="22">
        <v>5</v>
      </c>
      <c r="AV13" s="22">
        <v>3</v>
      </c>
      <c r="AW13" s="22">
        <v>1</v>
      </c>
      <c r="AX13" s="22">
        <v>4</v>
      </c>
      <c r="AY13" s="22">
        <v>1</v>
      </c>
      <c r="AZ13" s="22">
        <v>3</v>
      </c>
      <c r="BA13" s="22">
        <v>4</v>
      </c>
      <c r="BB13" s="22">
        <v>5</v>
      </c>
      <c r="BC13" s="22">
        <v>4</v>
      </c>
      <c r="BD13" s="22">
        <v>1</v>
      </c>
      <c r="BE13" s="22">
        <v>4</v>
      </c>
      <c r="BF13" s="22">
        <v>4</v>
      </c>
      <c r="BG13" s="22">
        <v>5</v>
      </c>
      <c r="BH13" s="22">
        <v>3</v>
      </c>
      <c r="BI13" s="22">
        <v>2</v>
      </c>
      <c r="BJ13" s="22">
        <v>5</v>
      </c>
      <c r="BK13" s="22">
        <v>5</v>
      </c>
      <c r="BL13" s="22">
        <v>4</v>
      </c>
      <c r="BM13" s="22">
        <v>5</v>
      </c>
      <c r="BN13" s="22">
        <v>2</v>
      </c>
      <c r="BO13" s="22">
        <v>1</v>
      </c>
      <c r="BP13" s="22">
        <v>3</v>
      </c>
      <c r="BQ13" s="22">
        <v>5</v>
      </c>
      <c r="BR13" s="22">
        <v>4</v>
      </c>
      <c r="BS13" s="22">
        <v>1</v>
      </c>
      <c r="BT13" s="22">
        <v>1</v>
      </c>
      <c r="BU13" s="22">
        <v>1</v>
      </c>
      <c r="BV13" s="22">
        <v>4</v>
      </c>
      <c r="BW13" s="22">
        <v>3</v>
      </c>
      <c r="BX13" s="2" t="s">
        <v>50</v>
      </c>
      <c r="BY13" s="2" t="s">
        <v>32</v>
      </c>
      <c r="BZ13" s="2" t="s">
        <v>34</v>
      </c>
      <c r="CA13" s="2" t="s">
        <v>35</v>
      </c>
      <c r="CB13" s="24">
        <v>0</v>
      </c>
      <c r="CC13" s="2" t="s">
        <v>36</v>
      </c>
      <c r="CD13" s="2" t="s">
        <v>51</v>
      </c>
      <c r="CE13" s="2" t="s">
        <v>32</v>
      </c>
      <c r="CF13" s="24">
        <v>0</v>
      </c>
      <c r="CG13" s="24">
        <v>2</v>
      </c>
      <c r="CH13" s="2" t="s">
        <v>37</v>
      </c>
      <c r="CI13" s="2" t="s">
        <v>32</v>
      </c>
      <c r="CJ13" s="2" t="s">
        <v>32</v>
      </c>
      <c r="CK13" s="2" t="s">
        <v>38</v>
      </c>
      <c r="CL13" s="24">
        <v>1</v>
      </c>
      <c r="CM13" s="2" t="s">
        <v>45</v>
      </c>
      <c r="CN13" s="2" t="s">
        <v>32</v>
      </c>
    </row>
    <row r="14" spans="1:92" ht="14" customHeight="1" x14ac:dyDescent="0.35">
      <c r="A14" s="2" t="s">
        <v>97</v>
      </c>
      <c r="B14" t="str">
        <f t="shared" si="1"/>
        <v>p12</v>
      </c>
      <c r="C14" s="38">
        <v>45574.862002314818</v>
      </c>
      <c r="D14" s="38">
        <v>45574.869456018518</v>
      </c>
      <c r="E14" s="2" t="s">
        <v>93</v>
      </c>
      <c r="F14" s="24">
        <v>100</v>
      </c>
      <c r="G14" s="24">
        <v>643</v>
      </c>
      <c r="H14" s="2" t="s">
        <v>31</v>
      </c>
      <c r="I14" s="38">
        <v>45574.869467118056</v>
      </c>
      <c r="J14" s="2" t="s">
        <v>94</v>
      </c>
      <c r="K14" s="24">
        <v>54.900100000000002</v>
      </c>
      <c r="L14" s="24">
        <v>-1.4211</v>
      </c>
      <c r="M14" s="2" t="s">
        <v>33</v>
      </c>
      <c r="N14" s="2" t="s">
        <v>95</v>
      </c>
      <c r="O14" s="2" t="s">
        <v>96</v>
      </c>
      <c r="P14" s="22">
        <v>4</v>
      </c>
      <c r="Q14" s="22">
        <v>4</v>
      </c>
      <c r="R14" s="22">
        <v>2</v>
      </c>
      <c r="S14" s="22">
        <v>4</v>
      </c>
      <c r="T14" s="22">
        <v>4</v>
      </c>
      <c r="U14" s="22">
        <v>5</v>
      </c>
      <c r="V14" s="22">
        <v>4</v>
      </c>
      <c r="W14" s="22">
        <v>3</v>
      </c>
      <c r="X14" s="22">
        <v>4</v>
      </c>
      <c r="Y14" s="22">
        <v>4</v>
      </c>
      <c r="Z14" s="22">
        <v>3</v>
      </c>
      <c r="AA14" s="22">
        <v>3</v>
      </c>
      <c r="AB14" s="22">
        <v>4</v>
      </c>
      <c r="AC14" s="22">
        <v>3</v>
      </c>
      <c r="AD14" s="22">
        <v>1</v>
      </c>
      <c r="AE14" s="22">
        <v>3</v>
      </c>
      <c r="AF14" s="22">
        <v>3</v>
      </c>
      <c r="AG14" s="22">
        <v>3</v>
      </c>
      <c r="AH14" s="22">
        <v>3</v>
      </c>
      <c r="AI14" s="22">
        <v>2</v>
      </c>
      <c r="AJ14" s="22">
        <v>2</v>
      </c>
      <c r="AK14" s="22">
        <v>4</v>
      </c>
      <c r="AL14" s="22">
        <v>3</v>
      </c>
      <c r="AM14" s="22">
        <v>3</v>
      </c>
      <c r="AN14" s="22">
        <v>3</v>
      </c>
      <c r="AO14" s="22">
        <v>3</v>
      </c>
      <c r="AP14" s="22">
        <v>3</v>
      </c>
      <c r="AQ14" s="22">
        <v>3</v>
      </c>
      <c r="AR14" s="22">
        <v>1</v>
      </c>
      <c r="AS14" s="22">
        <v>4</v>
      </c>
      <c r="AT14" s="22">
        <v>3</v>
      </c>
      <c r="AU14" s="22">
        <v>4</v>
      </c>
      <c r="AV14" s="22">
        <v>3</v>
      </c>
      <c r="AW14" s="22">
        <v>2</v>
      </c>
      <c r="AX14" s="22">
        <v>4</v>
      </c>
      <c r="AY14" s="22">
        <v>3</v>
      </c>
      <c r="AZ14" s="22">
        <v>4</v>
      </c>
      <c r="BA14" s="22">
        <v>4</v>
      </c>
      <c r="BB14" s="22">
        <v>4</v>
      </c>
      <c r="BC14" s="22">
        <v>4</v>
      </c>
      <c r="BD14" s="22">
        <v>2</v>
      </c>
      <c r="BE14" s="22">
        <v>4</v>
      </c>
      <c r="BF14" s="22">
        <v>4</v>
      </c>
      <c r="BG14" s="22">
        <v>4</v>
      </c>
      <c r="BH14" s="22">
        <v>3</v>
      </c>
      <c r="BI14" s="22">
        <v>3</v>
      </c>
      <c r="BJ14" s="22">
        <v>4</v>
      </c>
      <c r="BK14" s="22">
        <v>4</v>
      </c>
      <c r="BL14" s="22">
        <v>3</v>
      </c>
      <c r="BM14" s="22">
        <v>4</v>
      </c>
      <c r="BN14" s="22">
        <v>3</v>
      </c>
      <c r="BO14" s="22">
        <v>4</v>
      </c>
      <c r="BP14" s="22">
        <v>2</v>
      </c>
      <c r="BQ14" s="22">
        <v>4</v>
      </c>
      <c r="BR14" s="22">
        <v>3</v>
      </c>
      <c r="BS14" s="22">
        <v>3</v>
      </c>
      <c r="BT14" s="22">
        <v>2</v>
      </c>
      <c r="BU14" s="22">
        <v>3</v>
      </c>
      <c r="BV14" s="22">
        <v>4</v>
      </c>
      <c r="BW14" s="22">
        <v>3</v>
      </c>
      <c r="BX14" s="2" t="s">
        <v>97</v>
      </c>
      <c r="BY14" s="2" t="s">
        <v>32</v>
      </c>
      <c r="BZ14" s="2" t="s">
        <v>34</v>
      </c>
      <c r="CA14" s="2" t="s">
        <v>35</v>
      </c>
      <c r="CB14" s="24">
        <v>0</v>
      </c>
      <c r="CC14" s="2" t="s">
        <v>36</v>
      </c>
      <c r="CD14" s="2" t="s">
        <v>53</v>
      </c>
      <c r="CE14" s="2" t="s">
        <v>32</v>
      </c>
      <c r="CF14" s="24">
        <v>0</v>
      </c>
      <c r="CG14" s="24">
        <v>2</v>
      </c>
      <c r="CH14" s="2" t="s">
        <v>37</v>
      </c>
      <c r="CI14" s="2" t="s">
        <v>32</v>
      </c>
      <c r="CJ14" s="2" t="s">
        <v>32</v>
      </c>
      <c r="CK14" s="2" t="s">
        <v>38</v>
      </c>
      <c r="CL14" s="24">
        <v>1</v>
      </c>
      <c r="CM14" s="2" t="s">
        <v>98</v>
      </c>
      <c r="CN14" s="2" t="s">
        <v>32</v>
      </c>
    </row>
    <row r="15" spans="1:92" ht="14" customHeight="1" x14ac:dyDescent="0.35">
      <c r="A15" s="2" t="s">
        <v>76</v>
      </c>
      <c r="B15" t="str">
        <f t="shared" si="1"/>
        <v>p13</v>
      </c>
      <c r="C15" s="38">
        <v>45574.86209490741</v>
      </c>
      <c r="D15" s="38">
        <v>45574.868564814817</v>
      </c>
      <c r="E15" s="2" t="s">
        <v>72</v>
      </c>
      <c r="F15" s="24">
        <v>100</v>
      </c>
      <c r="G15" s="24">
        <v>558</v>
      </c>
      <c r="H15" s="2" t="s">
        <v>31</v>
      </c>
      <c r="I15" s="38">
        <v>45574.868577685185</v>
      </c>
      <c r="J15" s="2" t="s">
        <v>73</v>
      </c>
      <c r="K15" s="24">
        <v>53.676699999999997</v>
      </c>
      <c r="L15" s="24">
        <v>-1.6584000000000001</v>
      </c>
      <c r="M15" s="2" t="s">
        <v>33</v>
      </c>
      <c r="N15" s="2" t="s">
        <v>74</v>
      </c>
      <c r="O15" s="2" t="s">
        <v>75</v>
      </c>
      <c r="P15" s="22">
        <v>5</v>
      </c>
      <c r="Q15" s="22">
        <v>3</v>
      </c>
      <c r="R15" s="22">
        <v>2</v>
      </c>
      <c r="S15" s="22">
        <v>4</v>
      </c>
      <c r="T15" s="22">
        <v>5</v>
      </c>
      <c r="U15" s="22">
        <v>5</v>
      </c>
      <c r="V15" s="22">
        <v>4</v>
      </c>
      <c r="W15" s="22">
        <v>1</v>
      </c>
      <c r="X15" s="22">
        <v>4</v>
      </c>
      <c r="Y15" s="22">
        <v>4</v>
      </c>
      <c r="Z15" s="22">
        <v>4</v>
      </c>
      <c r="AA15" s="22">
        <v>4</v>
      </c>
      <c r="AB15" s="22">
        <v>5</v>
      </c>
      <c r="AC15" s="22">
        <v>3</v>
      </c>
      <c r="AD15" s="22">
        <v>1</v>
      </c>
      <c r="AE15" s="22">
        <v>4</v>
      </c>
      <c r="AF15" s="22">
        <v>2</v>
      </c>
      <c r="AG15" s="22">
        <v>2</v>
      </c>
      <c r="AH15" s="22">
        <v>4</v>
      </c>
      <c r="AI15" s="22">
        <v>2</v>
      </c>
      <c r="AJ15" s="22">
        <v>1</v>
      </c>
      <c r="AK15" s="22">
        <v>4</v>
      </c>
      <c r="AL15" s="22">
        <v>2</v>
      </c>
      <c r="AM15" s="22">
        <v>3</v>
      </c>
      <c r="AN15" s="22">
        <v>3</v>
      </c>
      <c r="AO15" s="22">
        <v>2</v>
      </c>
      <c r="AP15" s="22">
        <v>3</v>
      </c>
      <c r="AQ15" s="22">
        <v>4</v>
      </c>
      <c r="AR15" s="22">
        <v>2</v>
      </c>
      <c r="AS15" s="22">
        <v>4</v>
      </c>
      <c r="AT15" s="22">
        <v>2</v>
      </c>
      <c r="AU15" s="22">
        <v>3</v>
      </c>
      <c r="AV15" s="22">
        <v>1</v>
      </c>
      <c r="AW15" s="22">
        <v>2</v>
      </c>
      <c r="AX15" s="22">
        <v>3</v>
      </c>
      <c r="AY15" s="22">
        <v>2</v>
      </c>
      <c r="AZ15" s="22">
        <v>4</v>
      </c>
      <c r="BA15" s="22">
        <v>5</v>
      </c>
      <c r="BB15" s="22">
        <v>4</v>
      </c>
      <c r="BC15" s="22">
        <v>5</v>
      </c>
      <c r="BD15" s="22">
        <v>1</v>
      </c>
      <c r="BE15" s="22">
        <v>5</v>
      </c>
      <c r="BF15" s="22">
        <v>5</v>
      </c>
      <c r="BG15" s="22">
        <v>3</v>
      </c>
      <c r="BH15" s="22">
        <v>4</v>
      </c>
      <c r="BI15" s="22">
        <v>3</v>
      </c>
      <c r="BJ15" s="22">
        <v>2</v>
      </c>
      <c r="BK15" s="22">
        <v>4</v>
      </c>
      <c r="BL15" s="22">
        <v>3</v>
      </c>
      <c r="BM15" s="22">
        <v>5</v>
      </c>
      <c r="BN15" s="22">
        <v>2</v>
      </c>
      <c r="BO15" s="22">
        <v>3</v>
      </c>
      <c r="BP15" s="22">
        <v>2</v>
      </c>
      <c r="BQ15" s="22">
        <v>4</v>
      </c>
      <c r="BR15" s="22">
        <v>4</v>
      </c>
      <c r="BS15" s="22">
        <v>2</v>
      </c>
      <c r="BT15" s="22">
        <v>1</v>
      </c>
      <c r="BU15" s="22">
        <v>2</v>
      </c>
      <c r="BV15" s="22">
        <v>4</v>
      </c>
      <c r="BW15" s="22">
        <v>3</v>
      </c>
      <c r="BX15" s="2" t="s">
        <v>76</v>
      </c>
      <c r="BY15" s="2" t="s">
        <v>32</v>
      </c>
      <c r="BZ15" s="2" t="s">
        <v>34</v>
      </c>
      <c r="CA15" s="2" t="s">
        <v>35</v>
      </c>
      <c r="CB15" s="24">
        <v>0</v>
      </c>
      <c r="CC15" s="2" t="s">
        <v>36</v>
      </c>
      <c r="CD15" s="2" t="s">
        <v>65</v>
      </c>
      <c r="CE15" s="2" t="s">
        <v>32</v>
      </c>
      <c r="CF15" s="24">
        <v>0</v>
      </c>
      <c r="CG15" s="24">
        <v>2</v>
      </c>
      <c r="CH15" s="2" t="s">
        <v>37</v>
      </c>
      <c r="CI15" s="2" t="s">
        <v>32</v>
      </c>
      <c r="CJ15" s="2" t="s">
        <v>32</v>
      </c>
      <c r="CK15" s="2" t="s">
        <v>38</v>
      </c>
      <c r="CL15" s="24">
        <v>1</v>
      </c>
      <c r="CM15" s="2" t="s">
        <v>45</v>
      </c>
      <c r="CN15" s="2" t="s">
        <v>32</v>
      </c>
    </row>
    <row r="16" spans="1:92" ht="14" customHeight="1" x14ac:dyDescent="0.35">
      <c r="A16" s="2" t="s">
        <v>81</v>
      </c>
      <c r="B16" t="str">
        <f t="shared" si="1"/>
        <v>p14</v>
      </c>
      <c r="C16" s="38">
        <v>45574.86210648148</v>
      </c>
      <c r="D16" s="38">
        <v>45574.868796296294</v>
      </c>
      <c r="E16" s="2" t="s">
        <v>77</v>
      </c>
      <c r="F16" s="24">
        <v>100</v>
      </c>
      <c r="G16" s="24">
        <v>577</v>
      </c>
      <c r="H16" s="2" t="s">
        <v>31</v>
      </c>
      <c r="I16" s="38">
        <v>45574.868807592589</v>
      </c>
      <c r="J16" s="2" t="s">
        <v>78</v>
      </c>
      <c r="K16" s="24">
        <v>51.556399999999996</v>
      </c>
      <c r="L16" s="24">
        <v>7.1400000000000005E-2</v>
      </c>
      <c r="M16" s="2" t="s">
        <v>33</v>
      </c>
      <c r="N16" s="2" t="s">
        <v>79</v>
      </c>
      <c r="O16" s="2" t="s">
        <v>80</v>
      </c>
      <c r="P16" s="22">
        <v>4</v>
      </c>
      <c r="Q16" s="22">
        <v>3</v>
      </c>
      <c r="R16" s="22">
        <v>4</v>
      </c>
      <c r="S16" s="22">
        <v>4</v>
      </c>
      <c r="T16" s="22">
        <v>5</v>
      </c>
      <c r="U16" s="22">
        <v>4</v>
      </c>
      <c r="V16" s="22">
        <v>3</v>
      </c>
      <c r="W16" s="22">
        <v>2</v>
      </c>
      <c r="X16" s="22">
        <v>5</v>
      </c>
      <c r="Y16" s="22">
        <v>5</v>
      </c>
      <c r="Z16" s="22">
        <v>4</v>
      </c>
      <c r="AA16" s="22">
        <v>5</v>
      </c>
      <c r="AB16" s="22">
        <v>4</v>
      </c>
      <c r="AC16" s="22">
        <v>4</v>
      </c>
      <c r="AD16" s="22">
        <v>2</v>
      </c>
      <c r="AE16" s="22">
        <v>2</v>
      </c>
      <c r="AF16" s="22">
        <v>3</v>
      </c>
      <c r="AG16" s="22">
        <v>1</v>
      </c>
      <c r="AH16" s="22">
        <v>1</v>
      </c>
      <c r="AI16" s="22">
        <v>1</v>
      </c>
      <c r="AJ16" s="22">
        <v>1</v>
      </c>
      <c r="AK16" s="22">
        <v>4</v>
      </c>
      <c r="AL16" s="22">
        <v>1</v>
      </c>
      <c r="AM16" s="22">
        <v>1</v>
      </c>
      <c r="AN16" s="22">
        <v>4</v>
      </c>
      <c r="AO16" s="22">
        <v>1</v>
      </c>
      <c r="AP16" s="22">
        <v>5</v>
      </c>
      <c r="AQ16" s="22">
        <v>4</v>
      </c>
      <c r="AR16" s="22">
        <v>2</v>
      </c>
      <c r="AS16" s="22">
        <v>4</v>
      </c>
      <c r="AT16" s="22">
        <v>4</v>
      </c>
      <c r="AU16" s="22">
        <v>4</v>
      </c>
      <c r="AV16" s="22">
        <v>1</v>
      </c>
      <c r="AW16" s="22">
        <v>3</v>
      </c>
      <c r="AX16" s="22">
        <v>3</v>
      </c>
      <c r="AY16" s="22">
        <v>2</v>
      </c>
      <c r="AZ16" s="22">
        <v>4</v>
      </c>
      <c r="BA16" s="22">
        <v>4</v>
      </c>
      <c r="BB16" s="22">
        <v>4</v>
      </c>
      <c r="BC16" s="22">
        <v>4</v>
      </c>
      <c r="BD16" s="22">
        <v>3</v>
      </c>
      <c r="BE16" s="22">
        <v>2</v>
      </c>
      <c r="BF16" s="22">
        <v>5</v>
      </c>
      <c r="BG16" s="22">
        <v>4</v>
      </c>
      <c r="BH16" s="22">
        <v>5</v>
      </c>
      <c r="BI16" s="22">
        <v>1</v>
      </c>
      <c r="BJ16" s="22">
        <v>3</v>
      </c>
      <c r="BK16" s="22">
        <v>1</v>
      </c>
      <c r="BL16" s="22">
        <v>4</v>
      </c>
      <c r="BM16" s="22">
        <v>4</v>
      </c>
      <c r="BN16" s="22">
        <v>2</v>
      </c>
      <c r="BO16" s="22">
        <v>3</v>
      </c>
      <c r="BP16" s="22">
        <v>3</v>
      </c>
      <c r="BQ16" s="22">
        <v>4</v>
      </c>
      <c r="BR16" s="22">
        <v>4</v>
      </c>
      <c r="BS16" s="22">
        <v>3</v>
      </c>
      <c r="BT16" s="22">
        <v>2</v>
      </c>
      <c r="BU16" s="22">
        <v>1</v>
      </c>
      <c r="BV16" s="22">
        <v>3</v>
      </c>
      <c r="BW16" s="22">
        <v>4</v>
      </c>
      <c r="BX16" s="2" t="s">
        <v>81</v>
      </c>
      <c r="BY16" s="2" t="s">
        <v>32</v>
      </c>
      <c r="BZ16" s="2" t="s">
        <v>34</v>
      </c>
      <c r="CA16" s="2" t="s">
        <v>35</v>
      </c>
      <c r="CB16" s="24">
        <v>0</v>
      </c>
      <c r="CC16" s="2" t="s">
        <v>36</v>
      </c>
      <c r="CD16" s="2" t="s">
        <v>82</v>
      </c>
      <c r="CE16" s="2" t="s">
        <v>32</v>
      </c>
      <c r="CF16" s="24">
        <v>0</v>
      </c>
      <c r="CG16" s="24">
        <v>2</v>
      </c>
      <c r="CH16" s="2" t="s">
        <v>37</v>
      </c>
      <c r="CI16" s="2" t="s">
        <v>32</v>
      </c>
      <c r="CJ16" s="2" t="s">
        <v>32</v>
      </c>
      <c r="CK16" s="2" t="s">
        <v>38</v>
      </c>
      <c r="CL16" s="24">
        <v>1</v>
      </c>
      <c r="CM16" s="2" t="s">
        <v>45</v>
      </c>
      <c r="CN16" s="2" t="s">
        <v>32</v>
      </c>
    </row>
    <row r="17" spans="1:92" ht="14" customHeight="1" x14ac:dyDescent="0.35">
      <c r="A17" s="2" t="s">
        <v>114</v>
      </c>
      <c r="B17" t="str">
        <f t="shared" si="1"/>
        <v>p15</v>
      </c>
      <c r="C17" s="38">
        <v>45574.862303240741</v>
      </c>
      <c r="D17" s="38">
        <v>45574.86986111111</v>
      </c>
      <c r="E17" s="2" t="s">
        <v>110</v>
      </c>
      <c r="F17" s="24">
        <v>100</v>
      </c>
      <c r="G17" s="24">
        <v>652</v>
      </c>
      <c r="H17" s="2" t="s">
        <v>31</v>
      </c>
      <c r="I17" s="38">
        <v>45574.869871678238</v>
      </c>
      <c r="J17" s="2" t="s">
        <v>111</v>
      </c>
      <c r="K17" s="24">
        <v>36.115000000000002</v>
      </c>
      <c r="L17" s="24">
        <v>-115.2165</v>
      </c>
      <c r="M17" s="2" t="s">
        <v>33</v>
      </c>
      <c r="N17" s="2" t="s">
        <v>112</v>
      </c>
      <c r="O17" s="2" t="s">
        <v>113</v>
      </c>
      <c r="P17" s="22">
        <v>5</v>
      </c>
      <c r="Q17" s="22">
        <v>5</v>
      </c>
      <c r="R17" s="22">
        <v>3</v>
      </c>
      <c r="S17" s="22">
        <v>5</v>
      </c>
      <c r="T17" s="22">
        <v>4</v>
      </c>
      <c r="U17" s="22">
        <v>4</v>
      </c>
      <c r="V17" s="22">
        <v>4</v>
      </c>
      <c r="W17" s="22">
        <v>3</v>
      </c>
      <c r="X17" s="22">
        <v>2</v>
      </c>
      <c r="Y17" s="22">
        <v>3</v>
      </c>
      <c r="Z17" s="22">
        <v>3</v>
      </c>
      <c r="AA17" s="22">
        <v>3</v>
      </c>
      <c r="AB17" s="22">
        <v>4</v>
      </c>
      <c r="AC17" s="22">
        <v>5</v>
      </c>
      <c r="AD17" s="22">
        <v>1</v>
      </c>
      <c r="AE17" s="22">
        <v>2</v>
      </c>
      <c r="AF17" s="22">
        <v>2</v>
      </c>
      <c r="AG17" s="22">
        <v>4</v>
      </c>
      <c r="AH17" s="22">
        <v>4</v>
      </c>
      <c r="AI17" s="22">
        <v>3</v>
      </c>
      <c r="AJ17" s="22">
        <v>1</v>
      </c>
      <c r="AK17" s="22">
        <v>3</v>
      </c>
      <c r="AL17" s="22">
        <v>3</v>
      </c>
      <c r="AM17" s="22">
        <v>3</v>
      </c>
      <c r="AN17" s="22">
        <v>3</v>
      </c>
      <c r="AO17" s="22">
        <v>1</v>
      </c>
      <c r="AP17" s="22">
        <v>3</v>
      </c>
      <c r="AQ17" s="22">
        <v>4</v>
      </c>
      <c r="AR17" s="22">
        <v>1</v>
      </c>
      <c r="AS17" s="22">
        <v>3</v>
      </c>
      <c r="AT17" s="22">
        <v>4</v>
      </c>
      <c r="AU17" s="22">
        <v>3</v>
      </c>
      <c r="AV17" s="22">
        <v>1</v>
      </c>
      <c r="AW17" s="22">
        <v>4</v>
      </c>
      <c r="AX17" s="22">
        <v>4</v>
      </c>
      <c r="AY17" s="22">
        <v>4</v>
      </c>
      <c r="AZ17" s="22">
        <v>4</v>
      </c>
      <c r="BA17" s="22">
        <v>3</v>
      </c>
      <c r="BB17" s="22">
        <v>4</v>
      </c>
      <c r="BC17" s="22">
        <v>5</v>
      </c>
      <c r="BD17" s="22">
        <v>3</v>
      </c>
      <c r="BE17" s="22">
        <v>3</v>
      </c>
      <c r="BF17" s="22">
        <v>3</v>
      </c>
      <c r="BG17" s="22">
        <v>2</v>
      </c>
      <c r="BH17" s="22">
        <v>3</v>
      </c>
      <c r="BI17" s="22">
        <v>4</v>
      </c>
      <c r="BJ17" s="22">
        <v>3</v>
      </c>
      <c r="BK17" s="22">
        <v>2</v>
      </c>
      <c r="BL17" s="22">
        <v>2</v>
      </c>
      <c r="BM17" s="22">
        <v>5</v>
      </c>
      <c r="BN17" s="22">
        <v>1</v>
      </c>
      <c r="BO17" s="22">
        <v>3</v>
      </c>
      <c r="BP17" s="22">
        <v>1</v>
      </c>
      <c r="BQ17" s="22">
        <v>4</v>
      </c>
      <c r="BR17" s="22">
        <v>3</v>
      </c>
      <c r="BS17" s="22">
        <v>1</v>
      </c>
      <c r="BT17" s="22">
        <v>2</v>
      </c>
      <c r="BU17" s="22">
        <v>3</v>
      </c>
      <c r="BV17" s="22">
        <v>3</v>
      </c>
      <c r="BW17" s="22">
        <v>5</v>
      </c>
      <c r="BX17" s="2" t="s">
        <v>114</v>
      </c>
      <c r="BY17" s="2" t="s">
        <v>32</v>
      </c>
      <c r="BZ17" s="2" t="s">
        <v>34</v>
      </c>
      <c r="CA17" s="2" t="s">
        <v>35</v>
      </c>
      <c r="CB17" s="24">
        <v>0</v>
      </c>
      <c r="CC17" s="2" t="s">
        <v>36</v>
      </c>
      <c r="CD17" s="2" t="s">
        <v>53</v>
      </c>
      <c r="CE17" s="2" t="s">
        <v>32</v>
      </c>
      <c r="CF17" s="24">
        <v>0</v>
      </c>
      <c r="CG17" s="24">
        <v>2</v>
      </c>
      <c r="CH17" s="2" t="s">
        <v>37</v>
      </c>
      <c r="CI17" s="2" t="s">
        <v>32</v>
      </c>
      <c r="CJ17" s="2" t="s">
        <v>32</v>
      </c>
      <c r="CK17" s="2" t="s">
        <v>38</v>
      </c>
      <c r="CL17" s="24">
        <v>1</v>
      </c>
      <c r="CM17" s="2" t="s">
        <v>45</v>
      </c>
      <c r="CN17" s="2" t="s">
        <v>32</v>
      </c>
    </row>
    <row r="18" spans="1:92" ht="14" customHeight="1" x14ac:dyDescent="0.35">
      <c r="A18" s="2" t="s">
        <v>182</v>
      </c>
      <c r="B18" t="str">
        <f t="shared" si="1"/>
        <v>p16</v>
      </c>
      <c r="C18" s="38">
        <v>45574.862986111111</v>
      </c>
      <c r="D18" s="38">
        <v>45574.873865740738</v>
      </c>
      <c r="E18" s="2" t="s">
        <v>178</v>
      </c>
      <c r="F18" s="24">
        <v>100</v>
      </c>
      <c r="G18" s="24">
        <v>940</v>
      </c>
      <c r="H18" s="2" t="s">
        <v>31</v>
      </c>
      <c r="I18" s="38">
        <v>45574.873873819444</v>
      </c>
      <c r="J18" s="2" t="s">
        <v>179</v>
      </c>
      <c r="K18" s="24">
        <v>53.512300000000003</v>
      </c>
      <c r="L18" s="24">
        <v>-2.3142999999999998</v>
      </c>
      <c r="M18" s="2" t="s">
        <v>33</v>
      </c>
      <c r="N18" s="2" t="s">
        <v>180</v>
      </c>
      <c r="O18" s="2" t="s">
        <v>181</v>
      </c>
      <c r="P18" s="22">
        <v>3</v>
      </c>
      <c r="Q18" s="22">
        <v>5</v>
      </c>
      <c r="R18" s="22">
        <v>5</v>
      </c>
      <c r="S18" s="22">
        <v>4</v>
      </c>
      <c r="T18" s="22">
        <v>5</v>
      </c>
      <c r="U18" s="22">
        <v>4</v>
      </c>
      <c r="V18" s="22">
        <v>5</v>
      </c>
      <c r="W18" s="22">
        <v>4</v>
      </c>
      <c r="X18" s="22">
        <v>1</v>
      </c>
      <c r="Y18" s="22">
        <v>3</v>
      </c>
      <c r="Z18" s="22">
        <v>5</v>
      </c>
      <c r="AA18" s="22">
        <v>1</v>
      </c>
      <c r="AB18" s="22">
        <v>5</v>
      </c>
      <c r="AC18" s="22">
        <v>5</v>
      </c>
      <c r="AD18" s="22">
        <v>2</v>
      </c>
      <c r="AE18" s="22">
        <v>4</v>
      </c>
      <c r="AF18" s="22">
        <v>3</v>
      </c>
      <c r="AG18" s="22">
        <v>3</v>
      </c>
      <c r="AH18" s="22">
        <v>3</v>
      </c>
      <c r="AI18" s="22">
        <v>1</v>
      </c>
      <c r="AJ18" s="22">
        <v>1</v>
      </c>
      <c r="AK18" s="22">
        <v>2</v>
      </c>
      <c r="AL18" s="22">
        <v>2</v>
      </c>
      <c r="AM18" s="22">
        <v>5</v>
      </c>
      <c r="AN18" s="22">
        <v>4</v>
      </c>
      <c r="AO18" s="22">
        <v>1</v>
      </c>
      <c r="AP18" s="22">
        <v>5</v>
      </c>
      <c r="AQ18" s="22">
        <v>5</v>
      </c>
      <c r="AR18" s="22">
        <v>2</v>
      </c>
      <c r="AS18" s="22">
        <v>3</v>
      </c>
      <c r="AT18" s="22">
        <v>3</v>
      </c>
      <c r="AU18" s="22">
        <v>5</v>
      </c>
      <c r="AV18" s="22">
        <v>1</v>
      </c>
      <c r="AW18" s="22">
        <v>1</v>
      </c>
      <c r="AX18" s="22">
        <v>3</v>
      </c>
      <c r="AY18" s="22">
        <v>3</v>
      </c>
      <c r="AZ18" s="22">
        <v>2</v>
      </c>
      <c r="BA18" s="22">
        <v>1</v>
      </c>
      <c r="BB18" s="22">
        <v>5</v>
      </c>
      <c r="BC18" s="22">
        <v>3</v>
      </c>
      <c r="BD18" s="22">
        <v>3</v>
      </c>
      <c r="BE18" s="22">
        <v>2</v>
      </c>
      <c r="BF18" s="22">
        <v>5</v>
      </c>
      <c r="BG18" s="22">
        <v>5</v>
      </c>
      <c r="BH18" s="22">
        <v>4</v>
      </c>
      <c r="BI18" s="22">
        <v>5</v>
      </c>
      <c r="BJ18" s="22">
        <v>5</v>
      </c>
      <c r="BK18" s="22">
        <v>3</v>
      </c>
      <c r="BL18" s="22">
        <v>5</v>
      </c>
      <c r="BM18" s="22">
        <v>5</v>
      </c>
      <c r="BN18" s="22">
        <v>1</v>
      </c>
      <c r="BO18" s="22">
        <v>4</v>
      </c>
      <c r="BP18" s="22">
        <v>4</v>
      </c>
      <c r="BQ18" s="22">
        <v>4</v>
      </c>
      <c r="BR18" s="22">
        <v>5</v>
      </c>
      <c r="BS18" s="22">
        <v>5</v>
      </c>
      <c r="BT18" s="22">
        <v>5</v>
      </c>
      <c r="BU18" s="22">
        <v>1</v>
      </c>
      <c r="BV18" s="22">
        <v>3</v>
      </c>
      <c r="BW18" s="22">
        <v>4</v>
      </c>
      <c r="BX18" s="2" t="s">
        <v>182</v>
      </c>
      <c r="BY18" s="2" t="s">
        <v>32</v>
      </c>
      <c r="BZ18" s="2" t="s">
        <v>34</v>
      </c>
      <c r="CA18" s="2" t="s">
        <v>35</v>
      </c>
      <c r="CB18" s="24">
        <v>0</v>
      </c>
      <c r="CC18" s="2" t="s">
        <v>36</v>
      </c>
      <c r="CD18" s="2" t="s">
        <v>53</v>
      </c>
      <c r="CE18" s="2" t="s">
        <v>32</v>
      </c>
      <c r="CF18" s="24">
        <v>0</v>
      </c>
      <c r="CG18" s="24">
        <v>2</v>
      </c>
      <c r="CH18" s="2" t="s">
        <v>37</v>
      </c>
      <c r="CI18" s="2" t="s">
        <v>32</v>
      </c>
      <c r="CJ18" s="2" t="s">
        <v>32</v>
      </c>
      <c r="CK18" s="2" t="s">
        <v>38</v>
      </c>
      <c r="CL18" s="24">
        <v>1</v>
      </c>
      <c r="CM18" s="2" t="s">
        <v>45</v>
      </c>
      <c r="CN18" s="2" t="s">
        <v>32</v>
      </c>
    </row>
    <row r="19" spans="1:92" ht="14" customHeight="1" x14ac:dyDescent="0.35">
      <c r="A19" s="2" t="s">
        <v>108</v>
      </c>
      <c r="B19" t="str">
        <f t="shared" si="1"/>
        <v>p17</v>
      </c>
      <c r="C19" s="38">
        <v>45574.86310185185</v>
      </c>
      <c r="D19" s="38">
        <v>45574.869814814818</v>
      </c>
      <c r="E19" s="2" t="s">
        <v>104</v>
      </c>
      <c r="F19" s="24">
        <v>100</v>
      </c>
      <c r="G19" s="24">
        <v>579</v>
      </c>
      <c r="H19" s="2" t="s">
        <v>31</v>
      </c>
      <c r="I19" s="38">
        <v>45574.869828506948</v>
      </c>
      <c r="J19" s="2" t="s">
        <v>105</v>
      </c>
      <c r="K19" s="24">
        <v>58.5944</v>
      </c>
      <c r="L19" s="24">
        <v>-3.5143</v>
      </c>
      <c r="M19" s="2" t="s">
        <v>33</v>
      </c>
      <c r="N19" s="2" t="s">
        <v>106</v>
      </c>
      <c r="O19" s="2" t="s">
        <v>107</v>
      </c>
      <c r="P19" s="22">
        <v>4</v>
      </c>
      <c r="Q19" s="22">
        <v>4</v>
      </c>
      <c r="R19" s="22">
        <v>2</v>
      </c>
      <c r="S19" s="22">
        <v>4</v>
      </c>
      <c r="T19" s="22">
        <v>4</v>
      </c>
      <c r="U19" s="22">
        <v>3</v>
      </c>
      <c r="V19" s="22">
        <v>4</v>
      </c>
      <c r="W19" s="22">
        <v>2</v>
      </c>
      <c r="X19" s="22">
        <v>2</v>
      </c>
      <c r="Y19" s="22">
        <v>4</v>
      </c>
      <c r="Z19" s="22">
        <v>3</v>
      </c>
      <c r="AA19" s="22">
        <v>4</v>
      </c>
      <c r="AB19" s="22">
        <v>4</v>
      </c>
      <c r="AC19" s="22">
        <v>2</v>
      </c>
      <c r="AD19" s="22">
        <v>1</v>
      </c>
      <c r="AE19" s="22">
        <v>3</v>
      </c>
      <c r="AF19" s="22">
        <v>2</v>
      </c>
      <c r="AG19" s="22">
        <v>3</v>
      </c>
      <c r="AH19" s="22">
        <v>2</v>
      </c>
      <c r="AI19" s="22">
        <v>4</v>
      </c>
      <c r="AJ19" s="22">
        <v>1</v>
      </c>
      <c r="AK19" s="22">
        <v>4</v>
      </c>
      <c r="AL19" s="22">
        <v>2</v>
      </c>
      <c r="AM19" s="22">
        <v>2</v>
      </c>
      <c r="AN19" s="22">
        <v>3</v>
      </c>
      <c r="AO19" s="22">
        <v>4</v>
      </c>
      <c r="AP19" s="22">
        <v>4</v>
      </c>
      <c r="AQ19" s="22">
        <v>4</v>
      </c>
      <c r="AR19" s="22">
        <v>3</v>
      </c>
      <c r="AS19" s="22">
        <v>4</v>
      </c>
      <c r="AT19" s="22">
        <v>2</v>
      </c>
      <c r="AU19" s="22">
        <v>4</v>
      </c>
      <c r="AV19" s="22">
        <v>4</v>
      </c>
      <c r="AW19" s="22">
        <v>3</v>
      </c>
      <c r="AX19" s="22">
        <v>4</v>
      </c>
      <c r="AY19" s="22">
        <v>3</v>
      </c>
      <c r="AZ19" s="22">
        <v>4</v>
      </c>
      <c r="BA19" s="22">
        <v>3</v>
      </c>
      <c r="BB19" s="22">
        <v>3</v>
      </c>
      <c r="BC19" s="22">
        <v>3</v>
      </c>
      <c r="BD19" s="22">
        <v>2</v>
      </c>
      <c r="BE19" s="22">
        <v>4</v>
      </c>
      <c r="BF19" s="22">
        <v>4</v>
      </c>
      <c r="BG19" s="22">
        <v>3</v>
      </c>
      <c r="BH19" s="22">
        <v>4</v>
      </c>
      <c r="BI19" s="22">
        <v>2</v>
      </c>
      <c r="BJ19" s="22">
        <v>4</v>
      </c>
      <c r="BK19" s="22">
        <v>4</v>
      </c>
      <c r="BL19" s="22">
        <v>3</v>
      </c>
      <c r="BM19" s="22">
        <v>2</v>
      </c>
      <c r="BN19" s="22">
        <v>2</v>
      </c>
      <c r="BO19" s="22">
        <v>3</v>
      </c>
      <c r="BP19" s="22">
        <v>2</v>
      </c>
      <c r="BQ19" s="22">
        <v>3</v>
      </c>
      <c r="BR19" s="22">
        <v>3</v>
      </c>
      <c r="BS19" s="22">
        <v>4</v>
      </c>
      <c r="BT19" s="22">
        <v>2</v>
      </c>
      <c r="BU19" s="22">
        <v>3</v>
      </c>
      <c r="BV19" s="22">
        <v>4</v>
      </c>
      <c r="BW19" s="22">
        <v>4</v>
      </c>
      <c r="BX19" s="2" t="s">
        <v>108</v>
      </c>
      <c r="BY19" s="2" t="s">
        <v>32</v>
      </c>
      <c r="BZ19" s="2" t="s">
        <v>34</v>
      </c>
      <c r="CA19" s="2" t="s">
        <v>109</v>
      </c>
      <c r="CB19" s="24">
        <v>1</v>
      </c>
      <c r="CC19" s="2" t="s">
        <v>36</v>
      </c>
      <c r="CD19" s="2" t="s">
        <v>53</v>
      </c>
      <c r="CE19" s="2" t="s">
        <v>32</v>
      </c>
      <c r="CF19" s="24">
        <v>0</v>
      </c>
      <c r="CG19" s="24">
        <v>2</v>
      </c>
      <c r="CH19" s="2" t="s">
        <v>37</v>
      </c>
      <c r="CI19" s="2" t="s">
        <v>32</v>
      </c>
      <c r="CJ19" s="2" t="s">
        <v>32</v>
      </c>
      <c r="CK19" s="2" t="s">
        <v>38</v>
      </c>
      <c r="CL19" s="24">
        <v>1</v>
      </c>
      <c r="CM19" s="2" t="s">
        <v>45</v>
      </c>
      <c r="CN19" s="2" t="s">
        <v>32</v>
      </c>
    </row>
    <row r="20" spans="1:92" ht="14" customHeight="1" x14ac:dyDescent="0.35">
      <c r="A20" s="2" t="s">
        <v>63</v>
      </c>
      <c r="B20" t="str">
        <f t="shared" si="1"/>
        <v>p18</v>
      </c>
      <c r="C20" s="38">
        <v>45574.863310185188</v>
      </c>
      <c r="D20" s="38">
        <v>45574.868101851855</v>
      </c>
      <c r="E20" s="2" t="s">
        <v>59</v>
      </c>
      <c r="F20" s="24">
        <v>100</v>
      </c>
      <c r="G20" s="24">
        <v>413</v>
      </c>
      <c r="H20" s="2" t="s">
        <v>31</v>
      </c>
      <c r="I20" s="38">
        <v>45574.868113518518</v>
      </c>
      <c r="J20" s="2" t="s">
        <v>60</v>
      </c>
      <c r="K20" s="24">
        <v>33.7697</v>
      </c>
      <c r="L20" s="24">
        <v>-84.375399999999999</v>
      </c>
      <c r="M20" s="2" t="s">
        <v>33</v>
      </c>
      <c r="N20" s="2" t="s">
        <v>61</v>
      </c>
      <c r="O20" s="2" t="s">
        <v>62</v>
      </c>
      <c r="P20" s="22">
        <v>4</v>
      </c>
      <c r="Q20" s="22">
        <v>5</v>
      </c>
      <c r="R20" s="22">
        <v>5</v>
      </c>
      <c r="S20" s="22">
        <v>3</v>
      </c>
      <c r="T20" s="22">
        <v>5</v>
      </c>
      <c r="U20" s="22">
        <v>5</v>
      </c>
      <c r="V20" s="22">
        <v>4</v>
      </c>
      <c r="W20" s="22">
        <v>1</v>
      </c>
      <c r="X20" s="22">
        <v>3</v>
      </c>
      <c r="Y20" s="22">
        <v>4</v>
      </c>
      <c r="Z20" s="22">
        <v>5</v>
      </c>
      <c r="AA20" s="22">
        <v>3</v>
      </c>
      <c r="AB20" s="22">
        <v>3</v>
      </c>
      <c r="AC20" s="22">
        <v>4</v>
      </c>
      <c r="AD20" s="22">
        <v>1</v>
      </c>
      <c r="AE20" s="22">
        <v>3</v>
      </c>
      <c r="AF20" s="22">
        <v>1</v>
      </c>
      <c r="AG20" s="22">
        <v>3</v>
      </c>
      <c r="AH20" s="22">
        <v>1</v>
      </c>
      <c r="AI20" s="22">
        <v>5</v>
      </c>
      <c r="AJ20" s="22">
        <v>1</v>
      </c>
      <c r="AK20" s="22">
        <v>3</v>
      </c>
      <c r="AL20" s="22">
        <v>1</v>
      </c>
      <c r="AM20" s="22">
        <v>1</v>
      </c>
      <c r="AN20" s="22">
        <v>5</v>
      </c>
      <c r="AO20" s="22">
        <v>1</v>
      </c>
      <c r="AP20" s="22">
        <v>5</v>
      </c>
      <c r="AQ20" s="22">
        <v>5</v>
      </c>
      <c r="AR20" s="22">
        <v>3</v>
      </c>
      <c r="AS20" s="22">
        <v>4</v>
      </c>
      <c r="AT20" s="22">
        <v>4</v>
      </c>
      <c r="AU20" s="22">
        <v>4</v>
      </c>
      <c r="AV20" s="22">
        <v>1</v>
      </c>
      <c r="AW20" s="22">
        <v>4</v>
      </c>
      <c r="AX20" s="22">
        <v>4</v>
      </c>
      <c r="AY20" s="22">
        <v>1</v>
      </c>
      <c r="AZ20" s="22">
        <v>5</v>
      </c>
      <c r="BA20" s="22">
        <v>5</v>
      </c>
      <c r="BB20" s="22">
        <v>4</v>
      </c>
      <c r="BC20" s="22">
        <v>4</v>
      </c>
      <c r="BD20" s="22">
        <v>1</v>
      </c>
      <c r="BE20" s="22">
        <v>5</v>
      </c>
      <c r="BF20" s="22">
        <v>5</v>
      </c>
      <c r="BG20" s="22">
        <v>3</v>
      </c>
      <c r="BH20" s="22">
        <v>4</v>
      </c>
      <c r="BI20" s="22">
        <v>1</v>
      </c>
      <c r="BJ20" s="22">
        <v>3</v>
      </c>
      <c r="BK20" s="22">
        <v>5</v>
      </c>
      <c r="BL20" s="22">
        <v>4</v>
      </c>
      <c r="BM20" s="22">
        <v>5</v>
      </c>
      <c r="BN20" s="22">
        <v>1</v>
      </c>
      <c r="BO20" s="22">
        <v>3</v>
      </c>
      <c r="BP20" s="22">
        <v>3</v>
      </c>
      <c r="BQ20" s="22">
        <v>3</v>
      </c>
      <c r="BR20" s="22">
        <v>3</v>
      </c>
      <c r="BS20" s="22">
        <v>1</v>
      </c>
      <c r="BT20" s="22">
        <v>1</v>
      </c>
      <c r="BU20" s="22">
        <v>3</v>
      </c>
      <c r="BV20" s="22">
        <v>4</v>
      </c>
      <c r="BW20" s="22">
        <v>5</v>
      </c>
      <c r="BX20" s="2" t="s">
        <v>63</v>
      </c>
      <c r="BY20" s="2" t="s">
        <v>32</v>
      </c>
      <c r="BZ20" s="2" t="s">
        <v>34</v>
      </c>
      <c r="CA20" s="2" t="s">
        <v>35</v>
      </c>
      <c r="CB20" s="24">
        <v>0</v>
      </c>
      <c r="CC20" s="2" t="s">
        <v>64</v>
      </c>
      <c r="CD20" s="2" t="s">
        <v>65</v>
      </c>
      <c r="CE20" s="2" t="s">
        <v>32</v>
      </c>
      <c r="CF20" s="24">
        <v>0</v>
      </c>
      <c r="CG20" s="24">
        <v>2</v>
      </c>
      <c r="CH20" s="2" t="s">
        <v>37</v>
      </c>
      <c r="CI20" s="2" t="s">
        <v>32</v>
      </c>
      <c r="CJ20" s="2" t="s">
        <v>32</v>
      </c>
      <c r="CK20" s="2" t="s">
        <v>38</v>
      </c>
      <c r="CL20" s="24">
        <v>1</v>
      </c>
      <c r="CM20" s="2" t="s">
        <v>45</v>
      </c>
      <c r="CN20" s="2" t="s">
        <v>32</v>
      </c>
    </row>
    <row r="21" spans="1:92" ht="14" customHeight="1" x14ac:dyDescent="0.35">
      <c r="A21" s="2" t="s">
        <v>214</v>
      </c>
      <c r="B21" t="str">
        <f t="shared" si="1"/>
        <v>p19</v>
      </c>
      <c r="C21" s="38">
        <v>45574.863368055558</v>
      </c>
      <c r="D21" s="38">
        <v>45574.87736111111</v>
      </c>
      <c r="E21" s="2" t="s">
        <v>210</v>
      </c>
      <c r="F21" s="24">
        <v>100</v>
      </c>
      <c r="G21" s="24">
        <v>1209</v>
      </c>
      <c r="H21" s="2" t="s">
        <v>31</v>
      </c>
      <c r="I21" s="38">
        <v>45574.877378750003</v>
      </c>
      <c r="J21" s="2" t="s">
        <v>211</v>
      </c>
      <c r="K21" s="24">
        <v>51.140999999999998</v>
      </c>
      <c r="L21" s="24">
        <v>0.82379999999999998</v>
      </c>
      <c r="M21" s="2" t="s">
        <v>33</v>
      </c>
      <c r="N21" s="2" t="s">
        <v>212</v>
      </c>
      <c r="O21" s="2" t="s">
        <v>213</v>
      </c>
      <c r="P21" s="22">
        <v>3</v>
      </c>
      <c r="Q21" s="22">
        <v>5</v>
      </c>
      <c r="R21" s="22">
        <v>4</v>
      </c>
      <c r="S21" s="22">
        <v>5</v>
      </c>
      <c r="T21" s="22">
        <v>3</v>
      </c>
      <c r="U21" s="22">
        <v>5</v>
      </c>
      <c r="V21" s="22">
        <v>4</v>
      </c>
      <c r="W21" s="22">
        <v>4</v>
      </c>
      <c r="X21" s="22">
        <v>2</v>
      </c>
      <c r="Y21" s="22">
        <v>4</v>
      </c>
      <c r="Z21" s="22">
        <v>3</v>
      </c>
      <c r="AA21" s="22">
        <v>3</v>
      </c>
      <c r="AB21" s="22">
        <v>3</v>
      </c>
      <c r="AC21" s="22">
        <v>5</v>
      </c>
      <c r="AD21" s="22">
        <v>1</v>
      </c>
      <c r="AE21" s="22">
        <v>3</v>
      </c>
      <c r="AF21" s="22">
        <v>5</v>
      </c>
      <c r="AG21" s="22">
        <v>5</v>
      </c>
      <c r="AH21" s="22">
        <v>4</v>
      </c>
      <c r="AI21" s="22">
        <v>2</v>
      </c>
      <c r="AJ21" s="22">
        <v>1</v>
      </c>
      <c r="AK21" s="22">
        <v>5</v>
      </c>
      <c r="AL21" s="22">
        <v>3</v>
      </c>
      <c r="AM21" s="22">
        <v>5</v>
      </c>
      <c r="AN21" s="22">
        <v>5</v>
      </c>
      <c r="AO21" s="22">
        <v>1</v>
      </c>
      <c r="AP21" s="22">
        <v>4</v>
      </c>
      <c r="AQ21" s="22">
        <v>4</v>
      </c>
      <c r="AR21" s="22">
        <v>4</v>
      </c>
      <c r="AS21" s="22">
        <v>5</v>
      </c>
      <c r="AT21" s="22">
        <v>4</v>
      </c>
      <c r="AU21" s="22">
        <v>4</v>
      </c>
      <c r="AV21" s="22">
        <v>3</v>
      </c>
      <c r="AW21" s="22">
        <v>2</v>
      </c>
      <c r="AX21" s="22">
        <v>5</v>
      </c>
      <c r="AY21" s="22">
        <v>3</v>
      </c>
      <c r="AZ21" s="22">
        <v>5</v>
      </c>
      <c r="BA21" s="22">
        <v>2</v>
      </c>
      <c r="BB21" s="22">
        <v>2</v>
      </c>
      <c r="BC21" s="22">
        <v>2</v>
      </c>
      <c r="BD21" s="22">
        <v>3</v>
      </c>
      <c r="BE21" s="22">
        <v>5</v>
      </c>
      <c r="BF21" s="22">
        <v>4</v>
      </c>
      <c r="BG21" s="22">
        <v>3</v>
      </c>
      <c r="BH21" s="22">
        <v>5</v>
      </c>
      <c r="BI21" s="22">
        <v>3</v>
      </c>
      <c r="BJ21" s="22">
        <v>3</v>
      </c>
      <c r="BK21" s="22">
        <v>5</v>
      </c>
      <c r="BL21" s="22">
        <v>3</v>
      </c>
      <c r="BM21" s="22">
        <v>5</v>
      </c>
      <c r="BN21" s="22">
        <v>4</v>
      </c>
      <c r="BO21" s="22">
        <v>4</v>
      </c>
      <c r="BP21" s="22">
        <v>2</v>
      </c>
      <c r="BQ21" s="22">
        <v>3</v>
      </c>
      <c r="BR21" s="22">
        <v>3</v>
      </c>
      <c r="BS21" s="22">
        <v>1</v>
      </c>
      <c r="BT21" s="22">
        <v>5</v>
      </c>
      <c r="BU21" s="22">
        <v>3</v>
      </c>
      <c r="BV21" s="22">
        <v>5</v>
      </c>
      <c r="BW21" s="22">
        <v>5</v>
      </c>
      <c r="BX21" s="2" t="s">
        <v>214</v>
      </c>
      <c r="BY21" s="2" t="s">
        <v>32</v>
      </c>
      <c r="BZ21" s="2" t="s">
        <v>34</v>
      </c>
      <c r="CA21" s="2" t="s">
        <v>35</v>
      </c>
      <c r="CB21" s="24">
        <v>0</v>
      </c>
      <c r="CC21" s="2" t="s">
        <v>36</v>
      </c>
      <c r="CD21" s="2" t="s">
        <v>82</v>
      </c>
      <c r="CE21" s="2" t="s">
        <v>32</v>
      </c>
      <c r="CF21" s="24">
        <v>0</v>
      </c>
      <c r="CG21" s="24">
        <v>2</v>
      </c>
      <c r="CH21" s="2" t="s">
        <v>37</v>
      </c>
      <c r="CI21" s="2" t="s">
        <v>32</v>
      </c>
      <c r="CJ21" s="2" t="s">
        <v>32</v>
      </c>
      <c r="CK21" s="2" t="s">
        <v>38</v>
      </c>
      <c r="CL21" s="24">
        <v>1</v>
      </c>
      <c r="CM21" s="2" t="s">
        <v>45</v>
      </c>
      <c r="CN21" s="2" t="s">
        <v>32</v>
      </c>
    </row>
    <row r="22" spans="1:92" ht="14" customHeight="1" x14ac:dyDescent="0.35">
      <c r="A22" s="2" t="s">
        <v>141</v>
      </c>
      <c r="B22" t="str">
        <f t="shared" si="1"/>
        <v>p20</v>
      </c>
      <c r="C22" s="38">
        <v>45574.863391203704</v>
      </c>
      <c r="D22" s="38">
        <v>45574.871539351851</v>
      </c>
      <c r="E22" s="2" t="s">
        <v>137</v>
      </c>
      <c r="F22" s="24">
        <v>100</v>
      </c>
      <c r="G22" s="24">
        <v>703</v>
      </c>
      <c r="H22" s="2" t="s">
        <v>31</v>
      </c>
      <c r="I22" s="38">
        <v>45574.871546145834</v>
      </c>
      <c r="J22" s="2" t="s">
        <v>138</v>
      </c>
      <c r="K22" s="24">
        <v>53.499400000000001</v>
      </c>
      <c r="L22" s="24">
        <v>-2.2433000000000001</v>
      </c>
      <c r="M22" s="2" t="s">
        <v>33</v>
      </c>
      <c r="N22" s="2" t="s">
        <v>139</v>
      </c>
      <c r="O22" s="2" t="s">
        <v>140</v>
      </c>
      <c r="P22" s="22">
        <v>5</v>
      </c>
      <c r="Q22" s="22">
        <v>5</v>
      </c>
      <c r="R22" s="22">
        <v>5</v>
      </c>
      <c r="S22" s="22">
        <v>5</v>
      </c>
      <c r="T22" s="22">
        <v>4</v>
      </c>
      <c r="U22" s="22">
        <v>4</v>
      </c>
      <c r="V22" s="22">
        <v>2</v>
      </c>
      <c r="W22" s="22">
        <v>4</v>
      </c>
      <c r="X22" s="22">
        <v>1</v>
      </c>
      <c r="Y22" s="22">
        <v>4</v>
      </c>
      <c r="Z22" s="22">
        <v>4</v>
      </c>
      <c r="AA22" s="22">
        <v>4</v>
      </c>
      <c r="AB22" s="22">
        <v>1</v>
      </c>
      <c r="AC22" s="22">
        <v>4</v>
      </c>
      <c r="AD22" s="22">
        <v>1</v>
      </c>
      <c r="AE22" s="22">
        <v>5</v>
      </c>
      <c r="AF22" s="22">
        <v>2</v>
      </c>
      <c r="AG22" s="22">
        <v>5</v>
      </c>
      <c r="AH22" s="22">
        <v>5</v>
      </c>
      <c r="AI22" s="22">
        <v>1</v>
      </c>
      <c r="AJ22" s="22">
        <v>1</v>
      </c>
      <c r="AK22" s="22">
        <v>5</v>
      </c>
      <c r="AL22" s="22">
        <v>4</v>
      </c>
      <c r="AM22" s="22">
        <v>5</v>
      </c>
      <c r="AN22" s="22">
        <v>1</v>
      </c>
      <c r="AO22" s="22">
        <v>3</v>
      </c>
      <c r="AP22" s="22">
        <v>3</v>
      </c>
      <c r="AQ22" s="22">
        <v>3</v>
      </c>
      <c r="AR22" s="22">
        <v>5</v>
      </c>
      <c r="AS22" s="22">
        <v>5</v>
      </c>
      <c r="AT22" s="22">
        <v>5</v>
      </c>
      <c r="AU22" s="22">
        <v>3</v>
      </c>
      <c r="AV22" s="22">
        <v>5</v>
      </c>
      <c r="AW22" s="22">
        <v>5</v>
      </c>
      <c r="AX22" s="22">
        <v>5</v>
      </c>
      <c r="AY22" s="22">
        <v>5</v>
      </c>
      <c r="AZ22" s="22">
        <v>5</v>
      </c>
      <c r="BA22" s="22">
        <v>3</v>
      </c>
      <c r="BB22" s="22">
        <v>2</v>
      </c>
      <c r="BC22" s="22">
        <v>5</v>
      </c>
      <c r="BD22" s="22">
        <v>5</v>
      </c>
      <c r="BE22" s="22">
        <v>5</v>
      </c>
      <c r="BF22" s="22">
        <v>3</v>
      </c>
      <c r="BG22" s="22">
        <v>1</v>
      </c>
      <c r="BH22" s="22">
        <v>5</v>
      </c>
      <c r="BI22" s="22">
        <v>3</v>
      </c>
      <c r="BJ22" s="22">
        <v>3</v>
      </c>
      <c r="BK22" s="22">
        <v>5</v>
      </c>
      <c r="BL22" s="22">
        <v>5</v>
      </c>
      <c r="BM22" s="22">
        <v>4</v>
      </c>
      <c r="BN22" s="22">
        <v>3</v>
      </c>
      <c r="BO22" s="22">
        <v>1</v>
      </c>
      <c r="BP22" s="22">
        <v>1</v>
      </c>
      <c r="BQ22" s="22">
        <v>1</v>
      </c>
      <c r="BR22" s="22">
        <v>4</v>
      </c>
      <c r="BS22" s="22">
        <v>3</v>
      </c>
      <c r="BT22" s="22">
        <v>1</v>
      </c>
      <c r="BU22" s="22">
        <v>5</v>
      </c>
      <c r="BV22" s="22">
        <v>5</v>
      </c>
      <c r="BW22" s="22">
        <v>5</v>
      </c>
      <c r="BX22" s="2" t="s">
        <v>141</v>
      </c>
      <c r="BY22" s="2" t="s">
        <v>32</v>
      </c>
      <c r="BZ22" s="2" t="s">
        <v>34</v>
      </c>
      <c r="CA22" s="2" t="s">
        <v>35</v>
      </c>
      <c r="CB22" s="24">
        <v>0</v>
      </c>
      <c r="CC22" s="2" t="s">
        <v>52</v>
      </c>
      <c r="CD22" s="2" t="s">
        <v>51</v>
      </c>
      <c r="CE22" s="2" t="s">
        <v>32</v>
      </c>
      <c r="CF22" s="24">
        <v>0</v>
      </c>
      <c r="CG22" s="24">
        <v>0</v>
      </c>
      <c r="CH22" s="2" t="s">
        <v>51</v>
      </c>
      <c r="CI22" s="2" t="s">
        <v>32</v>
      </c>
      <c r="CJ22" s="2" t="s">
        <v>32</v>
      </c>
      <c r="CK22" s="2" t="s">
        <v>38</v>
      </c>
      <c r="CL22" s="24">
        <v>1</v>
      </c>
      <c r="CM22" s="2" t="s">
        <v>45</v>
      </c>
      <c r="CN22" s="2" t="s">
        <v>32</v>
      </c>
    </row>
    <row r="23" spans="1:92" ht="14" customHeight="1" x14ac:dyDescent="0.35">
      <c r="A23" s="2" t="s">
        <v>187</v>
      </c>
      <c r="B23" t="str">
        <f t="shared" si="1"/>
        <v>p21</v>
      </c>
      <c r="C23" s="38">
        <v>45574.863425925927</v>
      </c>
      <c r="D23" s="38">
        <v>45574.874189814815</v>
      </c>
      <c r="E23" s="2" t="s">
        <v>183</v>
      </c>
      <c r="F23" s="24">
        <v>100</v>
      </c>
      <c r="G23" s="24">
        <v>929</v>
      </c>
      <c r="H23" s="2" t="s">
        <v>31</v>
      </c>
      <c r="I23" s="38">
        <v>45574.874204872685</v>
      </c>
      <c r="J23" s="2" t="s">
        <v>184</v>
      </c>
      <c r="K23" s="24">
        <v>53.523299999999999</v>
      </c>
      <c r="L23" s="24">
        <v>-1.1268</v>
      </c>
      <c r="M23" s="2" t="s">
        <v>33</v>
      </c>
      <c r="N23" s="2" t="s">
        <v>185</v>
      </c>
      <c r="O23" s="2" t="s">
        <v>186</v>
      </c>
      <c r="P23" s="22">
        <v>4</v>
      </c>
      <c r="Q23" s="22">
        <v>3</v>
      </c>
      <c r="R23" s="22">
        <v>3</v>
      </c>
      <c r="S23" s="22">
        <v>2</v>
      </c>
      <c r="T23" s="22">
        <v>3</v>
      </c>
      <c r="U23" s="22">
        <v>5</v>
      </c>
      <c r="V23" s="22">
        <v>3</v>
      </c>
      <c r="W23" s="22">
        <v>5</v>
      </c>
      <c r="X23" s="22">
        <v>1</v>
      </c>
      <c r="Y23" s="22">
        <v>2</v>
      </c>
      <c r="Z23" s="22">
        <v>5</v>
      </c>
      <c r="AA23" s="22">
        <v>2</v>
      </c>
      <c r="AB23" s="22">
        <v>2</v>
      </c>
      <c r="AC23" s="22">
        <v>4</v>
      </c>
      <c r="AD23" s="22">
        <v>1</v>
      </c>
      <c r="AE23" s="22">
        <v>1</v>
      </c>
      <c r="AF23" s="22">
        <v>5</v>
      </c>
      <c r="AG23" s="22">
        <v>3</v>
      </c>
      <c r="AH23" s="22">
        <v>2</v>
      </c>
      <c r="AI23" s="22">
        <v>3</v>
      </c>
      <c r="AJ23" s="22">
        <v>1</v>
      </c>
      <c r="AK23" s="22">
        <v>4</v>
      </c>
      <c r="AL23" s="22">
        <v>3</v>
      </c>
      <c r="AM23" s="22">
        <v>3</v>
      </c>
      <c r="AN23" s="22">
        <v>4</v>
      </c>
      <c r="AO23" s="22">
        <v>1</v>
      </c>
      <c r="AP23" s="22">
        <v>5</v>
      </c>
      <c r="AQ23" s="22">
        <v>5</v>
      </c>
      <c r="AR23" s="22">
        <v>2</v>
      </c>
      <c r="AS23" s="22">
        <v>1</v>
      </c>
      <c r="AT23" s="22">
        <v>3</v>
      </c>
      <c r="AU23" s="22">
        <v>5</v>
      </c>
      <c r="AV23" s="22">
        <v>2</v>
      </c>
      <c r="AW23" s="22">
        <v>3</v>
      </c>
      <c r="AX23" s="22">
        <v>4</v>
      </c>
      <c r="AY23" s="22">
        <v>2</v>
      </c>
      <c r="AZ23" s="22">
        <v>4</v>
      </c>
      <c r="BA23" s="22">
        <v>5</v>
      </c>
      <c r="BB23" s="22">
        <v>2</v>
      </c>
      <c r="BC23" s="22">
        <v>3</v>
      </c>
      <c r="BD23" s="22">
        <v>5</v>
      </c>
      <c r="BE23" s="22">
        <v>5</v>
      </c>
      <c r="BF23" s="22">
        <v>4</v>
      </c>
      <c r="BG23" s="22">
        <v>1</v>
      </c>
      <c r="BH23" s="22">
        <v>3</v>
      </c>
      <c r="BI23" s="22">
        <v>2</v>
      </c>
      <c r="BJ23" s="22">
        <v>2</v>
      </c>
      <c r="BK23" s="22">
        <v>1</v>
      </c>
      <c r="BL23" s="22">
        <v>4</v>
      </c>
      <c r="BM23" s="22">
        <v>4</v>
      </c>
      <c r="BN23" s="22">
        <v>1</v>
      </c>
      <c r="BO23" s="22">
        <v>5</v>
      </c>
      <c r="BP23" s="22">
        <v>1</v>
      </c>
      <c r="BQ23" s="22">
        <v>4</v>
      </c>
      <c r="BR23" s="22">
        <v>3</v>
      </c>
      <c r="BS23" s="22">
        <v>2</v>
      </c>
      <c r="BT23" s="22">
        <v>3</v>
      </c>
      <c r="BU23" s="22">
        <v>4</v>
      </c>
      <c r="BV23" s="22">
        <v>5</v>
      </c>
      <c r="BW23" s="22">
        <v>4</v>
      </c>
      <c r="BX23" s="2" t="s">
        <v>187</v>
      </c>
      <c r="BY23" s="2" t="s">
        <v>32</v>
      </c>
      <c r="BZ23" s="2" t="s">
        <v>34</v>
      </c>
      <c r="CA23" s="2" t="s">
        <v>109</v>
      </c>
      <c r="CB23" s="24">
        <v>1</v>
      </c>
      <c r="CC23" s="2" t="s">
        <v>36</v>
      </c>
      <c r="CD23" s="2" t="s">
        <v>51</v>
      </c>
      <c r="CE23" s="2" t="s">
        <v>32</v>
      </c>
      <c r="CF23" s="24">
        <v>0</v>
      </c>
      <c r="CG23" s="24">
        <v>2</v>
      </c>
      <c r="CH23" s="2" t="s">
        <v>37</v>
      </c>
      <c r="CI23" s="2" t="s">
        <v>32</v>
      </c>
      <c r="CJ23" s="2" t="s">
        <v>32</v>
      </c>
      <c r="CK23" s="2" t="s">
        <v>38</v>
      </c>
      <c r="CL23" s="24">
        <v>1</v>
      </c>
      <c r="CM23" s="2" t="s">
        <v>45</v>
      </c>
      <c r="CN23" s="2" t="s">
        <v>32</v>
      </c>
    </row>
    <row r="24" spans="1:92" ht="14" customHeight="1" x14ac:dyDescent="0.35">
      <c r="A24" s="2" t="s">
        <v>209</v>
      </c>
      <c r="B24" t="str">
        <f t="shared" si="1"/>
        <v>p22</v>
      </c>
      <c r="C24" s="38">
        <v>45574.86347222222</v>
      </c>
      <c r="D24" s="38">
        <v>45574.87641203704</v>
      </c>
      <c r="E24" s="2" t="s">
        <v>205</v>
      </c>
      <c r="F24" s="24">
        <v>100</v>
      </c>
      <c r="G24" s="24">
        <v>1117</v>
      </c>
      <c r="H24" s="2" t="s">
        <v>31</v>
      </c>
      <c r="I24" s="38">
        <v>45574.87642291667</v>
      </c>
      <c r="J24" s="2" t="s">
        <v>206</v>
      </c>
      <c r="K24" s="24">
        <v>53.799900000000001</v>
      </c>
      <c r="L24" s="24">
        <v>-1.5125</v>
      </c>
      <c r="M24" s="2" t="s">
        <v>33</v>
      </c>
      <c r="N24" s="2" t="s">
        <v>207</v>
      </c>
      <c r="O24" s="2" t="s">
        <v>208</v>
      </c>
      <c r="P24" s="22">
        <v>5</v>
      </c>
      <c r="Q24" s="22">
        <v>2</v>
      </c>
      <c r="R24" s="22">
        <v>2</v>
      </c>
      <c r="S24" s="22">
        <v>5</v>
      </c>
      <c r="T24" s="22">
        <v>4</v>
      </c>
      <c r="U24" s="22">
        <v>3</v>
      </c>
      <c r="V24" s="22">
        <v>3</v>
      </c>
      <c r="W24" s="22">
        <v>2</v>
      </c>
      <c r="X24" s="22">
        <v>2</v>
      </c>
      <c r="Y24" s="22">
        <v>5</v>
      </c>
      <c r="Z24" s="22">
        <v>3</v>
      </c>
      <c r="AA24" s="22">
        <v>3</v>
      </c>
      <c r="AB24" s="22">
        <v>4</v>
      </c>
      <c r="AC24" s="22">
        <v>3</v>
      </c>
      <c r="AD24" s="22">
        <v>1</v>
      </c>
      <c r="AE24" s="22">
        <v>3</v>
      </c>
      <c r="AF24" s="22">
        <v>1</v>
      </c>
      <c r="AG24" s="22">
        <v>2</v>
      </c>
      <c r="AH24" s="22">
        <v>2</v>
      </c>
      <c r="AI24" s="22">
        <v>4</v>
      </c>
      <c r="AJ24" s="22">
        <v>1</v>
      </c>
      <c r="AK24" s="22">
        <v>5</v>
      </c>
      <c r="AL24" s="22">
        <v>1</v>
      </c>
      <c r="AM24" s="22">
        <v>2</v>
      </c>
      <c r="AN24" s="22">
        <v>1</v>
      </c>
      <c r="AO24" s="22">
        <v>2</v>
      </c>
      <c r="AP24" s="22">
        <v>2</v>
      </c>
      <c r="AQ24" s="22">
        <v>2</v>
      </c>
      <c r="AR24" s="22">
        <v>2</v>
      </c>
      <c r="AS24" s="22">
        <v>5</v>
      </c>
      <c r="AT24" s="22">
        <v>4</v>
      </c>
      <c r="AU24" s="22">
        <v>2</v>
      </c>
      <c r="AV24" s="22">
        <v>2</v>
      </c>
      <c r="AW24" s="22">
        <v>2</v>
      </c>
      <c r="AX24" s="22">
        <v>3</v>
      </c>
      <c r="AY24" s="22">
        <v>3</v>
      </c>
      <c r="AZ24" s="22">
        <v>3</v>
      </c>
      <c r="BA24" s="22">
        <v>4</v>
      </c>
      <c r="BB24" s="22">
        <v>2</v>
      </c>
      <c r="BC24" s="22">
        <v>3</v>
      </c>
      <c r="BD24" s="22">
        <v>1</v>
      </c>
      <c r="BE24" s="22">
        <v>3</v>
      </c>
      <c r="BF24" s="22">
        <v>4</v>
      </c>
      <c r="BG24" s="22">
        <v>4</v>
      </c>
      <c r="BH24" s="22">
        <v>4</v>
      </c>
      <c r="BI24" s="22">
        <v>2</v>
      </c>
      <c r="BJ24" s="22">
        <v>3</v>
      </c>
      <c r="BK24" s="22">
        <v>2</v>
      </c>
      <c r="BL24" s="22">
        <v>2</v>
      </c>
      <c r="BM24" s="22">
        <v>3</v>
      </c>
      <c r="BN24" s="22">
        <v>2</v>
      </c>
      <c r="BO24" s="22">
        <v>2</v>
      </c>
      <c r="BP24" s="22">
        <v>1</v>
      </c>
      <c r="BQ24" s="22">
        <v>3</v>
      </c>
      <c r="BR24" s="22">
        <v>4</v>
      </c>
      <c r="BS24" s="22">
        <v>2</v>
      </c>
      <c r="BT24" s="22">
        <v>1</v>
      </c>
      <c r="BU24" s="22">
        <v>1</v>
      </c>
      <c r="BV24" s="22">
        <v>3</v>
      </c>
      <c r="BW24" s="22">
        <v>5</v>
      </c>
      <c r="BX24" s="2" t="s">
        <v>209</v>
      </c>
      <c r="BY24" s="2" t="s">
        <v>32</v>
      </c>
      <c r="BZ24" s="2" t="s">
        <v>34</v>
      </c>
      <c r="CA24" s="2" t="s">
        <v>35</v>
      </c>
      <c r="CB24" s="24">
        <v>0</v>
      </c>
      <c r="CC24" s="2" t="s">
        <v>36</v>
      </c>
      <c r="CD24" s="2" t="s">
        <v>71</v>
      </c>
      <c r="CE24" s="2" t="s">
        <v>32</v>
      </c>
      <c r="CF24" s="24">
        <v>0</v>
      </c>
      <c r="CG24" s="24">
        <v>2</v>
      </c>
      <c r="CH24" s="2" t="s">
        <v>37</v>
      </c>
      <c r="CI24" s="2" t="s">
        <v>32</v>
      </c>
      <c r="CJ24" s="2" t="s">
        <v>32</v>
      </c>
      <c r="CK24" s="2" t="s">
        <v>38</v>
      </c>
      <c r="CL24" s="24">
        <v>1</v>
      </c>
      <c r="CM24" s="2" t="s">
        <v>45</v>
      </c>
      <c r="CN24" s="2" t="s">
        <v>32</v>
      </c>
    </row>
    <row r="25" spans="1:92" ht="14" customHeight="1" x14ac:dyDescent="0.35">
      <c r="A25" s="2" t="s">
        <v>177</v>
      </c>
      <c r="B25" t="str">
        <f t="shared" si="1"/>
        <v>p23</v>
      </c>
      <c r="C25" s="38">
        <v>45574.863506944443</v>
      </c>
      <c r="D25" s="38">
        <v>45574.873761574076</v>
      </c>
      <c r="E25" s="2" t="s">
        <v>173</v>
      </c>
      <c r="F25" s="24">
        <v>100</v>
      </c>
      <c r="G25" s="24">
        <v>885</v>
      </c>
      <c r="H25" s="2" t="s">
        <v>31</v>
      </c>
      <c r="I25" s="38">
        <v>45574.873789884259</v>
      </c>
      <c r="J25" s="2" t="s">
        <v>174</v>
      </c>
      <c r="K25" s="24">
        <v>52.570599999999999</v>
      </c>
      <c r="L25" s="24">
        <v>1.2169000000000001</v>
      </c>
      <c r="M25" s="2" t="s">
        <v>33</v>
      </c>
      <c r="N25" s="2" t="s">
        <v>175</v>
      </c>
      <c r="O25" s="2" t="s">
        <v>176</v>
      </c>
      <c r="P25" s="22">
        <v>5</v>
      </c>
      <c r="Q25" s="22">
        <v>4</v>
      </c>
      <c r="R25" s="22">
        <v>3</v>
      </c>
      <c r="S25" s="22">
        <v>4</v>
      </c>
      <c r="T25" s="22">
        <v>4</v>
      </c>
      <c r="U25" s="22">
        <v>5</v>
      </c>
      <c r="V25" s="22">
        <v>3</v>
      </c>
      <c r="W25" s="22">
        <v>2</v>
      </c>
      <c r="X25" s="22">
        <v>3</v>
      </c>
      <c r="Y25" s="22">
        <v>5</v>
      </c>
      <c r="Z25" s="22">
        <v>2</v>
      </c>
      <c r="AA25" s="22">
        <v>5</v>
      </c>
      <c r="AB25" s="22">
        <v>3</v>
      </c>
      <c r="AC25" s="22">
        <v>4</v>
      </c>
      <c r="AD25" s="22">
        <v>1</v>
      </c>
      <c r="AE25" s="22">
        <v>4</v>
      </c>
      <c r="AF25" s="22">
        <v>3</v>
      </c>
      <c r="AG25" s="22">
        <v>3</v>
      </c>
      <c r="AH25" s="22">
        <v>3</v>
      </c>
      <c r="AI25" s="22">
        <v>3</v>
      </c>
      <c r="AJ25" s="22">
        <v>1</v>
      </c>
      <c r="AK25" s="22">
        <v>3</v>
      </c>
      <c r="AL25" s="22">
        <v>3</v>
      </c>
      <c r="AM25" s="22">
        <v>3</v>
      </c>
      <c r="AN25" s="22">
        <v>4</v>
      </c>
      <c r="AO25" s="22">
        <v>2</v>
      </c>
      <c r="AP25" s="22">
        <v>4</v>
      </c>
      <c r="AQ25" s="22">
        <v>3</v>
      </c>
      <c r="AR25" s="22">
        <v>3</v>
      </c>
      <c r="AS25" s="22">
        <v>5</v>
      </c>
      <c r="AT25" s="22">
        <v>3</v>
      </c>
      <c r="AU25" s="22">
        <v>5</v>
      </c>
      <c r="AV25" s="22">
        <v>5</v>
      </c>
      <c r="AW25" s="22">
        <v>4</v>
      </c>
      <c r="AX25" s="22">
        <v>3</v>
      </c>
      <c r="AY25" s="22">
        <v>5</v>
      </c>
      <c r="AZ25" s="22">
        <v>3</v>
      </c>
      <c r="BA25" s="22">
        <v>2</v>
      </c>
      <c r="BB25" s="22">
        <v>3</v>
      </c>
      <c r="BC25" s="22">
        <v>4</v>
      </c>
      <c r="BD25" s="22">
        <v>2</v>
      </c>
      <c r="BE25" s="22">
        <v>4</v>
      </c>
      <c r="BF25" s="22">
        <v>2</v>
      </c>
      <c r="BG25" s="22">
        <v>3</v>
      </c>
      <c r="BH25" s="22">
        <v>4</v>
      </c>
      <c r="BI25" s="22">
        <v>3</v>
      </c>
      <c r="BJ25" s="22">
        <v>3</v>
      </c>
      <c r="BK25" s="22">
        <v>3</v>
      </c>
      <c r="BL25" s="22">
        <v>3</v>
      </c>
      <c r="BM25" s="22">
        <v>4</v>
      </c>
      <c r="BN25" s="22">
        <v>2</v>
      </c>
      <c r="BO25" s="22">
        <v>4</v>
      </c>
      <c r="BP25" s="22">
        <v>1</v>
      </c>
      <c r="BQ25" s="22">
        <v>3</v>
      </c>
      <c r="BR25" s="22">
        <v>4</v>
      </c>
      <c r="BS25" s="22">
        <v>2</v>
      </c>
      <c r="BT25" s="22">
        <v>1</v>
      </c>
      <c r="BU25" s="22">
        <v>3</v>
      </c>
      <c r="BV25" s="22">
        <v>4</v>
      </c>
      <c r="BW25" s="22">
        <v>4</v>
      </c>
      <c r="BX25" s="2" t="s">
        <v>177</v>
      </c>
      <c r="BY25" s="2" t="s">
        <v>32</v>
      </c>
      <c r="BZ25" s="2" t="s">
        <v>34</v>
      </c>
      <c r="CA25" s="2" t="s">
        <v>35</v>
      </c>
      <c r="CB25" s="24">
        <v>0</v>
      </c>
      <c r="CC25" s="2" t="s">
        <v>64</v>
      </c>
      <c r="CD25" s="2" t="s">
        <v>65</v>
      </c>
      <c r="CE25" s="2" t="s">
        <v>32</v>
      </c>
      <c r="CF25" s="24">
        <v>0</v>
      </c>
      <c r="CG25" s="24">
        <v>2</v>
      </c>
      <c r="CH25" s="2" t="s">
        <v>37</v>
      </c>
      <c r="CI25" s="2" t="s">
        <v>32</v>
      </c>
      <c r="CJ25" s="2" t="s">
        <v>32</v>
      </c>
      <c r="CK25" s="2" t="s">
        <v>38</v>
      </c>
      <c r="CL25" s="24">
        <v>1</v>
      </c>
      <c r="CM25" s="2" t="s">
        <v>45</v>
      </c>
      <c r="CN25" s="2" t="s">
        <v>32</v>
      </c>
    </row>
    <row r="26" spans="1:92" ht="14" customHeight="1" x14ac:dyDescent="0.35">
      <c r="A26" s="2" t="s">
        <v>157</v>
      </c>
      <c r="B26" t="str">
        <f t="shared" si="1"/>
        <v>p24</v>
      </c>
      <c r="C26" s="38">
        <v>45574.863576388889</v>
      </c>
      <c r="D26" s="38">
        <v>45574.872627314813</v>
      </c>
      <c r="E26" s="2" t="s">
        <v>153</v>
      </c>
      <c r="F26" s="24">
        <v>100</v>
      </c>
      <c r="G26" s="24">
        <v>781</v>
      </c>
      <c r="H26" s="2" t="s">
        <v>31</v>
      </c>
      <c r="I26" s="38">
        <v>45574.87263322917</v>
      </c>
      <c r="J26" s="2" t="s">
        <v>154</v>
      </c>
      <c r="K26" s="24">
        <v>51.441200000000002</v>
      </c>
      <c r="L26" s="24">
        <v>-0.18329999999999999</v>
      </c>
      <c r="M26" s="2" t="s">
        <v>33</v>
      </c>
      <c r="N26" s="2" t="s">
        <v>155</v>
      </c>
      <c r="O26" s="2" t="s">
        <v>156</v>
      </c>
      <c r="P26" s="22">
        <v>5</v>
      </c>
      <c r="Q26" s="22">
        <v>4</v>
      </c>
      <c r="R26" s="22">
        <v>4</v>
      </c>
      <c r="S26" s="22">
        <v>4</v>
      </c>
      <c r="T26" s="22">
        <v>3</v>
      </c>
      <c r="U26" s="22">
        <v>3</v>
      </c>
      <c r="V26" s="22">
        <v>3</v>
      </c>
      <c r="W26" s="22">
        <v>3</v>
      </c>
      <c r="X26" s="22">
        <v>1</v>
      </c>
      <c r="Y26" s="22">
        <v>5</v>
      </c>
      <c r="Z26" s="22">
        <v>2</v>
      </c>
      <c r="AA26" s="22">
        <v>3</v>
      </c>
      <c r="AB26" s="22">
        <v>2</v>
      </c>
      <c r="AC26" s="22">
        <v>4</v>
      </c>
      <c r="AD26" s="22">
        <v>1</v>
      </c>
      <c r="AE26" s="22">
        <v>4</v>
      </c>
      <c r="AF26" s="22">
        <v>4</v>
      </c>
      <c r="AG26" s="22">
        <v>4</v>
      </c>
      <c r="AH26" s="22">
        <v>4</v>
      </c>
      <c r="AI26" s="22">
        <v>2</v>
      </c>
      <c r="AJ26" s="22">
        <v>2</v>
      </c>
      <c r="AK26" s="22">
        <v>3</v>
      </c>
      <c r="AL26" s="22">
        <v>2</v>
      </c>
      <c r="AM26" s="22">
        <v>4</v>
      </c>
      <c r="AN26" s="22">
        <v>2</v>
      </c>
      <c r="AO26" s="22">
        <v>3</v>
      </c>
      <c r="AP26" s="22">
        <v>3</v>
      </c>
      <c r="AQ26" s="22">
        <v>4</v>
      </c>
      <c r="AR26" s="22">
        <v>4</v>
      </c>
      <c r="AS26" s="22">
        <v>4</v>
      </c>
      <c r="AT26" s="22">
        <v>3</v>
      </c>
      <c r="AU26" s="22">
        <v>3</v>
      </c>
      <c r="AV26" s="22">
        <v>2</v>
      </c>
      <c r="AW26" s="22">
        <v>4</v>
      </c>
      <c r="AX26" s="22">
        <v>3</v>
      </c>
      <c r="AY26" s="22">
        <v>4</v>
      </c>
      <c r="AZ26" s="22">
        <v>2</v>
      </c>
      <c r="BA26" s="22">
        <v>3</v>
      </c>
      <c r="BB26" s="22">
        <v>2</v>
      </c>
      <c r="BC26" s="22">
        <v>3</v>
      </c>
      <c r="BD26" s="22">
        <v>3</v>
      </c>
      <c r="BE26" s="22">
        <v>3</v>
      </c>
      <c r="BF26" s="22">
        <v>2</v>
      </c>
      <c r="BG26" s="22">
        <v>3</v>
      </c>
      <c r="BH26" s="22">
        <v>4</v>
      </c>
      <c r="BI26" s="22">
        <v>4</v>
      </c>
      <c r="BJ26" s="22">
        <v>2</v>
      </c>
      <c r="BK26" s="22">
        <v>3</v>
      </c>
      <c r="BL26" s="22">
        <v>2</v>
      </c>
      <c r="BM26" s="22">
        <v>3</v>
      </c>
      <c r="BN26" s="22">
        <v>4</v>
      </c>
      <c r="BO26" s="22">
        <v>5</v>
      </c>
      <c r="BP26" s="22">
        <v>1</v>
      </c>
      <c r="BQ26" s="22">
        <v>2</v>
      </c>
      <c r="BR26" s="22">
        <v>3</v>
      </c>
      <c r="BS26" s="22">
        <v>2</v>
      </c>
      <c r="BT26" s="22">
        <v>2</v>
      </c>
      <c r="BU26" s="22">
        <v>4</v>
      </c>
      <c r="BV26" s="22">
        <v>3</v>
      </c>
      <c r="BW26" s="22">
        <v>4</v>
      </c>
      <c r="BX26" s="2" t="s">
        <v>157</v>
      </c>
      <c r="BY26" s="2" t="s">
        <v>32</v>
      </c>
      <c r="BZ26" s="2" t="s">
        <v>34</v>
      </c>
      <c r="CA26" s="2" t="s">
        <v>35</v>
      </c>
      <c r="CB26" s="24">
        <v>0</v>
      </c>
      <c r="CC26" s="2" t="s">
        <v>36</v>
      </c>
      <c r="CD26" s="2" t="s">
        <v>82</v>
      </c>
      <c r="CE26" s="2" t="s">
        <v>32</v>
      </c>
      <c r="CF26" s="24">
        <v>0</v>
      </c>
      <c r="CG26" s="24">
        <v>2</v>
      </c>
      <c r="CH26" s="2" t="s">
        <v>37</v>
      </c>
      <c r="CI26" s="2" t="s">
        <v>32</v>
      </c>
      <c r="CJ26" s="2" t="s">
        <v>32</v>
      </c>
      <c r="CK26" s="2" t="s">
        <v>38</v>
      </c>
      <c r="CL26" s="24">
        <v>1</v>
      </c>
      <c r="CM26" s="2" t="s">
        <v>45</v>
      </c>
      <c r="CN26" s="2" t="s">
        <v>32</v>
      </c>
    </row>
    <row r="27" spans="1:92" ht="14" customHeight="1" x14ac:dyDescent="0.35">
      <c r="A27" s="2" t="s">
        <v>119</v>
      </c>
      <c r="B27" t="str">
        <f t="shared" si="1"/>
        <v>p25</v>
      </c>
      <c r="C27" s="38">
        <v>45574.863796296297</v>
      </c>
      <c r="D27" s="38">
        <v>45574.869930555556</v>
      </c>
      <c r="E27" s="2" t="s">
        <v>115</v>
      </c>
      <c r="F27" s="24">
        <v>100</v>
      </c>
      <c r="G27" s="24">
        <v>530</v>
      </c>
      <c r="H27" s="2" t="s">
        <v>31</v>
      </c>
      <c r="I27" s="38">
        <v>45574.869947268518</v>
      </c>
      <c r="J27" s="2" t="s">
        <v>116</v>
      </c>
      <c r="K27" s="24">
        <v>40.491</v>
      </c>
      <c r="L27" s="24">
        <v>-79.841499999999996</v>
      </c>
      <c r="M27" s="2" t="s">
        <v>33</v>
      </c>
      <c r="N27" s="2" t="s">
        <v>117</v>
      </c>
      <c r="O27" s="2" t="s">
        <v>118</v>
      </c>
      <c r="P27" s="22">
        <v>5</v>
      </c>
      <c r="Q27" s="22">
        <v>5</v>
      </c>
      <c r="R27" s="22">
        <v>5</v>
      </c>
      <c r="S27" s="22">
        <v>4</v>
      </c>
      <c r="T27" s="22">
        <v>3</v>
      </c>
      <c r="U27" s="22">
        <v>5</v>
      </c>
      <c r="V27" s="22">
        <v>5</v>
      </c>
      <c r="W27" s="22">
        <v>2</v>
      </c>
      <c r="X27" s="22">
        <v>5</v>
      </c>
      <c r="Y27" s="22">
        <v>5</v>
      </c>
      <c r="Z27" s="22">
        <v>3</v>
      </c>
      <c r="AA27" s="22">
        <v>5</v>
      </c>
      <c r="AB27" s="22">
        <v>5</v>
      </c>
      <c r="AC27" s="22">
        <v>5</v>
      </c>
      <c r="AD27" s="22">
        <v>1</v>
      </c>
      <c r="AE27" s="22">
        <v>2</v>
      </c>
      <c r="AF27" s="22">
        <v>2</v>
      </c>
      <c r="AG27" s="22">
        <v>1</v>
      </c>
      <c r="AH27" s="22">
        <v>1</v>
      </c>
      <c r="AI27" s="22">
        <v>2</v>
      </c>
      <c r="AJ27" s="22">
        <v>1</v>
      </c>
      <c r="AK27" s="22">
        <v>5</v>
      </c>
      <c r="AL27" s="22">
        <v>5</v>
      </c>
      <c r="AM27" s="22">
        <v>3</v>
      </c>
      <c r="AN27" s="22">
        <v>5</v>
      </c>
      <c r="AO27" s="22">
        <v>1</v>
      </c>
      <c r="AP27" s="22">
        <v>5</v>
      </c>
      <c r="AQ27" s="22">
        <v>2</v>
      </c>
      <c r="AR27" s="22">
        <v>1</v>
      </c>
      <c r="AS27" s="22">
        <v>5</v>
      </c>
      <c r="AT27" s="22">
        <v>2</v>
      </c>
      <c r="AU27" s="22">
        <v>5</v>
      </c>
      <c r="AV27" s="22">
        <v>5</v>
      </c>
      <c r="AW27" s="22">
        <v>1</v>
      </c>
      <c r="AX27" s="22">
        <v>3</v>
      </c>
      <c r="AY27" s="22">
        <v>2</v>
      </c>
      <c r="AZ27" s="22">
        <v>5</v>
      </c>
      <c r="BA27" s="22">
        <v>4</v>
      </c>
      <c r="BB27" s="22">
        <v>5</v>
      </c>
      <c r="BC27" s="22">
        <v>4</v>
      </c>
      <c r="BD27" s="22">
        <v>5</v>
      </c>
      <c r="BE27" s="22">
        <v>5</v>
      </c>
      <c r="BF27" s="22">
        <v>5</v>
      </c>
      <c r="BG27" s="22">
        <v>5</v>
      </c>
      <c r="BH27" s="22">
        <v>5</v>
      </c>
      <c r="BI27" s="22">
        <v>1</v>
      </c>
      <c r="BJ27" s="22">
        <v>5</v>
      </c>
      <c r="BK27" s="22">
        <v>5</v>
      </c>
      <c r="BL27" s="22">
        <v>3</v>
      </c>
      <c r="BM27" s="22">
        <v>5</v>
      </c>
      <c r="BN27" s="22">
        <v>1</v>
      </c>
      <c r="BO27" s="22">
        <v>2</v>
      </c>
      <c r="BP27" s="22">
        <v>1</v>
      </c>
      <c r="BQ27" s="22">
        <v>5</v>
      </c>
      <c r="BR27" s="22">
        <v>1</v>
      </c>
      <c r="BS27" s="22">
        <v>1</v>
      </c>
      <c r="BT27" s="22">
        <v>1</v>
      </c>
      <c r="BU27" s="22">
        <v>1</v>
      </c>
      <c r="BV27" s="22">
        <v>5</v>
      </c>
      <c r="BW27" s="22">
        <v>3</v>
      </c>
      <c r="BX27" s="2" t="s">
        <v>119</v>
      </c>
      <c r="BY27" s="2" t="s">
        <v>32</v>
      </c>
      <c r="BZ27" s="2" t="s">
        <v>34</v>
      </c>
      <c r="CA27" s="2" t="s">
        <v>35</v>
      </c>
      <c r="CB27" s="24">
        <v>0</v>
      </c>
      <c r="CC27" s="2" t="s">
        <v>36</v>
      </c>
      <c r="CD27" s="2" t="s">
        <v>120</v>
      </c>
      <c r="CE27" s="2" t="s">
        <v>32</v>
      </c>
      <c r="CF27" s="24">
        <v>0</v>
      </c>
      <c r="CG27" s="24">
        <v>2</v>
      </c>
      <c r="CH27" s="2" t="s">
        <v>37</v>
      </c>
      <c r="CI27" s="2" t="s">
        <v>32</v>
      </c>
      <c r="CJ27" s="2" t="s">
        <v>32</v>
      </c>
      <c r="CK27" s="2" t="s">
        <v>38</v>
      </c>
      <c r="CL27" s="24">
        <v>1</v>
      </c>
      <c r="CM27" s="2" t="s">
        <v>45</v>
      </c>
      <c r="CN27" s="2" t="s">
        <v>32</v>
      </c>
    </row>
    <row r="28" spans="1:92" ht="14" customHeight="1" x14ac:dyDescent="0.35">
      <c r="A28" s="2" t="s">
        <v>192</v>
      </c>
      <c r="B28" t="str">
        <f t="shared" si="1"/>
        <v>p26</v>
      </c>
      <c r="C28" s="38">
        <v>45574.864085648151</v>
      </c>
      <c r="D28" s="38">
        <v>45574.874374999999</v>
      </c>
      <c r="E28" s="2" t="s">
        <v>188</v>
      </c>
      <c r="F28" s="24">
        <v>100</v>
      </c>
      <c r="G28" s="24">
        <v>889</v>
      </c>
      <c r="H28" s="2" t="s">
        <v>31</v>
      </c>
      <c r="I28" s="38">
        <v>45574.87438671296</v>
      </c>
      <c r="J28" s="2" t="s">
        <v>189</v>
      </c>
      <c r="K28" s="24">
        <v>53.462800000000001</v>
      </c>
      <c r="L28" s="24">
        <v>-2.1625999999999999</v>
      </c>
      <c r="M28" s="2" t="s">
        <v>33</v>
      </c>
      <c r="N28" s="2" t="s">
        <v>190</v>
      </c>
      <c r="O28" s="2" t="s">
        <v>191</v>
      </c>
      <c r="P28" s="22">
        <v>4</v>
      </c>
      <c r="Q28" s="22">
        <v>3</v>
      </c>
      <c r="R28" s="22">
        <v>2</v>
      </c>
      <c r="S28" s="22">
        <v>2</v>
      </c>
      <c r="T28" s="22">
        <v>4</v>
      </c>
      <c r="U28" s="22">
        <v>1</v>
      </c>
      <c r="V28" s="22">
        <v>1</v>
      </c>
      <c r="W28" s="22">
        <v>2</v>
      </c>
      <c r="X28" s="22">
        <v>1</v>
      </c>
      <c r="Y28" s="22">
        <v>2</v>
      </c>
      <c r="Z28" s="22">
        <v>1</v>
      </c>
      <c r="AA28" s="22">
        <v>2</v>
      </c>
      <c r="AB28" s="22">
        <v>1</v>
      </c>
      <c r="AC28" s="22">
        <v>5</v>
      </c>
      <c r="AD28" s="22">
        <v>1</v>
      </c>
      <c r="AE28" s="22">
        <v>3</v>
      </c>
      <c r="AF28" s="22">
        <v>4</v>
      </c>
      <c r="AG28" s="22">
        <v>5</v>
      </c>
      <c r="AH28" s="22">
        <v>4</v>
      </c>
      <c r="AI28" s="22">
        <v>3</v>
      </c>
      <c r="AJ28" s="22">
        <v>2</v>
      </c>
      <c r="AK28" s="22">
        <v>1</v>
      </c>
      <c r="AL28" s="22">
        <v>2</v>
      </c>
      <c r="AM28" s="22">
        <v>3</v>
      </c>
      <c r="AN28" s="22">
        <v>2</v>
      </c>
      <c r="AO28" s="22">
        <v>5</v>
      </c>
      <c r="AP28" s="22">
        <v>2</v>
      </c>
      <c r="AQ28" s="22">
        <v>4</v>
      </c>
      <c r="AR28" s="22">
        <v>5</v>
      </c>
      <c r="AS28" s="22">
        <v>3</v>
      </c>
      <c r="AT28" s="22">
        <v>4</v>
      </c>
      <c r="AU28" s="22">
        <v>4</v>
      </c>
      <c r="AV28" s="22">
        <v>3</v>
      </c>
      <c r="AW28" s="22">
        <v>5</v>
      </c>
      <c r="AX28" s="22">
        <v>3</v>
      </c>
      <c r="AY28" s="22">
        <v>5</v>
      </c>
      <c r="AZ28" s="22">
        <v>1</v>
      </c>
      <c r="BA28" s="22">
        <v>3</v>
      </c>
      <c r="BB28" s="22">
        <v>1</v>
      </c>
      <c r="BC28" s="22">
        <v>2</v>
      </c>
      <c r="BD28" s="22">
        <v>2</v>
      </c>
      <c r="BE28" s="22">
        <v>1</v>
      </c>
      <c r="BF28" s="22">
        <v>3</v>
      </c>
      <c r="BG28" s="22">
        <v>1</v>
      </c>
      <c r="BH28" s="22">
        <v>4</v>
      </c>
      <c r="BI28" s="22">
        <v>3</v>
      </c>
      <c r="BJ28" s="22">
        <v>1</v>
      </c>
      <c r="BK28" s="22">
        <v>4</v>
      </c>
      <c r="BL28" s="22">
        <v>4</v>
      </c>
      <c r="BM28" s="22">
        <v>3</v>
      </c>
      <c r="BN28" s="22">
        <v>4</v>
      </c>
      <c r="BO28" s="22">
        <v>5</v>
      </c>
      <c r="BP28" s="22">
        <v>1</v>
      </c>
      <c r="BQ28" s="22">
        <v>1</v>
      </c>
      <c r="BR28" s="22">
        <v>5</v>
      </c>
      <c r="BS28" s="22">
        <v>5</v>
      </c>
      <c r="BT28" s="22">
        <v>2</v>
      </c>
      <c r="BU28" s="22">
        <v>5</v>
      </c>
      <c r="BV28" s="22">
        <v>2</v>
      </c>
      <c r="BW28" s="22">
        <v>4</v>
      </c>
      <c r="BX28" s="2" t="s">
        <v>192</v>
      </c>
      <c r="BY28" s="2" t="s">
        <v>32</v>
      </c>
      <c r="BZ28" s="2" t="s">
        <v>193</v>
      </c>
      <c r="CA28" s="2" t="s">
        <v>35</v>
      </c>
      <c r="CB28" s="24">
        <v>0</v>
      </c>
      <c r="CC28" s="2" t="s">
        <v>36</v>
      </c>
      <c r="CD28" s="2" t="s">
        <v>53</v>
      </c>
      <c r="CE28" s="2" t="s">
        <v>32</v>
      </c>
      <c r="CF28" s="24">
        <v>0</v>
      </c>
      <c r="CG28" s="24">
        <v>0</v>
      </c>
      <c r="CH28" s="2" t="s">
        <v>51</v>
      </c>
      <c r="CI28" s="2" t="s">
        <v>32</v>
      </c>
      <c r="CJ28" s="2" t="s">
        <v>32</v>
      </c>
      <c r="CK28" s="2" t="s">
        <v>38</v>
      </c>
      <c r="CL28" s="24">
        <v>1</v>
      </c>
      <c r="CM28" s="2" t="s">
        <v>45</v>
      </c>
      <c r="CN28" s="2" t="s">
        <v>32</v>
      </c>
    </row>
    <row r="29" spans="1:92" ht="14" customHeight="1" x14ac:dyDescent="0.35">
      <c r="A29" s="2" t="s">
        <v>43</v>
      </c>
      <c r="B29" t="str">
        <f t="shared" si="1"/>
        <v>p27</v>
      </c>
      <c r="C29" s="38">
        <v>45574.86409722222</v>
      </c>
      <c r="D29" s="38">
        <v>45574.866967592592</v>
      </c>
      <c r="E29" s="2" t="s">
        <v>39</v>
      </c>
      <c r="F29" s="24">
        <v>100</v>
      </c>
      <c r="G29" s="24">
        <v>248</v>
      </c>
      <c r="H29" s="2" t="s">
        <v>31</v>
      </c>
      <c r="I29" s="38">
        <v>45574.866980127314</v>
      </c>
      <c r="J29" s="2" t="s">
        <v>40</v>
      </c>
      <c r="K29" s="24">
        <v>35.048999999999999</v>
      </c>
      <c r="L29" s="24">
        <v>-89.951899999999995</v>
      </c>
      <c r="M29" s="2" t="s">
        <v>33</v>
      </c>
      <c r="N29" s="2" t="s">
        <v>41</v>
      </c>
      <c r="O29" s="2" t="s">
        <v>42</v>
      </c>
      <c r="P29" s="22">
        <v>4</v>
      </c>
      <c r="Q29" s="22">
        <v>5</v>
      </c>
      <c r="R29" s="22">
        <v>2</v>
      </c>
      <c r="S29" s="22">
        <v>5</v>
      </c>
      <c r="T29" s="22">
        <v>2</v>
      </c>
      <c r="U29" s="22">
        <v>5</v>
      </c>
      <c r="V29" s="22">
        <v>5</v>
      </c>
      <c r="W29" s="22">
        <v>2</v>
      </c>
      <c r="X29" s="22">
        <v>3</v>
      </c>
      <c r="Y29" s="22">
        <v>4</v>
      </c>
      <c r="Z29" s="22">
        <v>3</v>
      </c>
      <c r="AA29" s="22">
        <v>4</v>
      </c>
      <c r="AB29" s="22">
        <v>4</v>
      </c>
      <c r="AC29" s="22">
        <v>3</v>
      </c>
      <c r="AD29" s="22">
        <v>1</v>
      </c>
      <c r="AE29" s="22">
        <v>3</v>
      </c>
      <c r="AF29" s="22">
        <v>1</v>
      </c>
      <c r="AG29" s="22">
        <v>2</v>
      </c>
      <c r="AH29" s="22">
        <v>2</v>
      </c>
      <c r="AI29" s="22">
        <v>4</v>
      </c>
      <c r="AJ29" s="22">
        <v>1</v>
      </c>
      <c r="AK29" s="22">
        <v>5</v>
      </c>
      <c r="AL29" s="22">
        <v>3</v>
      </c>
      <c r="AM29" s="22">
        <v>2</v>
      </c>
      <c r="AN29" s="22">
        <v>3</v>
      </c>
      <c r="AO29" s="22">
        <v>4</v>
      </c>
      <c r="AP29" s="22">
        <v>5</v>
      </c>
      <c r="AQ29" s="22">
        <v>3</v>
      </c>
      <c r="AR29" s="22">
        <v>3</v>
      </c>
      <c r="AS29" s="22">
        <v>5</v>
      </c>
      <c r="AT29" s="22">
        <v>2</v>
      </c>
      <c r="AU29" s="22">
        <v>3</v>
      </c>
      <c r="AV29" s="22">
        <v>2</v>
      </c>
      <c r="AW29" s="22">
        <v>4</v>
      </c>
      <c r="AX29" s="22">
        <v>5</v>
      </c>
      <c r="AY29" s="22">
        <v>2</v>
      </c>
      <c r="AZ29" s="22">
        <v>5</v>
      </c>
      <c r="BA29" s="22">
        <v>5</v>
      </c>
      <c r="BB29" s="22">
        <v>5</v>
      </c>
      <c r="BC29" s="22">
        <v>4</v>
      </c>
      <c r="BD29" s="22">
        <v>5</v>
      </c>
      <c r="BE29" s="22">
        <v>5</v>
      </c>
      <c r="BF29" s="22">
        <v>3</v>
      </c>
      <c r="BG29" s="22">
        <v>5</v>
      </c>
      <c r="BH29" s="22">
        <v>5</v>
      </c>
      <c r="BI29" s="22">
        <v>5</v>
      </c>
      <c r="BJ29" s="22">
        <v>5</v>
      </c>
      <c r="BK29" s="22">
        <v>5</v>
      </c>
      <c r="BL29" s="22">
        <v>4</v>
      </c>
      <c r="BM29" s="22">
        <v>5</v>
      </c>
      <c r="BN29" s="22">
        <v>1</v>
      </c>
      <c r="BO29" s="22">
        <v>2</v>
      </c>
      <c r="BP29" s="22">
        <v>1</v>
      </c>
      <c r="BQ29" s="22">
        <v>3</v>
      </c>
      <c r="BR29" s="22">
        <v>3</v>
      </c>
      <c r="BS29" s="22">
        <v>1</v>
      </c>
      <c r="BT29" s="22">
        <v>1</v>
      </c>
      <c r="BU29" s="22">
        <v>2</v>
      </c>
      <c r="BV29" s="22">
        <v>5</v>
      </c>
      <c r="BW29" s="22">
        <v>3</v>
      </c>
      <c r="BX29" s="2" t="s">
        <v>43</v>
      </c>
      <c r="BY29" s="2" t="s">
        <v>32</v>
      </c>
      <c r="BZ29" s="2" t="s">
        <v>34</v>
      </c>
      <c r="CA29" s="2" t="s">
        <v>35</v>
      </c>
      <c r="CB29" s="24">
        <v>0</v>
      </c>
      <c r="CC29" s="2" t="s">
        <v>36</v>
      </c>
      <c r="CD29" s="2" t="s">
        <v>44</v>
      </c>
      <c r="CE29" s="2" t="s">
        <v>32</v>
      </c>
      <c r="CF29" s="24">
        <v>0</v>
      </c>
      <c r="CG29" s="24">
        <v>2</v>
      </c>
      <c r="CH29" s="2" t="s">
        <v>37</v>
      </c>
      <c r="CI29" s="2" t="s">
        <v>32</v>
      </c>
      <c r="CJ29" s="2" t="s">
        <v>32</v>
      </c>
      <c r="CK29" s="2" t="s">
        <v>38</v>
      </c>
      <c r="CL29" s="24">
        <v>1</v>
      </c>
      <c r="CM29" s="2" t="s">
        <v>45</v>
      </c>
      <c r="CN29" s="2" t="s">
        <v>32</v>
      </c>
    </row>
    <row r="30" spans="1:92" ht="14" customHeight="1" x14ac:dyDescent="0.35">
      <c r="A30" s="2" t="s">
        <v>136</v>
      </c>
      <c r="B30" t="str">
        <f t="shared" si="1"/>
        <v>p28</v>
      </c>
      <c r="C30" s="38">
        <v>45574.864108796297</v>
      </c>
      <c r="D30" s="38">
        <v>45574.870138888888</v>
      </c>
      <c r="E30" s="2" t="s">
        <v>132</v>
      </c>
      <c r="F30" s="24">
        <v>100</v>
      </c>
      <c r="G30" s="24">
        <v>521</v>
      </c>
      <c r="H30" s="2" t="s">
        <v>31</v>
      </c>
      <c r="I30" s="38">
        <v>45574.870154189812</v>
      </c>
      <c r="J30" s="2" t="s">
        <v>133</v>
      </c>
      <c r="K30" s="24">
        <v>51.583399999999997</v>
      </c>
      <c r="L30" s="24">
        <v>-7.5499999999999998E-2</v>
      </c>
      <c r="M30" s="2" t="s">
        <v>33</v>
      </c>
      <c r="N30" s="2" t="s">
        <v>134</v>
      </c>
      <c r="O30" s="2" t="s">
        <v>135</v>
      </c>
      <c r="P30" s="22">
        <v>5</v>
      </c>
      <c r="Q30" s="22">
        <v>5</v>
      </c>
      <c r="R30" s="22">
        <v>2</v>
      </c>
      <c r="S30" s="22">
        <v>5</v>
      </c>
      <c r="T30" s="22">
        <v>4</v>
      </c>
      <c r="U30" s="22">
        <v>5</v>
      </c>
      <c r="V30" s="22">
        <v>5</v>
      </c>
      <c r="W30" s="22">
        <v>2</v>
      </c>
      <c r="X30" s="22">
        <v>4</v>
      </c>
      <c r="Y30" s="22">
        <v>5</v>
      </c>
      <c r="Z30" s="22">
        <v>4</v>
      </c>
      <c r="AA30" s="22">
        <v>5</v>
      </c>
      <c r="AB30" s="22">
        <v>5</v>
      </c>
      <c r="AC30" s="22">
        <v>2</v>
      </c>
      <c r="AD30" s="22">
        <v>1</v>
      </c>
      <c r="AE30" s="22">
        <v>1</v>
      </c>
      <c r="AF30" s="22">
        <v>1</v>
      </c>
      <c r="AG30" s="22">
        <v>1</v>
      </c>
      <c r="AH30" s="22">
        <v>1</v>
      </c>
      <c r="AI30" s="22">
        <v>3</v>
      </c>
      <c r="AJ30" s="22">
        <v>1</v>
      </c>
      <c r="AK30" s="22">
        <v>5</v>
      </c>
      <c r="AL30" s="22">
        <v>2</v>
      </c>
      <c r="AM30" s="22">
        <v>1</v>
      </c>
      <c r="AN30" s="22">
        <v>4</v>
      </c>
      <c r="AO30" s="22">
        <v>3</v>
      </c>
      <c r="AP30" s="22">
        <v>4</v>
      </c>
      <c r="AQ30" s="22">
        <v>3</v>
      </c>
      <c r="AR30" s="22">
        <v>2</v>
      </c>
      <c r="AS30" s="22">
        <v>5</v>
      </c>
      <c r="AT30" s="22">
        <v>2</v>
      </c>
      <c r="AU30" s="22">
        <v>4</v>
      </c>
      <c r="AV30" s="22">
        <v>2</v>
      </c>
      <c r="AW30" s="22">
        <v>1</v>
      </c>
      <c r="AX30" s="22">
        <v>4</v>
      </c>
      <c r="AY30" s="22">
        <v>2</v>
      </c>
      <c r="AZ30" s="22">
        <v>4</v>
      </c>
      <c r="BA30" s="22">
        <v>3</v>
      </c>
      <c r="BB30" s="22">
        <v>5</v>
      </c>
      <c r="BC30" s="22">
        <v>4</v>
      </c>
      <c r="BD30" s="22">
        <v>2</v>
      </c>
      <c r="BE30" s="22">
        <v>5</v>
      </c>
      <c r="BF30" s="22">
        <v>4</v>
      </c>
      <c r="BG30" s="22">
        <v>5</v>
      </c>
      <c r="BH30" s="22">
        <v>3</v>
      </c>
      <c r="BI30" s="22">
        <v>2</v>
      </c>
      <c r="BJ30" s="22">
        <v>5</v>
      </c>
      <c r="BK30" s="22">
        <v>5</v>
      </c>
      <c r="BL30" s="22">
        <v>4</v>
      </c>
      <c r="BM30" s="22">
        <v>5</v>
      </c>
      <c r="BN30" s="22">
        <v>1</v>
      </c>
      <c r="BO30" s="22">
        <v>3</v>
      </c>
      <c r="BP30" s="22">
        <v>1</v>
      </c>
      <c r="BQ30" s="22">
        <v>5</v>
      </c>
      <c r="BR30" s="22">
        <v>4</v>
      </c>
      <c r="BS30" s="22">
        <v>2</v>
      </c>
      <c r="BT30" s="22">
        <v>1</v>
      </c>
      <c r="BU30" s="22">
        <v>1</v>
      </c>
      <c r="BV30" s="22">
        <v>5</v>
      </c>
      <c r="BW30" s="22">
        <v>4</v>
      </c>
      <c r="BX30" s="2" t="s">
        <v>136</v>
      </c>
      <c r="BY30" s="2" t="s">
        <v>32</v>
      </c>
      <c r="BZ30" s="2" t="s">
        <v>34</v>
      </c>
      <c r="CA30" s="2" t="s">
        <v>35</v>
      </c>
      <c r="CB30" s="24">
        <v>0</v>
      </c>
      <c r="CC30" s="2" t="s">
        <v>64</v>
      </c>
      <c r="CD30" s="2" t="s">
        <v>51</v>
      </c>
      <c r="CE30" s="2" t="s">
        <v>32</v>
      </c>
      <c r="CF30" s="24">
        <v>0</v>
      </c>
      <c r="CG30" s="24">
        <v>0</v>
      </c>
      <c r="CH30" s="2" t="s">
        <v>51</v>
      </c>
      <c r="CI30" s="2" t="s">
        <v>32</v>
      </c>
      <c r="CJ30" s="2" t="s">
        <v>32</v>
      </c>
      <c r="CK30" s="2" t="s">
        <v>38</v>
      </c>
      <c r="CL30" s="24">
        <v>1</v>
      </c>
      <c r="CM30" s="2" t="s">
        <v>45</v>
      </c>
      <c r="CN30" s="2" t="s">
        <v>32</v>
      </c>
    </row>
    <row r="31" spans="1:92" ht="14" customHeight="1" x14ac:dyDescent="0.35">
      <c r="A31" s="2" t="s">
        <v>162</v>
      </c>
      <c r="B31" t="str">
        <f t="shared" si="1"/>
        <v>p29</v>
      </c>
      <c r="C31" s="38">
        <v>45574.864120370374</v>
      </c>
      <c r="D31" s="38">
        <v>45574.87295138889</v>
      </c>
      <c r="E31" s="2" t="s">
        <v>158</v>
      </c>
      <c r="F31" s="24">
        <v>100</v>
      </c>
      <c r="G31" s="24">
        <v>762</v>
      </c>
      <c r="H31" s="2" t="s">
        <v>31</v>
      </c>
      <c r="I31" s="38">
        <v>45574.872961006942</v>
      </c>
      <c r="J31" s="2" t="s">
        <v>159</v>
      </c>
      <c r="K31" s="24">
        <v>54.044400000000003</v>
      </c>
      <c r="L31" s="24">
        <v>-0.81</v>
      </c>
      <c r="M31" s="2" t="s">
        <v>33</v>
      </c>
      <c r="N31" s="2" t="s">
        <v>160</v>
      </c>
      <c r="O31" s="2" t="s">
        <v>161</v>
      </c>
      <c r="P31" s="22">
        <v>4</v>
      </c>
      <c r="Q31" s="22">
        <v>4</v>
      </c>
      <c r="R31" s="22">
        <v>2</v>
      </c>
      <c r="S31" s="22">
        <v>3</v>
      </c>
      <c r="T31" s="22">
        <v>3</v>
      </c>
      <c r="U31" s="22">
        <v>3</v>
      </c>
      <c r="V31" s="22">
        <v>2</v>
      </c>
      <c r="W31" s="22">
        <v>1</v>
      </c>
      <c r="X31" s="22">
        <v>2</v>
      </c>
      <c r="Y31" s="22">
        <v>4</v>
      </c>
      <c r="Z31" s="22">
        <v>2</v>
      </c>
      <c r="AA31" s="22">
        <v>3</v>
      </c>
      <c r="AB31" s="22">
        <v>2</v>
      </c>
      <c r="AC31" s="22">
        <v>3</v>
      </c>
      <c r="AD31" s="22">
        <v>1</v>
      </c>
      <c r="AE31" s="22">
        <v>3</v>
      </c>
      <c r="AF31" s="22">
        <v>2</v>
      </c>
      <c r="AG31" s="22">
        <v>3</v>
      </c>
      <c r="AH31" s="22">
        <v>2</v>
      </c>
      <c r="AI31" s="22">
        <v>4</v>
      </c>
      <c r="AJ31" s="22">
        <v>1</v>
      </c>
      <c r="AK31" s="22">
        <v>3</v>
      </c>
      <c r="AL31" s="22">
        <v>3</v>
      </c>
      <c r="AM31" s="22">
        <v>2</v>
      </c>
      <c r="AN31" s="22">
        <v>3</v>
      </c>
      <c r="AO31" s="22">
        <v>3</v>
      </c>
      <c r="AP31" s="22">
        <v>5</v>
      </c>
      <c r="AQ31" s="22">
        <v>3</v>
      </c>
      <c r="AR31" s="22">
        <v>3</v>
      </c>
      <c r="AS31" s="22">
        <v>4</v>
      </c>
      <c r="AT31" s="22">
        <v>1</v>
      </c>
      <c r="AU31" s="22">
        <v>4</v>
      </c>
      <c r="AV31" s="22">
        <v>2</v>
      </c>
      <c r="AW31" s="22">
        <v>4</v>
      </c>
      <c r="AX31" s="22">
        <v>4</v>
      </c>
      <c r="AY31" s="22">
        <v>2</v>
      </c>
      <c r="AZ31" s="22">
        <v>3</v>
      </c>
      <c r="BA31" s="22">
        <v>4</v>
      </c>
      <c r="BB31" s="22">
        <v>4</v>
      </c>
      <c r="BC31" s="22">
        <v>3</v>
      </c>
      <c r="BD31" s="22">
        <v>1</v>
      </c>
      <c r="BE31" s="22">
        <v>3</v>
      </c>
      <c r="BF31" s="22">
        <v>3</v>
      </c>
      <c r="BG31" s="22">
        <v>2</v>
      </c>
      <c r="BH31" s="22">
        <v>3</v>
      </c>
      <c r="BI31" s="22">
        <v>2</v>
      </c>
      <c r="BJ31" s="22">
        <v>3</v>
      </c>
      <c r="BK31" s="22">
        <v>4</v>
      </c>
      <c r="BL31" s="22">
        <v>3</v>
      </c>
      <c r="BM31" s="22">
        <v>4</v>
      </c>
      <c r="BN31" s="22">
        <v>2</v>
      </c>
      <c r="BO31" s="22">
        <v>3</v>
      </c>
      <c r="BP31" s="22">
        <v>3</v>
      </c>
      <c r="BQ31" s="22">
        <v>2</v>
      </c>
      <c r="BR31" s="22">
        <v>3</v>
      </c>
      <c r="BS31" s="22">
        <v>2</v>
      </c>
      <c r="BT31" s="22">
        <v>2</v>
      </c>
      <c r="BU31" s="22">
        <v>3</v>
      </c>
      <c r="BV31" s="22">
        <v>4</v>
      </c>
      <c r="BW31" s="22">
        <v>3</v>
      </c>
      <c r="BX31" s="2" t="s">
        <v>162</v>
      </c>
      <c r="BY31" s="2" t="s">
        <v>32</v>
      </c>
      <c r="BZ31" s="2" t="s">
        <v>34</v>
      </c>
      <c r="CA31" s="2" t="s">
        <v>35</v>
      </c>
      <c r="CB31" s="24">
        <v>0</v>
      </c>
      <c r="CC31" s="2" t="s">
        <v>36</v>
      </c>
      <c r="CD31" s="2" t="s">
        <v>53</v>
      </c>
      <c r="CE31" s="2" t="s">
        <v>32</v>
      </c>
      <c r="CF31" s="24">
        <v>0</v>
      </c>
      <c r="CG31" s="24">
        <v>2</v>
      </c>
      <c r="CH31" s="2" t="s">
        <v>37</v>
      </c>
      <c r="CI31" s="2" t="s">
        <v>32</v>
      </c>
      <c r="CJ31" s="2" t="s">
        <v>32</v>
      </c>
      <c r="CK31" s="2" t="s">
        <v>38</v>
      </c>
      <c r="CL31" s="24">
        <v>1</v>
      </c>
      <c r="CM31" s="2" t="s">
        <v>45</v>
      </c>
      <c r="CN31" s="2" t="s">
        <v>32</v>
      </c>
    </row>
    <row r="32" spans="1:92" ht="14" customHeight="1" x14ac:dyDescent="0.35">
      <c r="A32" s="2" t="s">
        <v>146</v>
      </c>
      <c r="B32" t="str">
        <f t="shared" si="1"/>
        <v>p30</v>
      </c>
      <c r="C32" s="38">
        <v>45574.864317129628</v>
      </c>
      <c r="D32" s="38">
        <v>45574.871631944443</v>
      </c>
      <c r="E32" s="2" t="s">
        <v>142</v>
      </c>
      <c r="F32" s="24">
        <v>100</v>
      </c>
      <c r="G32" s="24">
        <v>631</v>
      </c>
      <c r="H32" s="2" t="s">
        <v>31</v>
      </c>
      <c r="I32" s="38">
        <v>45574.871646041669</v>
      </c>
      <c r="J32" s="2" t="s">
        <v>143</v>
      </c>
      <c r="K32" s="24">
        <v>53.414200000000001</v>
      </c>
      <c r="L32" s="24">
        <v>-2.2280000000000002</v>
      </c>
      <c r="M32" s="2" t="s">
        <v>33</v>
      </c>
      <c r="N32" s="2" t="s">
        <v>144</v>
      </c>
      <c r="O32" s="2" t="s">
        <v>145</v>
      </c>
      <c r="P32" s="22">
        <v>3</v>
      </c>
      <c r="Q32" s="22">
        <v>5</v>
      </c>
      <c r="R32" s="22">
        <v>3</v>
      </c>
      <c r="S32" s="22">
        <v>3</v>
      </c>
      <c r="T32" s="22">
        <v>2</v>
      </c>
      <c r="U32" s="22">
        <v>5</v>
      </c>
      <c r="V32" s="22">
        <v>3</v>
      </c>
      <c r="W32" s="22">
        <v>2</v>
      </c>
      <c r="X32" s="22">
        <v>2</v>
      </c>
      <c r="Y32" s="22">
        <v>4</v>
      </c>
      <c r="Z32" s="22">
        <v>2</v>
      </c>
      <c r="AA32" s="22">
        <v>3</v>
      </c>
      <c r="AB32" s="22">
        <v>3</v>
      </c>
      <c r="AC32" s="22">
        <v>5</v>
      </c>
      <c r="AD32" s="22">
        <v>1</v>
      </c>
      <c r="AE32" s="22">
        <v>5</v>
      </c>
      <c r="AF32" s="22">
        <v>3</v>
      </c>
      <c r="AG32" s="22">
        <v>3</v>
      </c>
      <c r="AH32" s="22">
        <v>5</v>
      </c>
      <c r="AI32" s="22">
        <v>1</v>
      </c>
      <c r="AJ32" s="22">
        <v>1</v>
      </c>
      <c r="AK32" s="22">
        <v>2</v>
      </c>
      <c r="AL32" s="22">
        <v>2</v>
      </c>
      <c r="AM32" s="22">
        <v>3</v>
      </c>
      <c r="AN32" s="22">
        <v>2</v>
      </c>
      <c r="AO32" s="22">
        <v>2</v>
      </c>
      <c r="AP32" s="22">
        <v>4</v>
      </c>
      <c r="AQ32" s="22">
        <v>2</v>
      </c>
      <c r="AR32" s="22">
        <v>2</v>
      </c>
      <c r="AS32" s="22">
        <v>3</v>
      </c>
      <c r="AT32" s="22">
        <v>2</v>
      </c>
      <c r="AU32" s="22">
        <v>3</v>
      </c>
      <c r="AV32" s="22">
        <v>5</v>
      </c>
      <c r="AW32" s="22">
        <v>2</v>
      </c>
      <c r="AX32" s="22">
        <v>3</v>
      </c>
      <c r="AY32" s="22">
        <v>3</v>
      </c>
      <c r="AZ32" s="22">
        <v>5</v>
      </c>
      <c r="BA32" s="22">
        <v>2</v>
      </c>
      <c r="BB32" s="22">
        <v>3</v>
      </c>
      <c r="BC32" s="22">
        <v>4</v>
      </c>
      <c r="BD32" s="22">
        <v>2</v>
      </c>
      <c r="BE32" s="22">
        <v>5</v>
      </c>
      <c r="BF32" s="22">
        <v>2</v>
      </c>
      <c r="BG32" s="22">
        <v>4</v>
      </c>
      <c r="BH32" s="22">
        <v>3</v>
      </c>
      <c r="BI32" s="22">
        <v>4</v>
      </c>
      <c r="BJ32" s="22">
        <v>4</v>
      </c>
      <c r="BK32" s="22">
        <v>5</v>
      </c>
      <c r="BL32" s="22">
        <v>2</v>
      </c>
      <c r="BM32" s="22">
        <v>4</v>
      </c>
      <c r="BN32" s="22">
        <v>3</v>
      </c>
      <c r="BO32" s="22">
        <v>3</v>
      </c>
      <c r="BP32" s="22">
        <v>2</v>
      </c>
      <c r="BQ32" s="22">
        <v>1</v>
      </c>
      <c r="BR32" s="22">
        <v>3</v>
      </c>
      <c r="BS32" s="22">
        <v>2</v>
      </c>
      <c r="BT32" s="22">
        <v>2</v>
      </c>
      <c r="BU32" s="22">
        <v>1</v>
      </c>
      <c r="BV32" s="22">
        <v>4</v>
      </c>
      <c r="BW32" s="22">
        <v>4</v>
      </c>
      <c r="BX32" s="2" t="s">
        <v>146</v>
      </c>
      <c r="BY32" s="2" t="s">
        <v>32</v>
      </c>
      <c r="BZ32" s="2" t="s">
        <v>34</v>
      </c>
      <c r="CA32" s="2" t="s">
        <v>35</v>
      </c>
      <c r="CB32" s="24">
        <v>0</v>
      </c>
      <c r="CC32" s="2" t="s">
        <v>36</v>
      </c>
      <c r="CD32" s="2" t="s">
        <v>82</v>
      </c>
      <c r="CE32" s="2" t="s">
        <v>32</v>
      </c>
      <c r="CF32" s="24">
        <v>0</v>
      </c>
      <c r="CG32" s="24">
        <v>2</v>
      </c>
      <c r="CH32" s="2" t="s">
        <v>37</v>
      </c>
      <c r="CI32" s="2" t="s">
        <v>32</v>
      </c>
      <c r="CJ32" s="2" t="s">
        <v>32</v>
      </c>
      <c r="CK32" s="2" t="s">
        <v>38</v>
      </c>
      <c r="CL32" s="24">
        <v>1</v>
      </c>
      <c r="CM32" s="2" t="s">
        <v>45</v>
      </c>
      <c r="CN32" s="2" t="s">
        <v>32</v>
      </c>
    </row>
    <row r="33" spans="1:92" ht="14" customHeight="1" x14ac:dyDescent="0.35">
      <c r="A33" s="2" t="s">
        <v>198</v>
      </c>
      <c r="B33" t="str">
        <f t="shared" si="1"/>
        <v>p31</v>
      </c>
      <c r="C33" s="38">
        <v>45574.864340277774</v>
      </c>
      <c r="D33" s="38">
        <v>45574.875590277778</v>
      </c>
      <c r="E33" s="2" t="s">
        <v>194</v>
      </c>
      <c r="F33" s="24">
        <v>100</v>
      </c>
      <c r="G33" s="24">
        <v>971</v>
      </c>
      <c r="H33" s="2" t="s">
        <v>31</v>
      </c>
      <c r="I33" s="38">
        <v>45574.875598194441</v>
      </c>
      <c r="J33" s="2" t="s">
        <v>195</v>
      </c>
      <c r="K33" s="24">
        <v>52.626100000000001</v>
      </c>
      <c r="L33" s="24">
        <v>1.3033999999999999</v>
      </c>
      <c r="M33" s="2" t="s">
        <v>33</v>
      </c>
      <c r="N33" s="2" t="s">
        <v>196</v>
      </c>
      <c r="O33" s="2" t="s">
        <v>197</v>
      </c>
      <c r="P33" s="22">
        <v>4</v>
      </c>
      <c r="Q33" s="22">
        <v>4</v>
      </c>
      <c r="R33" s="22">
        <v>3</v>
      </c>
      <c r="S33" s="22">
        <v>4</v>
      </c>
      <c r="T33" s="22">
        <v>2</v>
      </c>
      <c r="U33" s="22">
        <v>5</v>
      </c>
      <c r="V33" s="22">
        <v>5</v>
      </c>
      <c r="W33" s="22">
        <v>1</v>
      </c>
      <c r="X33" s="22">
        <v>2</v>
      </c>
      <c r="Y33" s="22">
        <v>5</v>
      </c>
      <c r="Z33" s="22">
        <v>2</v>
      </c>
      <c r="AA33" s="22">
        <v>3</v>
      </c>
      <c r="AB33" s="22">
        <v>3</v>
      </c>
      <c r="AC33" s="22">
        <v>3</v>
      </c>
      <c r="AD33" s="22">
        <v>1</v>
      </c>
      <c r="AE33" s="22">
        <v>3</v>
      </c>
      <c r="AF33" s="22">
        <v>2</v>
      </c>
      <c r="AG33" s="22">
        <v>3</v>
      </c>
      <c r="AH33" s="22">
        <v>3</v>
      </c>
      <c r="AI33" s="22">
        <v>5</v>
      </c>
      <c r="AJ33" s="22">
        <v>1</v>
      </c>
      <c r="AK33" s="22">
        <v>4</v>
      </c>
      <c r="AL33" s="22">
        <v>3</v>
      </c>
      <c r="AM33" s="22">
        <v>1</v>
      </c>
      <c r="AN33" s="22">
        <v>4</v>
      </c>
      <c r="AO33" s="22">
        <v>3</v>
      </c>
      <c r="AP33" s="22">
        <v>3</v>
      </c>
      <c r="AQ33" s="22">
        <v>2</v>
      </c>
      <c r="AR33" s="22">
        <v>3</v>
      </c>
      <c r="AS33" s="22">
        <v>4</v>
      </c>
      <c r="AT33" s="22">
        <v>2</v>
      </c>
      <c r="AU33" s="22">
        <v>5</v>
      </c>
      <c r="AV33" s="22">
        <v>3</v>
      </c>
      <c r="AW33" s="22">
        <v>3</v>
      </c>
      <c r="AX33" s="22">
        <v>4</v>
      </c>
      <c r="AY33" s="22">
        <v>2</v>
      </c>
      <c r="AZ33" s="22">
        <v>4</v>
      </c>
      <c r="BA33" s="22">
        <v>3</v>
      </c>
      <c r="BB33" s="22">
        <v>3</v>
      </c>
      <c r="BC33" s="22">
        <v>4</v>
      </c>
      <c r="BD33" s="22">
        <v>1</v>
      </c>
      <c r="BE33" s="22">
        <v>5</v>
      </c>
      <c r="BF33" s="22">
        <v>3</v>
      </c>
      <c r="BG33" s="22">
        <v>3</v>
      </c>
      <c r="BH33" s="22">
        <v>3</v>
      </c>
      <c r="BI33" s="22">
        <v>1</v>
      </c>
      <c r="BJ33" s="22">
        <v>3</v>
      </c>
      <c r="BK33" s="22">
        <v>3</v>
      </c>
      <c r="BL33" s="22">
        <v>3</v>
      </c>
      <c r="BM33" s="22">
        <v>4</v>
      </c>
      <c r="BN33" s="22">
        <v>2</v>
      </c>
      <c r="BO33" s="22">
        <v>4</v>
      </c>
      <c r="BP33" s="22">
        <v>2</v>
      </c>
      <c r="BQ33" s="22">
        <v>3</v>
      </c>
      <c r="BR33" s="22">
        <v>4</v>
      </c>
      <c r="BS33" s="22">
        <v>2</v>
      </c>
      <c r="BT33" s="22">
        <v>2</v>
      </c>
      <c r="BU33" s="22">
        <v>3</v>
      </c>
      <c r="BV33" s="22">
        <v>4</v>
      </c>
      <c r="BW33" s="22">
        <v>4</v>
      </c>
      <c r="BX33" s="2" t="s">
        <v>198</v>
      </c>
      <c r="BY33" s="2" t="s">
        <v>32</v>
      </c>
      <c r="BZ33" s="2" t="s">
        <v>34</v>
      </c>
      <c r="CA33" s="2" t="s">
        <v>35</v>
      </c>
      <c r="CB33" s="24">
        <v>0</v>
      </c>
      <c r="CC33" s="2" t="s">
        <v>36</v>
      </c>
      <c r="CD33" s="2" t="s">
        <v>51</v>
      </c>
      <c r="CE33" s="2" t="s">
        <v>32</v>
      </c>
      <c r="CF33" s="24">
        <v>0</v>
      </c>
      <c r="CG33" s="24">
        <v>1</v>
      </c>
      <c r="CH33" s="2" t="s">
        <v>199</v>
      </c>
      <c r="CI33" s="2" t="s">
        <v>32</v>
      </c>
      <c r="CJ33" s="2" t="s">
        <v>32</v>
      </c>
      <c r="CK33" s="2" t="s">
        <v>38</v>
      </c>
      <c r="CL33" s="24">
        <v>1</v>
      </c>
      <c r="CM33" s="2" t="s">
        <v>45</v>
      </c>
      <c r="CN33" s="2" t="s">
        <v>32</v>
      </c>
    </row>
    <row r="34" spans="1:92" ht="14" customHeight="1" x14ac:dyDescent="0.35">
      <c r="A34" s="2" t="s">
        <v>219</v>
      </c>
      <c r="B34" t="str">
        <f t="shared" si="1"/>
        <v>p32</v>
      </c>
      <c r="C34" s="38">
        <v>45574.864548611113</v>
      </c>
      <c r="D34" s="38">
        <v>45574.886250000003</v>
      </c>
      <c r="E34" s="2" t="s">
        <v>215</v>
      </c>
      <c r="F34" s="24">
        <v>100</v>
      </c>
      <c r="G34" s="24">
        <v>1874</v>
      </c>
      <c r="H34" s="2" t="s">
        <v>31</v>
      </c>
      <c r="I34" s="38">
        <v>45574.886264340275</v>
      </c>
      <c r="J34" s="2" t="s">
        <v>216</v>
      </c>
      <c r="K34" s="24">
        <v>41.823300000000003</v>
      </c>
      <c r="L34" s="24">
        <v>-71.441000000000003</v>
      </c>
      <c r="M34" s="2" t="s">
        <v>33</v>
      </c>
      <c r="N34" s="2" t="s">
        <v>217</v>
      </c>
      <c r="O34" s="2" t="s">
        <v>218</v>
      </c>
      <c r="P34" s="22">
        <v>5</v>
      </c>
      <c r="Q34" s="22">
        <v>4</v>
      </c>
      <c r="R34" s="22">
        <v>5</v>
      </c>
      <c r="S34" s="22">
        <v>5</v>
      </c>
      <c r="T34" s="22">
        <v>5</v>
      </c>
      <c r="U34" s="22">
        <v>4</v>
      </c>
      <c r="V34" s="22">
        <v>4</v>
      </c>
      <c r="W34" s="22">
        <v>3</v>
      </c>
      <c r="X34" s="22">
        <v>3</v>
      </c>
      <c r="Y34" s="22">
        <v>4</v>
      </c>
      <c r="Z34" s="22">
        <v>4</v>
      </c>
      <c r="AA34" s="22">
        <v>4</v>
      </c>
      <c r="AB34" s="22">
        <v>3</v>
      </c>
      <c r="AC34" s="22">
        <v>4</v>
      </c>
      <c r="AD34" s="22">
        <v>2</v>
      </c>
      <c r="AE34" s="22">
        <v>2</v>
      </c>
      <c r="AF34" s="22">
        <v>1</v>
      </c>
      <c r="AG34" s="22">
        <v>2</v>
      </c>
      <c r="AH34" s="22">
        <v>2</v>
      </c>
      <c r="AI34" s="22">
        <v>2</v>
      </c>
      <c r="AJ34" s="22">
        <v>2</v>
      </c>
      <c r="AK34" s="22">
        <v>4</v>
      </c>
      <c r="AL34" s="22">
        <v>4</v>
      </c>
      <c r="AM34" s="22">
        <v>3</v>
      </c>
      <c r="AN34" s="22">
        <v>4</v>
      </c>
      <c r="AO34" s="22">
        <v>2</v>
      </c>
      <c r="AP34" s="22">
        <v>4</v>
      </c>
      <c r="AQ34" s="22">
        <v>3</v>
      </c>
      <c r="AR34" s="22">
        <v>4</v>
      </c>
      <c r="AS34" s="22">
        <v>4</v>
      </c>
      <c r="AT34" s="22">
        <v>3</v>
      </c>
      <c r="AU34" s="22">
        <v>4</v>
      </c>
      <c r="AV34" s="22">
        <v>2</v>
      </c>
      <c r="AW34" s="22">
        <v>4</v>
      </c>
      <c r="AX34" s="22">
        <v>4</v>
      </c>
      <c r="AY34" s="22">
        <v>4</v>
      </c>
      <c r="AZ34" s="22">
        <v>4</v>
      </c>
      <c r="BA34" s="22">
        <v>5</v>
      </c>
      <c r="BB34" s="22">
        <v>2</v>
      </c>
      <c r="BC34" s="22">
        <v>4</v>
      </c>
      <c r="BD34" s="22">
        <v>3</v>
      </c>
      <c r="BE34" s="22">
        <v>4</v>
      </c>
      <c r="BF34" s="22">
        <v>4</v>
      </c>
      <c r="BG34" s="22">
        <v>2</v>
      </c>
      <c r="BH34" s="22">
        <v>4</v>
      </c>
      <c r="BI34" s="22">
        <v>2</v>
      </c>
      <c r="BJ34" s="22">
        <v>3</v>
      </c>
      <c r="BK34" s="22">
        <v>4</v>
      </c>
      <c r="BL34" s="22">
        <v>4</v>
      </c>
      <c r="BM34" s="22">
        <v>5</v>
      </c>
      <c r="BN34" s="22">
        <v>1</v>
      </c>
      <c r="BO34" s="22">
        <v>5</v>
      </c>
      <c r="BP34" s="22">
        <v>1</v>
      </c>
      <c r="BQ34" s="22">
        <v>3</v>
      </c>
      <c r="BR34" s="22">
        <v>4</v>
      </c>
      <c r="BS34" s="22">
        <v>2</v>
      </c>
      <c r="BT34" s="22">
        <v>2</v>
      </c>
      <c r="BU34" s="22">
        <v>4</v>
      </c>
      <c r="BV34" s="22">
        <v>4</v>
      </c>
      <c r="BW34" s="22">
        <v>5</v>
      </c>
      <c r="BX34" s="2" t="s">
        <v>219</v>
      </c>
      <c r="BY34" s="2" t="s">
        <v>32</v>
      </c>
      <c r="BZ34" s="2" t="s">
        <v>34</v>
      </c>
      <c r="CA34" s="2" t="s">
        <v>35</v>
      </c>
      <c r="CB34" s="24">
        <v>0</v>
      </c>
      <c r="CC34" s="2" t="s">
        <v>52</v>
      </c>
      <c r="CD34" s="2" t="s">
        <v>51</v>
      </c>
      <c r="CE34" s="2" t="s">
        <v>32</v>
      </c>
      <c r="CF34" s="24">
        <v>0</v>
      </c>
      <c r="CG34" s="24">
        <v>0</v>
      </c>
      <c r="CH34" s="2" t="s">
        <v>51</v>
      </c>
      <c r="CI34" s="2" t="s">
        <v>32</v>
      </c>
      <c r="CJ34" s="2" t="s">
        <v>32</v>
      </c>
      <c r="CK34" s="2" t="s">
        <v>38</v>
      </c>
      <c r="CL34" s="24">
        <v>1</v>
      </c>
      <c r="CM34" s="2" t="s">
        <v>45</v>
      </c>
      <c r="CN34" s="2" t="s">
        <v>32</v>
      </c>
    </row>
    <row r="35" spans="1:92" ht="14" customHeight="1" x14ac:dyDescent="0.35">
      <c r="A35" s="2" t="s">
        <v>204</v>
      </c>
      <c r="B35" t="str">
        <f t="shared" si="1"/>
        <v>p33</v>
      </c>
      <c r="C35" s="38">
        <v>45574.866122685184</v>
      </c>
      <c r="D35" s="38">
        <v>45574.875740740739</v>
      </c>
      <c r="E35" s="2" t="s">
        <v>200</v>
      </c>
      <c r="F35" s="24">
        <v>100</v>
      </c>
      <c r="G35" s="24">
        <v>830</v>
      </c>
      <c r="H35" s="2" t="s">
        <v>31</v>
      </c>
      <c r="I35" s="38">
        <v>45574.87575634259</v>
      </c>
      <c r="J35" s="2" t="s">
        <v>201</v>
      </c>
      <c r="K35" s="24">
        <v>53.794499999999999</v>
      </c>
      <c r="L35" s="24">
        <v>-1.5524</v>
      </c>
      <c r="M35" s="2" t="s">
        <v>33</v>
      </c>
      <c r="N35" s="2" t="s">
        <v>202</v>
      </c>
      <c r="O35" s="2" t="s">
        <v>203</v>
      </c>
      <c r="P35" s="22">
        <v>4</v>
      </c>
      <c r="Q35" s="22">
        <v>1</v>
      </c>
      <c r="R35" s="22">
        <v>3</v>
      </c>
      <c r="S35" s="22">
        <v>4</v>
      </c>
      <c r="T35" s="22">
        <v>3</v>
      </c>
      <c r="U35" s="22">
        <v>2</v>
      </c>
      <c r="V35" s="22">
        <v>2</v>
      </c>
      <c r="W35" s="22">
        <v>4</v>
      </c>
      <c r="X35" s="22">
        <v>2</v>
      </c>
      <c r="Y35" s="22">
        <v>4</v>
      </c>
      <c r="Z35" s="22">
        <v>3</v>
      </c>
      <c r="AA35" s="22">
        <v>2</v>
      </c>
      <c r="AB35" s="22">
        <v>4</v>
      </c>
      <c r="AC35" s="22">
        <v>4</v>
      </c>
      <c r="AD35" s="22">
        <v>3</v>
      </c>
      <c r="AE35" s="22">
        <v>5</v>
      </c>
      <c r="AF35" s="22">
        <v>2</v>
      </c>
      <c r="AG35" s="22">
        <v>5</v>
      </c>
      <c r="AH35" s="22">
        <v>4</v>
      </c>
      <c r="AI35" s="22">
        <v>2</v>
      </c>
      <c r="AJ35" s="22">
        <v>2</v>
      </c>
      <c r="AK35" s="22">
        <v>4</v>
      </c>
      <c r="AL35" s="22">
        <v>2</v>
      </c>
      <c r="AM35" s="22">
        <v>3</v>
      </c>
      <c r="AN35" s="22">
        <v>3</v>
      </c>
      <c r="AO35" s="22">
        <v>1</v>
      </c>
      <c r="AP35" s="22">
        <v>2</v>
      </c>
      <c r="AQ35" s="22">
        <v>2</v>
      </c>
      <c r="AR35" s="22">
        <v>5</v>
      </c>
      <c r="AS35" s="22">
        <v>4</v>
      </c>
      <c r="AT35" s="22">
        <v>2</v>
      </c>
      <c r="AU35" s="22">
        <v>5</v>
      </c>
      <c r="AV35" s="22">
        <v>3</v>
      </c>
      <c r="AW35" s="22">
        <v>4</v>
      </c>
      <c r="AX35" s="22">
        <v>3</v>
      </c>
      <c r="AY35" s="22">
        <v>4</v>
      </c>
      <c r="AZ35" s="22">
        <v>3</v>
      </c>
      <c r="BA35" s="22">
        <v>3</v>
      </c>
      <c r="BB35" s="22">
        <v>3</v>
      </c>
      <c r="BC35" s="22">
        <v>2</v>
      </c>
      <c r="BD35" s="22">
        <v>3</v>
      </c>
      <c r="BE35" s="22">
        <v>3</v>
      </c>
      <c r="BF35" s="22">
        <v>2</v>
      </c>
      <c r="BG35" s="22">
        <v>2</v>
      </c>
      <c r="BH35" s="22">
        <v>3</v>
      </c>
      <c r="BI35" s="22">
        <v>3</v>
      </c>
      <c r="BJ35" s="22">
        <v>4</v>
      </c>
      <c r="BK35" s="22">
        <v>4</v>
      </c>
      <c r="BL35" s="22">
        <v>4</v>
      </c>
      <c r="BM35" s="22">
        <v>4</v>
      </c>
      <c r="BN35" s="22">
        <v>3</v>
      </c>
      <c r="BO35" s="22">
        <v>5</v>
      </c>
      <c r="BP35" s="22">
        <v>3</v>
      </c>
      <c r="BQ35" s="22">
        <v>2</v>
      </c>
      <c r="BR35" s="22">
        <v>4</v>
      </c>
      <c r="BS35" s="22">
        <v>2</v>
      </c>
      <c r="BT35" s="22">
        <v>3</v>
      </c>
      <c r="BU35" s="22">
        <v>4</v>
      </c>
      <c r="BV35" s="22">
        <v>1</v>
      </c>
      <c r="BW35" s="22">
        <v>4</v>
      </c>
      <c r="BX35" s="2" t="s">
        <v>204</v>
      </c>
      <c r="BY35" s="2" t="s">
        <v>32</v>
      </c>
      <c r="BZ35" s="2" t="s">
        <v>34</v>
      </c>
      <c r="CA35" s="2" t="s">
        <v>35</v>
      </c>
      <c r="CB35" s="24">
        <v>0</v>
      </c>
      <c r="CC35" s="2" t="s">
        <v>36</v>
      </c>
      <c r="CD35" s="2" t="s">
        <v>53</v>
      </c>
      <c r="CE35" s="2" t="s">
        <v>32</v>
      </c>
      <c r="CF35" s="24">
        <v>0</v>
      </c>
      <c r="CG35" s="24">
        <v>2</v>
      </c>
      <c r="CH35" s="2" t="s">
        <v>37</v>
      </c>
      <c r="CI35" s="2" t="s">
        <v>32</v>
      </c>
      <c r="CJ35" s="2" t="s">
        <v>32</v>
      </c>
      <c r="CK35" s="2" t="s">
        <v>38</v>
      </c>
      <c r="CL35" s="24">
        <v>1</v>
      </c>
      <c r="CM35" s="2" t="s">
        <v>45</v>
      </c>
      <c r="CN35" s="2" t="s">
        <v>32</v>
      </c>
    </row>
    <row r="36" spans="1:92" ht="14" customHeight="1" x14ac:dyDescent="0.35">
      <c r="A36" s="2" t="s">
        <v>224</v>
      </c>
      <c r="B36" t="str">
        <f t="shared" si="1"/>
        <v>p34</v>
      </c>
      <c r="C36" s="38">
        <v>45574.881678240738</v>
      </c>
      <c r="D36" s="38">
        <v>45574.893252314818</v>
      </c>
      <c r="E36" s="2" t="s">
        <v>220</v>
      </c>
      <c r="F36" s="24">
        <v>100</v>
      </c>
      <c r="G36" s="24">
        <v>999</v>
      </c>
      <c r="H36" s="2" t="s">
        <v>31</v>
      </c>
      <c r="I36" s="38">
        <v>45574.893266250001</v>
      </c>
      <c r="J36" s="2" t="s">
        <v>221</v>
      </c>
      <c r="K36" s="24">
        <v>53.455800000000004</v>
      </c>
      <c r="L36" s="24">
        <v>-1.3755999999999999</v>
      </c>
      <c r="M36" s="2" t="s">
        <v>33</v>
      </c>
      <c r="N36" s="2" t="s">
        <v>222</v>
      </c>
      <c r="O36" s="2" t="s">
        <v>223</v>
      </c>
      <c r="P36" s="22">
        <v>4</v>
      </c>
      <c r="Q36" s="22">
        <v>3</v>
      </c>
      <c r="R36" s="22">
        <v>2</v>
      </c>
      <c r="S36" s="22">
        <v>4</v>
      </c>
      <c r="T36" s="22">
        <v>4</v>
      </c>
      <c r="U36" s="22">
        <v>3</v>
      </c>
      <c r="V36" s="22">
        <v>3</v>
      </c>
      <c r="W36" s="22">
        <v>3</v>
      </c>
      <c r="X36" s="22">
        <v>3</v>
      </c>
      <c r="Y36" s="22">
        <v>4</v>
      </c>
      <c r="Z36" s="22">
        <v>2</v>
      </c>
      <c r="AA36" s="22">
        <v>4</v>
      </c>
      <c r="AB36" s="22">
        <v>3</v>
      </c>
      <c r="AC36" s="22">
        <v>2</v>
      </c>
      <c r="AD36" s="22">
        <v>1</v>
      </c>
      <c r="AE36" s="22">
        <v>4</v>
      </c>
      <c r="AF36" s="22">
        <v>3</v>
      </c>
      <c r="AG36" s="22">
        <v>3</v>
      </c>
      <c r="AH36" s="22">
        <v>4</v>
      </c>
      <c r="AI36" s="22">
        <v>2</v>
      </c>
      <c r="AJ36" s="22">
        <v>3</v>
      </c>
      <c r="AK36" s="22">
        <v>4</v>
      </c>
      <c r="AL36" s="22">
        <v>4</v>
      </c>
      <c r="AM36" s="22">
        <v>3</v>
      </c>
      <c r="AN36" s="22">
        <v>4</v>
      </c>
      <c r="AO36" s="22">
        <v>3</v>
      </c>
      <c r="AP36" s="22">
        <v>3</v>
      </c>
      <c r="AQ36" s="22">
        <v>3</v>
      </c>
      <c r="AR36" s="22">
        <v>4</v>
      </c>
      <c r="AS36" s="22">
        <v>4</v>
      </c>
      <c r="AT36" s="22">
        <v>2</v>
      </c>
      <c r="AU36" s="22">
        <v>3</v>
      </c>
      <c r="AV36" s="22">
        <v>4</v>
      </c>
      <c r="AW36" s="22">
        <v>2</v>
      </c>
      <c r="AX36" s="22">
        <v>4</v>
      </c>
      <c r="AY36" s="22">
        <v>4</v>
      </c>
      <c r="AZ36" s="22">
        <v>3</v>
      </c>
      <c r="BA36" s="22">
        <v>4</v>
      </c>
      <c r="BB36" s="22">
        <v>4</v>
      </c>
      <c r="BC36" s="22">
        <v>4</v>
      </c>
      <c r="BD36" s="22">
        <v>2</v>
      </c>
      <c r="BE36" s="22">
        <v>3</v>
      </c>
      <c r="BF36" s="22">
        <v>3</v>
      </c>
      <c r="BG36" s="22">
        <v>3</v>
      </c>
      <c r="BH36" s="22">
        <v>4</v>
      </c>
      <c r="BI36" s="22">
        <v>2</v>
      </c>
      <c r="BJ36" s="22">
        <v>3</v>
      </c>
      <c r="BK36" s="22">
        <v>2</v>
      </c>
      <c r="BL36" s="22">
        <v>2</v>
      </c>
      <c r="BM36" s="22">
        <v>4</v>
      </c>
      <c r="BN36" s="22">
        <v>2</v>
      </c>
      <c r="BO36" s="22">
        <v>4</v>
      </c>
      <c r="BP36" s="22">
        <v>2</v>
      </c>
      <c r="BQ36" s="22">
        <v>4</v>
      </c>
      <c r="BR36" s="22">
        <v>4</v>
      </c>
      <c r="BS36" s="22">
        <v>3</v>
      </c>
      <c r="BT36" s="22">
        <v>2</v>
      </c>
      <c r="BU36" s="22">
        <v>3</v>
      </c>
      <c r="BV36" s="22">
        <v>4</v>
      </c>
      <c r="BW36" s="22">
        <v>4</v>
      </c>
      <c r="BX36" s="2" t="s">
        <v>224</v>
      </c>
      <c r="BY36" s="2" t="s">
        <v>32</v>
      </c>
      <c r="BZ36" s="2" t="s">
        <v>34</v>
      </c>
      <c r="CA36" s="2" t="s">
        <v>35</v>
      </c>
      <c r="CB36" s="24">
        <v>0</v>
      </c>
      <c r="CC36" s="2" t="s">
        <v>36</v>
      </c>
      <c r="CD36" s="2" t="s">
        <v>71</v>
      </c>
      <c r="CE36" s="2" t="s">
        <v>32</v>
      </c>
      <c r="CF36" s="24">
        <v>0</v>
      </c>
      <c r="CG36" s="24">
        <v>2</v>
      </c>
      <c r="CH36" s="2" t="s">
        <v>37</v>
      </c>
      <c r="CI36" s="2" t="s">
        <v>32</v>
      </c>
      <c r="CJ36" s="2" t="s">
        <v>32</v>
      </c>
      <c r="CK36" s="2" t="s">
        <v>38</v>
      </c>
      <c r="CL36" s="24">
        <v>1</v>
      </c>
      <c r="CM36" s="2" t="s">
        <v>45</v>
      </c>
      <c r="CN36" s="2" t="s">
        <v>32</v>
      </c>
    </row>
    <row r="37" spans="1:92" ht="14" customHeight="1" x14ac:dyDescent="0.35">
      <c r="A37" s="2" t="s">
        <v>229</v>
      </c>
      <c r="B37" t="str">
        <f t="shared" si="1"/>
        <v>p35</v>
      </c>
      <c r="C37" s="38">
        <v>45574.916944444441</v>
      </c>
      <c r="D37" s="38">
        <v>45574.925740740742</v>
      </c>
      <c r="E37" s="2" t="s">
        <v>225</v>
      </c>
      <c r="F37" s="24">
        <v>100</v>
      </c>
      <c r="G37" s="24">
        <v>760</v>
      </c>
      <c r="H37" s="2" t="s">
        <v>31</v>
      </c>
      <c r="I37" s="38">
        <v>45574.92575667824</v>
      </c>
      <c r="J37" s="2" t="s">
        <v>226</v>
      </c>
      <c r="K37" s="24">
        <v>55.951000000000001</v>
      </c>
      <c r="L37" s="24">
        <v>-4.5751999999999997</v>
      </c>
      <c r="M37" s="2" t="s">
        <v>33</v>
      </c>
      <c r="N37" s="2" t="s">
        <v>227</v>
      </c>
      <c r="O37" s="2" t="s">
        <v>228</v>
      </c>
      <c r="P37" s="22">
        <v>5</v>
      </c>
      <c r="Q37" s="22">
        <v>4</v>
      </c>
      <c r="R37" s="22">
        <v>1</v>
      </c>
      <c r="S37" s="22">
        <v>3</v>
      </c>
      <c r="T37" s="22">
        <v>2</v>
      </c>
      <c r="U37" s="22">
        <v>5</v>
      </c>
      <c r="V37" s="22">
        <v>5</v>
      </c>
      <c r="W37" s="22">
        <v>1</v>
      </c>
      <c r="X37" s="22">
        <v>3</v>
      </c>
      <c r="Y37" s="22">
        <v>5</v>
      </c>
      <c r="Z37" s="22">
        <v>1</v>
      </c>
      <c r="AA37" s="22">
        <v>5</v>
      </c>
      <c r="AB37" s="22">
        <v>5</v>
      </c>
      <c r="AC37" s="22">
        <v>1</v>
      </c>
      <c r="AD37" s="22">
        <v>1</v>
      </c>
      <c r="AE37" s="22">
        <v>1</v>
      </c>
      <c r="AF37" s="22">
        <v>4</v>
      </c>
      <c r="AG37" s="22">
        <v>3</v>
      </c>
      <c r="AH37" s="22">
        <v>1</v>
      </c>
      <c r="AI37" s="22">
        <v>5</v>
      </c>
      <c r="AJ37" s="22">
        <v>1</v>
      </c>
      <c r="AK37" s="22">
        <v>5</v>
      </c>
      <c r="AL37" s="22">
        <v>2</v>
      </c>
      <c r="AM37" s="22">
        <v>1</v>
      </c>
      <c r="AN37" s="22">
        <v>5</v>
      </c>
      <c r="AO37" s="22">
        <v>1</v>
      </c>
      <c r="AP37" s="22">
        <v>5</v>
      </c>
      <c r="AQ37" s="22">
        <v>3</v>
      </c>
      <c r="AR37" s="22">
        <v>1</v>
      </c>
      <c r="AS37" s="22">
        <v>1</v>
      </c>
      <c r="AT37" s="22">
        <v>1</v>
      </c>
      <c r="AU37" s="22">
        <v>5</v>
      </c>
      <c r="AV37" s="22">
        <v>4</v>
      </c>
      <c r="AW37" s="22">
        <v>3</v>
      </c>
      <c r="AX37" s="22">
        <v>4</v>
      </c>
      <c r="AY37" s="22">
        <v>1</v>
      </c>
      <c r="AZ37" s="22">
        <v>5</v>
      </c>
      <c r="BA37" s="22">
        <v>2</v>
      </c>
      <c r="BB37" s="22">
        <v>4</v>
      </c>
      <c r="BC37" s="22">
        <v>4</v>
      </c>
      <c r="BD37" s="22">
        <v>1</v>
      </c>
      <c r="BE37" s="22">
        <v>5</v>
      </c>
      <c r="BF37" s="22">
        <v>3</v>
      </c>
      <c r="BG37" s="22">
        <v>2</v>
      </c>
      <c r="BH37" s="22">
        <v>5</v>
      </c>
      <c r="BI37" s="22">
        <v>1</v>
      </c>
      <c r="BJ37" s="22">
        <v>5</v>
      </c>
      <c r="BK37" s="22">
        <v>2</v>
      </c>
      <c r="BL37" s="22">
        <v>3</v>
      </c>
      <c r="BM37" s="22">
        <v>5</v>
      </c>
      <c r="BN37" s="22">
        <v>1</v>
      </c>
      <c r="BO37" s="22">
        <v>4</v>
      </c>
      <c r="BP37" s="22">
        <v>3</v>
      </c>
      <c r="BQ37" s="22">
        <v>5</v>
      </c>
      <c r="BR37" s="22">
        <v>4</v>
      </c>
      <c r="BS37" s="22">
        <v>1</v>
      </c>
      <c r="BT37" s="22">
        <v>1</v>
      </c>
      <c r="BU37" s="22">
        <v>4</v>
      </c>
      <c r="BV37" s="22">
        <v>5</v>
      </c>
      <c r="BW37" s="22">
        <v>5</v>
      </c>
      <c r="BX37" s="2" t="s">
        <v>229</v>
      </c>
      <c r="BY37" s="2" t="s">
        <v>32</v>
      </c>
      <c r="BZ37" s="2" t="s">
        <v>230</v>
      </c>
      <c r="CA37" s="2" t="s">
        <v>35</v>
      </c>
      <c r="CB37" s="24">
        <v>0</v>
      </c>
      <c r="CC37" s="2" t="s">
        <v>64</v>
      </c>
      <c r="CD37" s="2" t="s">
        <v>51</v>
      </c>
      <c r="CE37" s="2" t="s">
        <v>32</v>
      </c>
      <c r="CF37" s="24">
        <v>0</v>
      </c>
      <c r="CG37" s="24">
        <v>-1</v>
      </c>
      <c r="CH37" s="2" t="s">
        <v>231</v>
      </c>
      <c r="CI37" s="2" t="s">
        <v>32</v>
      </c>
      <c r="CJ37" s="2" t="s">
        <v>32</v>
      </c>
      <c r="CK37" s="2" t="s">
        <v>38</v>
      </c>
      <c r="CL37" s="24">
        <v>1</v>
      </c>
      <c r="CM37" s="2" t="s">
        <v>45</v>
      </c>
      <c r="CN37" s="2" t="s">
        <v>32</v>
      </c>
    </row>
    <row r="38" spans="1:92" ht="14" customHeight="1" x14ac:dyDescent="0.35">
      <c r="A38" s="2" t="s">
        <v>236</v>
      </c>
      <c r="B38" t="str">
        <f t="shared" si="1"/>
        <v>p36</v>
      </c>
      <c r="C38" s="38">
        <v>45587.782060185185</v>
      </c>
      <c r="D38" s="38">
        <v>45587.788171296299</v>
      </c>
      <c r="E38" s="2" t="s">
        <v>232</v>
      </c>
      <c r="F38" s="24">
        <v>100</v>
      </c>
      <c r="G38" s="24">
        <v>528</v>
      </c>
      <c r="H38" s="2" t="s">
        <v>31</v>
      </c>
      <c r="I38" s="38">
        <v>45587.788187719911</v>
      </c>
      <c r="J38" s="2" t="s">
        <v>233</v>
      </c>
      <c r="K38" s="24">
        <v>51.24</v>
      </c>
      <c r="L38" s="24">
        <v>-9.7299999999999998E-2</v>
      </c>
      <c r="M38" s="2" t="s">
        <v>33</v>
      </c>
      <c r="N38" s="2" t="s">
        <v>234</v>
      </c>
      <c r="O38" s="2" t="s">
        <v>235</v>
      </c>
      <c r="P38" s="22">
        <v>5</v>
      </c>
      <c r="Q38" s="22">
        <v>5</v>
      </c>
      <c r="R38" s="22">
        <v>5</v>
      </c>
      <c r="S38" s="22">
        <v>4</v>
      </c>
      <c r="T38" s="22">
        <v>3</v>
      </c>
      <c r="U38" s="22">
        <v>5</v>
      </c>
      <c r="V38" s="22">
        <v>4</v>
      </c>
      <c r="W38" s="22">
        <v>3</v>
      </c>
      <c r="X38" s="22">
        <v>4</v>
      </c>
      <c r="Y38" s="22">
        <v>5</v>
      </c>
      <c r="Z38" s="22">
        <v>3</v>
      </c>
      <c r="AA38" s="22">
        <v>4</v>
      </c>
      <c r="AB38" s="22">
        <v>5</v>
      </c>
      <c r="AC38" s="22">
        <v>3</v>
      </c>
      <c r="AD38" s="22">
        <v>1</v>
      </c>
      <c r="AE38" s="22">
        <v>2</v>
      </c>
      <c r="AF38" s="22">
        <v>2</v>
      </c>
      <c r="AG38" s="22">
        <v>3</v>
      </c>
      <c r="AH38" s="22">
        <v>2</v>
      </c>
      <c r="AI38" s="22">
        <v>3</v>
      </c>
      <c r="AJ38" s="22">
        <v>1</v>
      </c>
      <c r="AK38" s="22">
        <v>4</v>
      </c>
      <c r="AL38" s="22">
        <v>3</v>
      </c>
      <c r="AM38" s="22">
        <v>2</v>
      </c>
      <c r="AN38" s="22">
        <v>3</v>
      </c>
      <c r="AO38" s="22">
        <v>2</v>
      </c>
      <c r="AP38" s="22">
        <v>2</v>
      </c>
      <c r="AQ38" s="22">
        <v>4</v>
      </c>
      <c r="AR38" s="22">
        <v>3</v>
      </c>
      <c r="AS38" s="22">
        <v>5</v>
      </c>
      <c r="AT38" s="22">
        <v>3</v>
      </c>
      <c r="AU38" s="22">
        <v>5</v>
      </c>
      <c r="AV38" s="22">
        <v>3</v>
      </c>
      <c r="AW38" s="22">
        <v>2</v>
      </c>
      <c r="AX38" s="22">
        <v>3</v>
      </c>
      <c r="AY38" s="22">
        <v>3</v>
      </c>
      <c r="AZ38" s="22">
        <v>5</v>
      </c>
      <c r="BA38" s="22">
        <v>4</v>
      </c>
      <c r="BB38" s="22">
        <v>4</v>
      </c>
      <c r="BC38" s="22">
        <v>5</v>
      </c>
      <c r="BD38" s="22">
        <v>2</v>
      </c>
      <c r="BE38" s="22">
        <v>4</v>
      </c>
      <c r="BF38" s="22">
        <v>4</v>
      </c>
      <c r="BG38" s="22">
        <v>4</v>
      </c>
      <c r="BH38" s="22">
        <v>5</v>
      </c>
      <c r="BI38" s="22">
        <v>2</v>
      </c>
      <c r="BJ38" s="22">
        <v>4</v>
      </c>
      <c r="BK38" s="22">
        <v>4</v>
      </c>
      <c r="BL38" s="22">
        <v>2</v>
      </c>
      <c r="BM38" s="22">
        <v>5</v>
      </c>
      <c r="BN38" s="22">
        <v>2</v>
      </c>
      <c r="BO38" s="22">
        <v>3</v>
      </c>
      <c r="BP38" s="22">
        <v>1</v>
      </c>
      <c r="BQ38" s="22">
        <v>3</v>
      </c>
      <c r="BR38" s="22">
        <v>3</v>
      </c>
      <c r="BS38" s="22">
        <v>2</v>
      </c>
      <c r="BT38" s="22">
        <v>2</v>
      </c>
      <c r="BU38" s="22">
        <v>2</v>
      </c>
      <c r="BV38" s="22">
        <v>4</v>
      </c>
      <c r="BW38" s="22">
        <v>4</v>
      </c>
      <c r="BX38" s="2" t="s">
        <v>236</v>
      </c>
      <c r="BY38" s="2" t="s">
        <v>32</v>
      </c>
      <c r="BZ38" s="2" t="s">
        <v>34</v>
      </c>
      <c r="CA38" s="2" t="s">
        <v>35</v>
      </c>
      <c r="CB38" s="24">
        <v>0</v>
      </c>
      <c r="CC38" s="2" t="s">
        <v>36</v>
      </c>
      <c r="CD38" s="2" t="s">
        <v>51</v>
      </c>
      <c r="CE38" s="2" t="s">
        <v>32</v>
      </c>
      <c r="CF38" s="24">
        <v>0</v>
      </c>
      <c r="CG38" s="24">
        <v>2</v>
      </c>
      <c r="CH38" s="2" t="s">
        <v>37</v>
      </c>
      <c r="CI38" s="2" t="s">
        <v>32</v>
      </c>
      <c r="CJ38" s="2" t="s">
        <v>32</v>
      </c>
      <c r="CK38" s="2" t="s">
        <v>38</v>
      </c>
      <c r="CL38" s="24">
        <v>1</v>
      </c>
      <c r="CM38" s="2" t="s">
        <v>45</v>
      </c>
      <c r="CN38" s="2" t="s">
        <v>32</v>
      </c>
    </row>
    <row r="39" spans="1:92" ht="14" customHeight="1" x14ac:dyDescent="0.35">
      <c r="A39" s="2" t="s">
        <v>241</v>
      </c>
      <c r="B39" t="str">
        <f t="shared" si="1"/>
        <v>p37</v>
      </c>
      <c r="C39" s="38">
        <v>45587.782835648148</v>
      </c>
      <c r="D39" s="38">
        <v>45587.7893287037</v>
      </c>
      <c r="E39" s="2" t="s">
        <v>237</v>
      </c>
      <c r="F39" s="24">
        <v>100</v>
      </c>
      <c r="G39" s="24">
        <v>560</v>
      </c>
      <c r="H39" s="2" t="s">
        <v>31</v>
      </c>
      <c r="I39" s="38">
        <v>45587.789338402778</v>
      </c>
      <c r="J39" s="2" t="s">
        <v>238</v>
      </c>
      <c r="K39" s="24">
        <v>56.529200000000003</v>
      </c>
      <c r="L39" s="24">
        <v>-3.0745</v>
      </c>
      <c r="M39" s="2" t="s">
        <v>33</v>
      </c>
      <c r="N39" s="2" t="s">
        <v>239</v>
      </c>
      <c r="O39" s="2" t="s">
        <v>240</v>
      </c>
      <c r="P39" s="22">
        <v>4</v>
      </c>
      <c r="Q39" s="22">
        <v>5</v>
      </c>
      <c r="R39" s="22">
        <v>1</v>
      </c>
      <c r="S39" s="22">
        <v>4</v>
      </c>
      <c r="T39" s="22">
        <v>3</v>
      </c>
      <c r="U39" s="22">
        <v>5</v>
      </c>
      <c r="V39" s="22">
        <v>3</v>
      </c>
      <c r="W39" s="22">
        <v>2</v>
      </c>
      <c r="X39" s="22">
        <v>3</v>
      </c>
      <c r="Y39" s="22">
        <v>5</v>
      </c>
      <c r="Z39" s="22">
        <v>2</v>
      </c>
      <c r="AA39" s="22">
        <v>4</v>
      </c>
      <c r="AB39" s="22">
        <v>4</v>
      </c>
      <c r="AC39" s="22">
        <v>5</v>
      </c>
      <c r="AD39" s="22">
        <v>1</v>
      </c>
      <c r="AE39" s="22">
        <v>4</v>
      </c>
      <c r="AF39" s="22">
        <v>2</v>
      </c>
      <c r="AG39" s="22">
        <v>3</v>
      </c>
      <c r="AH39" s="22">
        <v>5</v>
      </c>
      <c r="AI39" s="22">
        <v>3</v>
      </c>
      <c r="AJ39" s="22">
        <v>1</v>
      </c>
      <c r="AK39" s="22">
        <v>4</v>
      </c>
      <c r="AL39" s="22">
        <v>5</v>
      </c>
      <c r="AM39" s="22">
        <v>4</v>
      </c>
      <c r="AN39" s="22">
        <v>1</v>
      </c>
      <c r="AO39" s="22">
        <v>1</v>
      </c>
      <c r="AP39" s="22">
        <v>5</v>
      </c>
      <c r="AQ39" s="22">
        <v>3</v>
      </c>
      <c r="AR39" s="22">
        <v>3</v>
      </c>
      <c r="AS39" s="22">
        <v>4</v>
      </c>
      <c r="AT39" s="22">
        <v>2</v>
      </c>
      <c r="AU39" s="22">
        <v>5</v>
      </c>
      <c r="AV39" s="22">
        <v>4</v>
      </c>
      <c r="AW39" s="22">
        <v>3</v>
      </c>
      <c r="AX39" s="22">
        <v>4</v>
      </c>
      <c r="AY39" s="22">
        <v>4</v>
      </c>
      <c r="AZ39" s="22">
        <v>5</v>
      </c>
      <c r="BA39" s="22">
        <v>3</v>
      </c>
      <c r="BB39" s="22">
        <v>3</v>
      </c>
      <c r="BC39" s="22">
        <v>4</v>
      </c>
      <c r="BD39" s="22">
        <v>1</v>
      </c>
      <c r="BE39" s="22">
        <v>5</v>
      </c>
      <c r="BF39" s="22">
        <v>2</v>
      </c>
      <c r="BG39" s="22">
        <v>4</v>
      </c>
      <c r="BH39" s="22">
        <v>3</v>
      </c>
      <c r="BI39" s="22">
        <v>4</v>
      </c>
      <c r="BJ39" s="22">
        <v>5</v>
      </c>
      <c r="BK39" s="22">
        <v>5</v>
      </c>
      <c r="BL39" s="22">
        <v>1</v>
      </c>
      <c r="BM39" s="22">
        <v>5</v>
      </c>
      <c r="BN39" s="22">
        <v>2</v>
      </c>
      <c r="BO39" s="22">
        <v>3</v>
      </c>
      <c r="BP39" s="22">
        <v>2</v>
      </c>
      <c r="BQ39" s="22">
        <v>3</v>
      </c>
      <c r="BR39" s="22">
        <v>1</v>
      </c>
      <c r="BS39" s="22">
        <v>1</v>
      </c>
      <c r="BT39" s="22">
        <v>2</v>
      </c>
      <c r="BU39" s="22">
        <v>3</v>
      </c>
      <c r="BV39" s="22">
        <v>5</v>
      </c>
      <c r="BW39" s="22">
        <v>4</v>
      </c>
      <c r="BX39" s="2" t="s">
        <v>241</v>
      </c>
      <c r="BY39" s="2" t="s">
        <v>32</v>
      </c>
      <c r="BZ39" s="2" t="s">
        <v>34</v>
      </c>
      <c r="CA39" s="2" t="s">
        <v>35</v>
      </c>
      <c r="CB39" s="24">
        <v>0</v>
      </c>
      <c r="CC39" s="2" t="s">
        <v>36</v>
      </c>
      <c r="CD39" s="2" t="s">
        <v>53</v>
      </c>
      <c r="CE39" s="2" t="s">
        <v>32</v>
      </c>
      <c r="CF39" s="24">
        <v>0</v>
      </c>
      <c r="CG39" s="24">
        <v>0</v>
      </c>
      <c r="CH39" s="2" t="s">
        <v>51</v>
      </c>
      <c r="CI39" s="2" t="s">
        <v>32</v>
      </c>
      <c r="CJ39" s="2" t="s">
        <v>32</v>
      </c>
      <c r="CK39" s="2" t="s">
        <v>38</v>
      </c>
      <c r="CL39" s="24">
        <v>1</v>
      </c>
      <c r="CM39" s="2" t="s">
        <v>45</v>
      </c>
      <c r="CN39" s="2" t="s">
        <v>32</v>
      </c>
    </row>
    <row r="40" spans="1:92" ht="14" customHeight="1" x14ac:dyDescent="0.35">
      <c r="A40" s="2" t="s">
        <v>246</v>
      </c>
      <c r="B40" t="str">
        <f t="shared" si="1"/>
        <v>p38</v>
      </c>
      <c r="C40" s="38">
        <v>45587.784872685188</v>
      </c>
      <c r="D40" s="38">
        <v>45587.790289351855</v>
      </c>
      <c r="E40" s="2" t="s">
        <v>242</v>
      </c>
      <c r="F40" s="24">
        <v>100</v>
      </c>
      <c r="G40" s="24">
        <v>468</v>
      </c>
      <c r="H40" s="2" t="s">
        <v>31</v>
      </c>
      <c r="I40" s="38">
        <v>45587.790302430556</v>
      </c>
      <c r="J40" s="2" t="s">
        <v>243</v>
      </c>
      <c r="K40" s="24">
        <v>51.516100000000002</v>
      </c>
      <c r="L40" s="24">
        <v>5.8400000000000001E-2</v>
      </c>
      <c r="M40" s="2" t="s">
        <v>33</v>
      </c>
      <c r="N40" s="2" t="s">
        <v>244</v>
      </c>
      <c r="O40" s="2" t="s">
        <v>245</v>
      </c>
      <c r="P40" s="22">
        <v>3</v>
      </c>
      <c r="Q40" s="22">
        <v>3</v>
      </c>
      <c r="R40" s="22">
        <v>5</v>
      </c>
      <c r="S40" s="22">
        <v>4</v>
      </c>
      <c r="T40" s="22">
        <v>2</v>
      </c>
      <c r="U40" s="22">
        <v>5</v>
      </c>
      <c r="V40" s="22">
        <v>3</v>
      </c>
      <c r="W40" s="22">
        <v>5</v>
      </c>
      <c r="X40" s="22">
        <v>2</v>
      </c>
      <c r="Y40" s="22">
        <v>5</v>
      </c>
      <c r="Z40" s="22">
        <v>2</v>
      </c>
      <c r="AA40" s="22">
        <v>5</v>
      </c>
      <c r="AB40" s="22">
        <v>4</v>
      </c>
      <c r="AC40" s="22">
        <v>5</v>
      </c>
      <c r="AD40" s="22">
        <v>1</v>
      </c>
      <c r="AE40" s="22">
        <v>5</v>
      </c>
      <c r="AF40" s="22">
        <v>2</v>
      </c>
      <c r="AG40" s="22">
        <v>5</v>
      </c>
      <c r="AH40" s="22">
        <v>5</v>
      </c>
      <c r="AI40" s="22">
        <v>1</v>
      </c>
      <c r="AJ40" s="22">
        <v>1</v>
      </c>
      <c r="AK40" s="22">
        <v>3</v>
      </c>
      <c r="AL40" s="22">
        <v>4</v>
      </c>
      <c r="AM40" s="22">
        <v>5</v>
      </c>
      <c r="AN40" s="22">
        <v>2</v>
      </c>
      <c r="AO40" s="22">
        <v>1</v>
      </c>
      <c r="AP40" s="22">
        <v>5</v>
      </c>
      <c r="AQ40" s="22">
        <v>3</v>
      </c>
      <c r="AR40" s="22">
        <v>4</v>
      </c>
      <c r="AS40" s="22">
        <v>5</v>
      </c>
      <c r="AT40" s="22">
        <v>3</v>
      </c>
      <c r="AU40" s="22">
        <v>4</v>
      </c>
      <c r="AV40" s="22">
        <v>4</v>
      </c>
      <c r="AW40" s="22">
        <v>5</v>
      </c>
      <c r="AX40" s="22">
        <v>2</v>
      </c>
      <c r="AY40" s="22">
        <v>4</v>
      </c>
      <c r="AZ40" s="22">
        <v>5</v>
      </c>
      <c r="BA40" s="22">
        <v>3</v>
      </c>
      <c r="BB40" s="22">
        <v>2</v>
      </c>
      <c r="BC40" s="22">
        <v>5</v>
      </c>
      <c r="BD40" s="22">
        <v>3</v>
      </c>
      <c r="BE40" s="22">
        <v>5</v>
      </c>
      <c r="BF40" s="22">
        <v>3</v>
      </c>
      <c r="BG40" s="22">
        <v>2</v>
      </c>
      <c r="BH40" s="22">
        <v>5</v>
      </c>
      <c r="BI40" s="22">
        <v>1</v>
      </c>
      <c r="BJ40" s="22">
        <v>5</v>
      </c>
      <c r="BK40" s="22">
        <v>1</v>
      </c>
      <c r="BL40" s="22">
        <v>3</v>
      </c>
      <c r="BM40" s="22">
        <v>5</v>
      </c>
      <c r="BN40" s="22">
        <v>3</v>
      </c>
      <c r="BO40" s="22">
        <v>5</v>
      </c>
      <c r="BP40" s="22">
        <v>2</v>
      </c>
      <c r="BQ40" s="22">
        <v>3</v>
      </c>
      <c r="BR40" s="22">
        <v>3</v>
      </c>
      <c r="BS40" s="22">
        <v>1</v>
      </c>
      <c r="BT40" s="22">
        <v>2</v>
      </c>
      <c r="BU40" s="22">
        <v>2</v>
      </c>
      <c r="BV40" s="22">
        <v>5</v>
      </c>
      <c r="BW40" s="22">
        <v>5</v>
      </c>
      <c r="BX40" s="2" t="s">
        <v>246</v>
      </c>
      <c r="BY40" s="2" t="s">
        <v>32</v>
      </c>
      <c r="BZ40" s="2" t="s">
        <v>34</v>
      </c>
      <c r="CA40" s="2" t="s">
        <v>35</v>
      </c>
      <c r="CB40" s="24">
        <v>0</v>
      </c>
      <c r="CC40" s="2" t="s">
        <v>36</v>
      </c>
      <c r="CD40" s="2" t="s">
        <v>65</v>
      </c>
      <c r="CE40" s="2" t="s">
        <v>32</v>
      </c>
      <c r="CF40" s="24">
        <v>0</v>
      </c>
      <c r="CG40" s="24">
        <v>2</v>
      </c>
      <c r="CH40" s="2" t="s">
        <v>37</v>
      </c>
      <c r="CI40" s="2" t="s">
        <v>32</v>
      </c>
      <c r="CJ40" s="2" t="s">
        <v>32</v>
      </c>
      <c r="CK40" s="2" t="s">
        <v>38</v>
      </c>
      <c r="CL40" s="24">
        <v>1</v>
      </c>
      <c r="CM40" s="2" t="s">
        <v>45</v>
      </c>
      <c r="CN40" s="2" t="s">
        <v>32</v>
      </c>
    </row>
    <row r="41" spans="1:92" ht="14" customHeight="1" x14ac:dyDescent="0.35">
      <c r="A41" s="2" t="s">
        <v>251</v>
      </c>
      <c r="B41" t="str">
        <f t="shared" si="1"/>
        <v>p39</v>
      </c>
      <c r="C41" s="38">
        <v>45600.782638888886</v>
      </c>
      <c r="D41" s="38">
        <v>45600.787835648145</v>
      </c>
      <c r="E41" s="2" t="s">
        <v>247</v>
      </c>
      <c r="F41" s="24">
        <v>100</v>
      </c>
      <c r="G41" s="24">
        <v>448</v>
      </c>
      <c r="H41" s="2" t="s">
        <v>31</v>
      </c>
      <c r="I41" s="38">
        <v>45600.787842175923</v>
      </c>
      <c r="J41" s="2" t="s">
        <v>248</v>
      </c>
      <c r="K41" s="24">
        <v>50.7241</v>
      </c>
      <c r="L41" s="24">
        <v>-1.7890999999999999</v>
      </c>
      <c r="M41" s="2" t="s">
        <v>33</v>
      </c>
      <c r="N41" s="2" t="s">
        <v>249</v>
      </c>
      <c r="O41" s="2" t="s">
        <v>776</v>
      </c>
      <c r="P41" s="22">
        <v>4</v>
      </c>
      <c r="Q41" s="22">
        <v>4</v>
      </c>
      <c r="R41" s="22">
        <v>2</v>
      </c>
      <c r="S41" s="22">
        <v>3</v>
      </c>
      <c r="T41" s="22">
        <v>4</v>
      </c>
      <c r="U41" s="22">
        <v>4</v>
      </c>
      <c r="V41" s="22">
        <v>4</v>
      </c>
      <c r="W41" s="22">
        <v>4</v>
      </c>
      <c r="X41" s="22">
        <v>3</v>
      </c>
      <c r="Y41" s="22">
        <v>3</v>
      </c>
      <c r="Z41" s="22">
        <v>2</v>
      </c>
      <c r="AA41" s="22">
        <v>4</v>
      </c>
      <c r="AB41" s="22">
        <v>4</v>
      </c>
      <c r="AC41" s="22">
        <v>4</v>
      </c>
      <c r="AD41" s="22">
        <v>1</v>
      </c>
      <c r="AE41" s="22">
        <v>4</v>
      </c>
      <c r="AF41" s="22">
        <v>2</v>
      </c>
      <c r="AG41" s="22">
        <v>2</v>
      </c>
      <c r="AH41" s="22">
        <v>4</v>
      </c>
      <c r="AI41" s="22">
        <v>3</v>
      </c>
      <c r="AJ41" s="22">
        <v>2</v>
      </c>
      <c r="AK41" s="22">
        <v>2</v>
      </c>
      <c r="AL41" s="22">
        <v>2</v>
      </c>
      <c r="AM41" s="22">
        <v>2</v>
      </c>
      <c r="AN41" s="22">
        <v>2</v>
      </c>
      <c r="AO41" s="22">
        <v>2</v>
      </c>
      <c r="AP41" s="22">
        <v>4</v>
      </c>
      <c r="AQ41" s="22">
        <v>4</v>
      </c>
      <c r="AR41" s="22">
        <v>5</v>
      </c>
      <c r="AS41" s="22">
        <v>4</v>
      </c>
      <c r="AT41" s="22">
        <v>4</v>
      </c>
      <c r="AU41" s="22">
        <v>3</v>
      </c>
      <c r="AV41" s="22">
        <v>4</v>
      </c>
      <c r="AW41" s="22">
        <v>3</v>
      </c>
      <c r="AX41" s="22">
        <v>4</v>
      </c>
      <c r="AY41" s="22">
        <v>3</v>
      </c>
      <c r="AZ41" s="22">
        <v>4</v>
      </c>
      <c r="BA41" s="22">
        <v>3</v>
      </c>
      <c r="BB41" s="22">
        <v>4</v>
      </c>
      <c r="BC41" s="22">
        <v>4</v>
      </c>
      <c r="BD41" s="22">
        <v>4</v>
      </c>
      <c r="BE41" s="22">
        <v>4</v>
      </c>
      <c r="BF41" s="22">
        <v>3</v>
      </c>
      <c r="BG41" s="22">
        <v>4</v>
      </c>
      <c r="BH41" s="22">
        <v>4</v>
      </c>
      <c r="BI41" s="22">
        <v>4</v>
      </c>
      <c r="BJ41" s="22">
        <v>4</v>
      </c>
      <c r="BK41" s="22">
        <v>3</v>
      </c>
      <c r="BL41" s="22">
        <v>4</v>
      </c>
      <c r="BM41" s="22">
        <v>4</v>
      </c>
      <c r="BN41" s="22">
        <v>4</v>
      </c>
      <c r="BO41" s="22">
        <v>4</v>
      </c>
      <c r="BP41" s="22">
        <v>4</v>
      </c>
      <c r="BQ41" s="22">
        <v>4</v>
      </c>
      <c r="BR41" s="22">
        <v>4</v>
      </c>
      <c r="BS41" s="22">
        <v>4</v>
      </c>
      <c r="BT41" s="22">
        <v>4</v>
      </c>
      <c r="BU41" s="22">
        <v>4</v>
      </c>
      <c r="BV41" s="22">
        <v>4</v>
      </c>
      <c r="BW41" s="22">
        <v>4</v>
      </c>
      <c r="BX41" s="2" t="s">
        <v>251</v>
      </c>
      <c r="BY41" s="2" t="s">
        <v>32</v>
      </c>
      <c r="BZ41" s="2" t="s">
        <v>34</v>
      </c>
      <c r="CA41" s="2" t="s">
        <v>35</v>
      </c>
      <c r="CB41" s="24">
        <v>0</v>
      </c>
      <c r="CC41" s="2" t="s">
        <v>36</v>
      </c>
      <c r="CD41" s="2" t="s">
        <v>51</v>
      </c>
      <c r="CE41" s="2" t="s">
        <v>32</v>
      </c>
      <c r="CF41" s="24">
        <v>0</v>
      </c>
      <c r="CG41" s="24">
        <v>2</v>
      </c>
      <c r="CH41" s="2" t="s">
        <v>37</v>
      </c>
      <c r="CI41" s="2" t="s">
        <v>32</v>
      </c>
      <c r="CJ41" s="2" t="s">
        <v>32</v>
      </c>
      <c r="CK41" s="2" t="s">
        <v>38</v>
      </c>
      <c r="CL41" s="24">
        <v>1</v>
      </c>
      <c r="CM41" s="2" t="s">
        <v>45</v>
      </c>
      <c r="CN41" s="2" t="s">
        <v>32</v>
      </c>
    </row>
    <row r="42" spans="1:92" ht="14" customHeight="1" x14ac:dyDescent="0.35">
      <c r="A42" s="2" t="s">
        <v>281</v>
      </c>
      <c r="B42" t="str">
        <f t="shared" si="1"/>
        <v>p40</v>
      </c>
      <c r="C42" s="38">
        <v>45600.784178240741</v>
      </c>
      <c r="D42" s="38">
        <v>45600.797037037039</v>
      </c>
      <c r="E42" s="2" t="s">
        <v>277</v>
      </c>
      <c r="F42" s="24">
        <v>100</v>
      </c>
      <c r="G42" s="24">
        <v>1111</v>
      </c>
      <c r="H42" s="2" t="s">
        <v>31</v>
      </c>
      <c r="I42" s="38">
        <v>45600.797050868059</v>
      </c>
      <c r="J42" s="2" t="s">
        <v>278</v>
      </c>
      <c r="K42" s="24">
        <v>53.451599999999999</v>
      </c>
      <c r="L42" s="24">
        <v>-2.9146999999999998</v>
      </c>
      <c r="M42" s="2" t="s">
        <v>33</v>
      </c>
      <c r="N42" s="2" t="s">
        <v>279</v>
      </c>
      <c r="O42" s="2" t="s">
        <v>280</v>
      </c>
      <c r="P42" s="22">
        <v>5</v>
      </c>
      <c r="Q42" s="22">
        <v>4</v>
      </c>
      <c r="R42" s="22">
        <v>3</v>
      </c>
      <c r="S42" s="22">
        <v>4</v>
      </c>
      <c r="T42" s="22">
        <v>5</v>
      </c>
      <c r="U42" s="22">
        <v>5</v>
      </c>
      <c r="V42" s="22">
        <v>5</v>
      </c>
      <c r="W42" s="22">
        <v>2</v>
      </c>
      <c r="X42" s="22">
        <v>2</v>
      </c>
      <c r="Y42" s="22">
        <v>5</v>
      </c>
      <c r="Z42" s="22">
        <v>4</v>
      </c>
      <c r="AA42" s="22">
        <v>4</v>
      </c>
      <c r="AB42" s="22">
        <v>4</v>
      </c>
      <c r="AC42" s="22">
        <v>2</v>
      </c>
      <c r="AD42" s="22">
        <v>1</v>
      </c>
      <c r="AE42" s="22">
        <v>1</v>
      </c>
      <c r="AF42" s="22">
        <v>1</v>
      </c>
      <c r="AG42" s="22">
        <v>2</v>
      </c>
      <c r="AH42" s="22">
        <v>2</v>
      </c>
      <c r="AI42" s="22">
        <v>3</v>
      </c>
      <c r="AJ42" s="22">
        <v>3</v>
      </c>
      <c r="AK42" s="22">
        <v>4</v>
      </c>
      <c r="AL42" s="22">
        <v>2</v>
      </c>
      <c r="AM42" s="22">
        <v>1</v>
      </c>
      <c r="AN42" s="22">
        <v>5</v>
      </c>
      <c r="AO42" s="22">
        <v>4</v>
      </c>
      <c r="AP42" s="22">
        <v>4</v>
      </c>
      <c r="AQ42" s="22">
        <v>4</v>
      </c>
      <c r="AR42" s="22">
        <v>3</v>
      </c>
      <c r="AS42" s="22">
        <v>4</v>
      </c>
      <c r="AT42" s="22">
        <v>2</v>
      </c>
      <c r="AU42" s="22">
        <v>4</v>
      </c>
      <c r="AV42" s="22">
        <v>2</v>
      </c>
      <c r="AW42" s="22">
        <v>2</v>
      </c>
      <c r="AX42" s="22">
        <v>4</v>
      </c>
      <c r="AY42" s="22">
        <v>2</v>
      </c>
      <c r="AZ42" s="22">
        <v>4</v>
      </c>
      <c r="BA42" s="22">
        <v>3</v>
      </c>
      <c r="BB42" s="22">
        <v>3</v>
      </c>
      <c r="BC42" s="22">
        <v>4</v>
      </c>
      <c r="BD42" s="22">
        <v>3</v>
      </c>
      <c r="BE42" s="22">
        <v>4</v>
      </c>
      <c r="BF42" s="22">
        <v>5</v>
      </c>
      <c r="BG42" s="22">
        <v>3</v>
      </c>
      <c r="BH42" s="22">
        <v>4</v>
      </c>
      <c r="BI42" s="22">
        <v>2</v>
      </c>
      <c r="BJ42" s="22">
        <v>2</v>
      </c>
      <c r="BK42" s="22">
        <v>1</v>
      </c>
      <c r="BL42" s="22">
        <v>4</v>
      </c>
      <c r="BM42" s="22">
        <v>3</v>
      </c>
      <c r="BN42" s="22">
        <v>2</v>
      </c>
      <c r="BO42" s="22">
        <v>3</v>
      </c>
      <c r="BP42" s="22">
        <v>4</v>
      </c>
      <c r="BQ42" s="22">
        <v>3</v>
      </c>
      <c r="BR42" s="22">
        <v>4</v>
      </c>
      <c r="BS42" s="22">
        <v>3</v>
      </c>
      <c r="BT42" s="22">
        <v>3</v>
      </c>
      <c r="BU42" s="22">
        <v>4</v>
      </c>
      <c r="BV42" s="22">
        <v>3</v>
      </c>
      <c r="BW42" s="22">
        <v>3</v>
      </c>
      <c r="BX42" s="2" t="s">
        <v>281</v>
      </c>
      <c r="BY42" s="2" t="s">
        <v>32</v>
      </c>
      <c r="BZ42" s="2" t="s">
        <v>34</v>
      </c>
      <c r="CA42" s="2" t="s">
        <v>35</v>
      </c>
      <c r="CB42" s="24">
        <v>0</v>
      </c>
      <c r="CC42" s="2" t="s">
        <v>52</v>
      </c>
      <c r="CD42" s="2" t="s">
        <v>65</v>
      </c>
      <c r="CE42" s="2" t="s">
        <v>32</v>
      </c>
      <c r="CF42" s="24">
        <v>0</v>
      </c>
      <c r="CG42" s="24">
        <v>2</v>
      </c>
      <c r="CH42" s="2" t="s">
        <v>37</v>
      </c>
      <c r="CI42" s="2" t="s">
        <v>32</v>
      </c>
      <c r="CJ42" s="2" t="s">
        <v>32</v>
      </c>
      <c r="CK42" s="2" t="s">
        <v>38</v>
      </c>
      <c r="CL42" s="24">
        <v>1</v>
      </c>
      <c r="CM42" s="2" t="s">
        <v>45</v>
      </c>
      <c r="CN42" s="2" t="s">
        <v>32</v>
      </c>
    </row>
    <row r="43" spans="1:92" ht="14" customHeight="1" x14ac:dyDescent="0.35">
      <c r="A43" s="2" t="s">
        <v>256</v>
      </c>
      <c r="B43" t="str">
        <f t="shared" si="1"/>
        <v>p41</v>
      </c>
      <c r="C43" s="38">
        <v>45600.784710648149</v>
      </c>
      <c r="D43" s="38">
        <v>45600.789652777778</v>
      </c>
      <c r="E43" s="2" t="s">
        <v>252</v>
      </c>
      <c r="F43" s="24">
        <v>100</v>
      </c>
      <c r="G43" s="24">
        <v>426</v>
      </c>
      <c r="H43" s="2" t="s">
        <v>31</v>
      </c>
      <c r="I43" s="38">
        <v>45600.789661423609</v>
      </c>
      <c r="J43" s="2" t="s">
        <v>253</v>
      </c>
      <c r="K43" s="24">
        <v>37.4</v>
      </c>
      <c r="L43" s="24">
        <v>-77.464799999999997</v>
      </c>
      <c r="M43" s="2" t="s">
        <v>33</v>
      </c>
      <c r="N43" s="2" t="s">
        <v>254</v>
      </c>
      <c r="O43" s="2" t="s">
        <v>255</v>
      </c>
      <c r="P43" s="22">
        <v>5</v>
      </c>
      <c r="Q43" s="22">
        <v>3</v>
      </c>
      <c r="R43" s="22">
        <v>3</v>
      </c>
      <c r="S43" s="22">
        <v>5</v>
      </c>
      <c r="T43" s="22">
        <v>4</v>
      </c>
      <c r="U43" s="22">
        <v>4</v>
      </c>
      <c r="V43" s="22">
        <v>4</v>
      </c>
      <c r="W43" s="22">
        <v>3</v>
      </c>
      <c r="X43" s="22">
        <v>3</v>
      </c>
      <c r="Y43" s="22">
        <v>5</v>
      </c>
      <c r="Z43" s="22">
        <v>3</v>
      </c>
      <c r="AA43" s="22">
        <v>5</v>
      </c>
      <c r="AB43" s="22">
        <v>3</v>
      </c>
      <c r="AC43" s="22">
        <v>4</v>
      </c>
      <c r="AD43" s="22">
        <v>2</v>
      </c>
      <c r="AE43" s="22">
        <v>3</v>
      </c>
      <c r="AF43" s="22">
        <v>2</v>
      </c>
      <c r="AG43" s="22">
        <v>4</v>
      </c>
      <c r="AH43" s="22">
        <v>3</v>
      </c>
      <c r="AI43" s="22">
        <v>3</v>
      </c>
      <c r="AJ43" s="22">
        <v>3</v>
      </c>
      <c r="AK43" s="22">
        <v>4</v>
      </c>
      <c r="AL43" s="22">
        <v>3</v>
      </c>
      <c r="AM43" s="22">
        <v>3</v>
      </c>
      <c r="AN43" s="22">
        <v>5</v>
      </c>
      <c r="AO43" s="22">
        <v>3</v>
      </c>
      <c r="AP43" s="22">
        <v>5</v>
      </c>
      <c r="AQ43" s="22">
        <v>4</v>
      </c>
      <c r="AR43" s="22">
        <v>5</v>
      </c>
      <c r="AS43" s="22">
        <v>5</v>
      </c>
      <c r="AT43" s="22">
        <v>3</v>
      </c>
      <c r="AU43" s="22">
        <v>3</v>
      </c>
      <c r="AV43" s="22">
        <v>2</v>
      </c>
      <c r="AW43" s="22">
        <v>4</v>
      </c>
      <c r="AX43" s="22">
        <v>4</v>
      </c>
      <c r="AY43" s="22">
        <v>3</v>
      </c>
      <c r="AZ43" s="22">
        <v>3</v>
      </c>
      <c r="BA43" s="22">
        <v>4</v>
      </c>
      <c r="BB43" s="22">
        <v>4</v>
      </c>
      <c r="BC43" s="22">
        <v>4</v>
      </c>
      <c r="BD43" s="22">
        <v>2</v>
      </c>
      <c r="BE43" s="22">
        <v>4</v>
      </c>
      <c r="BF43" s="22">
        <v>3</v>
      </c>
      <c r="BG43" s="22">
        <v>3</v>
      </c>
      <c r="BH43" s="22">
        <v>4</v>
      </c>
      <c r="BI43" s="22">
        <v>3</v>
      </c>
      <c r="BJ43" s="22">
        <v>4</v>
      </c>
      <c r="BK43" s="22">
        <v>3</v>
      </c>
      <c r="BL43" s="22">
        <v>2</v>
      </c>
      <c r="BM43" s="22">
        <v>4</v>
      </c>
      <c r="BN43" s="22">
        <v>4</v>
      </c>
      <c r="BO43" s="22">
        <v>4</v>
      </c>
      <c r="BP43" s="22">
        <v>2</v>
      </c>
      <c r="BQ43" s="22">
        <v>3</v>
      </c>
      <c r="BR43" s="22">
        <v>4</v>
      </c>
      <c r="BS43" s="22">
        <v>3</v>
      </c>
      <c r="BT43" s="22">
        <v>3</v>
      </c>
      <c r="BU43" s="22">
        <v>3</v>
      </c>
      <c r="BV43" s="22">
        <v>4</v>
      </c>
      <c r="BW43" s="22">
        <v>5</v>
      </c>
      <c r="BX43" s="2" t="s">
        <v>256</v>
      </c>
      <c r="BY43" s="2" t="s">
        <v>32</v>
      </c>
      <c r="BZ43" s="2" t="s">
        <v>34</v>
      </c>
      <c r="CA43" s="2" t="s">
        <v>35</v>
      </c>
      <c r="CB43" s="24">
        <v>0</v>
      </c>
      <c r="CC43" s="2" t="s">
        <v>36</v>
      </c>
      <c r="CD43" s="2" t="s">
        <v>51</v>
      </c>
      <c r="CE43" s="2" t="s">
        <v>32</v>
      </c>
      <c r="CF43" s="24">
        <v>0</v>
      </c>
      <c r="CG43" s="24">
        <v>2</v>
      </c>
      <c r="CH43" s="2" t="s">
        <v>37</v>
      </c>
      <c r="CI43" s="2" t="s">
        <v>32</v>
      </c>
      <c r="CJ43" s="2" t="s">
        <v>32</v>
      </c>
      <c r="CK43" s="2" t="s">
        <v>38</v>
      </c>
      <c r="CL43" s="24">
        <v>1</v>
      </c>
      <c r="CM43" s="2" t="s">
        <v>45</v>
      </c>
      <c r="CN43" s="2" t="s">
        <v>32</v>
      </c>
    </row>
    <row r="44" spans="1:92" ht="14" customHeight="1" x14ac:dyDescent="0.35">
      <c r="A44" s="2" t="s">
        <v>266</v>
      </c>
      <c r="B44" t="str">
        <f t="shared" si="1"/>
        <v>p42</v>
      </c>
      <c r="C44" s="38">
        <v>45600.784791666665</v>
      </c>
      <c r="D44" s="38">
        <v>45600.792164351849</v>
      </c>
      <c r="E44" s="2" t="s">
        <v>262</v>
      </c>
      <c r="F44" s="24">
        <v>100</v>
      </c>
      <c r="G44" s="24">
        <v>636</v>
      </c>
      <c r="H44" s="2" t="s">
        <v>31</v>
      </c>
      <c r="I44" s="38">
        <v>45600.7921722338</v>
      </c>
      <c r="J44" s="2" t="s">
        <v>263</v>
      </c>
      <c r="K44" s="24">
        <v>52.6494</v>
      </c>
      <c r="L44" s="24">
        <v>-1.1203000000000001</v>
      </c>
      <c r="M44" s="2" t="s">
        <v>33</v>
      </c>
      <c r="N44" s="2" t="s">
        <v>264</v>
      </c>
      <c r="O44" s="2" t="s">
        <v>265</v>
      </c>
      <c r="P44" s="22">
        <v>3</v>
      </c>
      <c r="Q44" s="22">
        <v>3</v>
      </c>
      <c r="R44" s="22">
        <v>2</v>
      </c>
      <c r="S44" s="22">
        <v>3</v>
      </c>
      <c r="T44" s="22">
        <v>4</v>
      </c>
      <c r="U44" s="22">
        <v>3</v>
      </c>
      <c r="V44" s="22">
        <v>5</v>
      </c>
      <c r="W44" s="22">
        <v>1</v>
      </c>
      <c r="X44" s="22">
        <v>4</v>
      </c>
      <c r="Y44" s="22">
        <v>4</v>
      </c>
      <c r="Z44" s="22">
        <v>5</v>
      </c>
      <c r="AA44" s="22">
        <v>3</v>
      </c>
      <c r="AB44" s="22">
        <v>5</v>
      </c>
      <c r="AC44" s="22">
        <v>2</v>
      </c>
      <c r="AD44" s="22">
        <v>2</v>
      </c>
      <c r="AE44" s="22">
        <v>2</v>
      </c>
      <c r="AF44" s="22">
        <v>1</v>
      </c>
      <c r="AG44" s="22">
        <v>2</v>
      </c>
      <c r="AH44" s="22">
        <v>2</v>
      </c>
      <c r="AI44" s="22">
        <v>4</v>
      </c>
      <c r="AJ44" s="22">
        <v>2</v>
      </c>
      <c r="AK44" s="22">
        <v>5</v>
      </c>
      <c r="AL44" s="22">
        <v>2</v>
      </c>
      <c r="AM44" s="22">
        <v>2</v>
      </c>
      <c r="AN44" s="22">
        <v>4</v>
      </c>
      <c r="AO44" s="22">
        <v>2</v>
      </c>
      <c r="AP44" s="22">
        <v>3</v>
      </c>
      <c r="AQ44" s="22">
        <v>4</v>
      </c>
      <c r="AR44" s="22">
        <v>2</v>
      </c>
      <c r="AS44" s="22">
        <v>4</v>
      </c>
      <c r="AT44" s="22">
        <v>2</v>
      </c>
      <c r="AU44" s="22">
        <v>5</v>
      </c>
      <c r="AV44" s="22">
        <v>2</v>
      </c>
      <c r="AW44" s="22">
        <v>2</v>
      </c>
      <c r="AX44" s="22">
        <v>3</v>
      </c>
      <c r="AY44" s="22">
        <v>2</v>
      </c>
      <c r="AZ44" s="22">
        <v>4</v>
      </c>
      <c r="BA44" s="22">
        <v>4</v>
      </c>
      <c r="BB44" s="22">
        <v>4</v>
      </c>
      <c r="BC44" s="22">
        <v>4</v>
      </c>
      <c r="BD44" s="22">
        <v>2</v>
      </c>
      <c r="BE44" s="22">
        <v>3</v>
      </c>
      <c r="BF44" s="22">
        <v>5</v>
      </c>
      <c r="BG44" s="22">
        <v>4</v>
      </c>
      <c r="BH44" s="22">
        <v>4</v>
      </c>
      <c r="BI44" s="22">
        <v>2</v>
      </c>
      <c r="BJ44" s="22">
        <v>4</v>
      </c>
      <c r="BK44" s="22">
        <v>2</v>
      </c>
      <c r="BL44" s="22">
        <v>4</v>
      </c>
      <c r="BM44" s="22">
        <v>3</v>
      </c>
      <c r="BN44" s="22">
        <v>2</v>
      </c>
      <c r="BO44" s="22">
        <v>2</v>
      </c>
      <c r="BP44" s="22">
        <v>3</v>
      </c>
      <c r="BQ44" s="22">
        <v>4</v>
      </c>
      <c r="BR44" s="22">
        <v>4</v>
      </c>
      <c r="BS44" s="22">
        <v>3</v>
      </c>
      <c r="BT44" s="22">
        <v>3</v>
      </c>
      <c r="BU44" s="22">
        <v>2</v>
      </c>
      <c r="BV44" s="22">
        <v>3</v>
      </c>
      <c r="BW44" s="22">
        <v>4</v>
      </c>
      <c r="BX44" s="2" t="s">
        <v>266</v>
      </c>
      <c r="BY44" s="2" t="s">
        <v>32</v>
      </c>
      <c r="BZ44" s="2" t="s">
        <v>34</v>
      </c>
      <c r="CA44" s="2" t="s">
        <v>35</v>
      </c>
      <c r="CB44" s="24">
        <v>0</v>
      </c>
      <c r="CC44" s="2" t="s">
        <v>36</v>
      </c>
      <c r="CD44" s="2" t="s">
        <v>51</v>
      </c>
      <c r="CE44" s="2" t="s">
        <v>32</v>
      </c>
      <c r="CF44" s="24">
        <v>0</v>
      </c>
      <c r="CG44" s="24">
        <v>2</v>
      </c>
      <c r="CH44" s="2" t="s">
        <v>37</v>
      </c>
      <c r="CI44" s="2" t="s">
        <v>32</v>
      </c>
      <c r="CJ44" s="2" t="s">
        <v>32</v>
      </c>
      <c r="CK44" s="2" t="s">
        <v>38</v>
      </c>
      <c r="CL44" s="24">
        <v>1</v>
      </c>
      <c r="CM44" s="2" t="s">
        <v>45</v>
      </c>
      <c r="CN44" s="2" t="s">
        <v>32</v>
      </c>
    </row>
    <row r="45" spans="1:92" ht="14" customHeight="1" x14ac:dyDescent="0.35">
      <c r="A45" s="2" t="s">
        <v>271</v>
      </c>
      <c r="B45" t="str">
        <f t="shared" si="1"/>
        <v>p43</v>
      </c>
      <c r="C45" s="38">
        <v>45600.785532407404</v>
      </c>
      <c r="D45" s="38">
        <v>45600.793912037036</v>
      </c>
      <c r="E45" s="2" t="s">
        <v>267</v>
      </c>
      <c r="F45" s="24">
        <v>100</v>
      </c>
      <c r="G45" s="24">
        <v>723</v>
      </c>
      <c r="H45" s="2" t="s">
        <v>31</v>
      </c>
      <c r="I45" s="38">
        <v>45600.793920613425</v>
      </c>
      <c r="J45" s="2" t="s">
        <v>268</v>
      </c>
      <c r="K45" s="24">
        <v>53.7881</v>
      </c>
      <c r="L45" s="24">
        <v>-1.6008</v>
      </c>
      <c r="M45" s="2" t="s">
        <v>33</v>
      </c>
      <c r="N45" s="2" t="s">
        <v>269</v>
      </c>
      <c r="O45" s="2" t="s">
        <v>270</v>
      </c>
      <c r="P45" s="22">
        <v>4</v>
      </c>
      <c r="Q45" s="22">
        <v>1</v>
      </c>
      <c r="R45" s="22">
        <v>5</v>
      </c>
      <c r="S45" s="22">
        <v>5</v>
      </c>
      <c r="T45" s="22">
        <v>3</v>
      </c>
      <c r="U45" s="22">
        <v>3</v>
      </c>
      <c r="V45" s="22">
        <v>1</v>
      </c>
      <c r="W45" s="22">
        <v>5</v>
      </c>
      <c r="X45" s="22">
        <v>1</v>
      </c>
      <c r="Y45" s="22">
        <v>4</v>
      </c>
      <c r="Z45" s="22">
        <v>1</v>
      </c>
      <c r="AA45" s="22">
        <v>4</v>
      </c>
      <c r="AB45" s="22">
        <v>1</v>
      </c>
      <c r="AC45" s="22">
        <v>5</v>
      </c>
      <c r="AD45" s="22">
        <v>1</v>
      </c>
      <c r="AE45" s="22">
        <v>5</v>
      </c>
      <c r="AF45" s="22">
        <v>4</v>
      </c>
      <c r="AG45" s="22">
        <v>4</v>
      </c>
      <c r="AH45" s="22">
        <v>5</v>
      </c>
      <c r="AI45" s="22">
        <v>1</v>
      </c>
      <c r="AJ45" s="22">
        <v>4</v>
      </c>
      <c r="AK45" s="22">
        <v>5</v>
      </c>
      <c r="AL45" s="22">
        <v>5</v>
      </c>
      <c r="AM45" s="22">
        <v>5</v>
      </c>
      <c r="AN45" s="22">
        <v>1</v>
      </c>
      <c r="AO45" s="22">
        <v>1</v>
      </c>
      <c r="AP45" s="22">
        <v>4</v>
      </c>
      <c r="AQ45" s="22">
        <v>1</v>
      </c>
      <c r="AR45" s="22">
        <v>4</v>
      </c>
      <c r="AS45" s="22">
        <v>4</v>
      </c>
      <c r="AT45" s="22">
        <v>3</v>
      </c>
      <c r="AU45" s="22">
        <v>1</v>
      </c>
      <c r="AV45" s="22">
        <v>5</v>
      </c>
      <c r="AW45" s="22">
        <v>5</v>
      </c>
      <c r="AX45" s="22">
        <v>4</v>
      </c>
      <c r="AY45" s="22">
        <v>5</v>
      </c>
      <c r="AZ45" s="22">
        <v>1</v>
      </c>
      <c r="BA45" s="22">
        <v>4</v>
      </c>
      <c r="BB45" s="22">
        <v>1</v>
      </c>
      <c r="BC45" s="22">
        <v>1</v>
      </c>
      <c r="BD45" s="22">
        <v>4</v>
      </c>
      <c r="BE45" s="22">
        <v>3</v>
      </c>
      <c r="BF45" s="22">
        <v>3</v>
      </c>
      <c r="BG45" s="22">
        <v>1</v>
      </c>
      <c r="BH45" s="22">
        <v>1</v>
      </c>
      <c r="BI45" s="22">
        <v>3</v>
      </c>
      <c r="BJ45" s="22">
        <v>1</v>
      </c>
      <c r="BK45" s="22">
        <v>1</v>
      </c>
      <c r="BL45" s="22">
        <v>1</v>
      </c>
      <c r="BM45" s="22">
        <v>4</v>
      </c>
      <c r="BN45" s="22">
        <v>4</v>
      </c>
      <c r="BO45" s="22">
        <v>4</v>
      </c>
      <c r="BP45" s="22">
        <v>1</v>
      </c>
      <c r="BQ45" s="22">
        <v>1</v>
      </c>
      <c r="BR45" s="22">
        <v>1</v>
      </c>
      <c r="BS45" s="22">
        <v>1</v>
      </c>
      <c r="BT45" s="22">
        <v>1</v>
      </c>
      <c r="BU45" s="22">
        <v>4</v>
      </c>
      <c r="BV45" s="22">
        <v>4</v>
      </c>
      <c r="BW45" s="22">
        <v>1</v>
      </c>
      <c r="BX45" s="2" t="s">
        <v>271</v>
      </c>
      <c r="BY45" s="2" t="s">
        <v>32</v>
      </c>
      <c r="BZ45" s="2" t="s">
        <v>34</v>
      </c>
      <c r="CA45" s="2" t="s">
        <v>35</v>
      </c>
      <c r="CB45" s="24">
        <v>0</v>
      </c>
      <c r="CC45" s="2" t="s">
        <v>36</v>
      </c>
      <c r="CD45" s="2" t="s">
        <v>51</v>
      </c>
      <c r="CE45" s="2" t="s">
        <v>32</v>
      </c>
      <c r="CF45" s="24">
        <v>0</v>
      </c>
      <c r="CG45" s="24">
        <v>2</v>
      </c>
      <c r="CH45" s="2" t="s">
        <v>37</v>
      </c>
      <c r="CI45" s="2" t="s">
        <v>32</v>
      </c>
      <c r="CJ45" s="2" t="s">
        <v>32</v>
      </c>
      <c r="CK45" s="2" t="s">
        <v>38</v>
      </c>
      <c r="CL45" s="24">
        <v>1</v>
      </c>
      <c r="CM45" s="2" t="s">
        <v>45</v>
      </c>
      <c r="CN45" s="2" t="s">
        <v>32</v>
      </c>
    </row>
    <row r="46" spans="1:92" ht="14" customHeight="1" x14ac:dyDescent="0.35">
      <c r="A46" s="2" t="s">
        <v>261</v>
      </c>
      <c r="B46" t="str">
        <f t="shared" si="1"/>
        <v>p44</v>
      </c>
      <c r="C46" s="38">
        <v>45600.785624999997</v>
      </c>
      <c r="D46" s="38">
        <v>45600.791377314818</v>
      </c>
      <c r="E46" s="2" t="s">
        <v>257</v>
      </c>
      <c r="F46" s="24">
        <v>100</v>
      </c>
      <c r="G46" s="24">
        <v>497</v>
      </c>
      <c r="H46" s="2" t="s">
        <v>31</v>
      </c>
      <c r="I46" s="38">
        <v>45600.791395312503</v>
      </c>
      <c r="J46" s="2" t="s">
        <v>258</v>
      </c>
      <c r="K46" s="24">
        <v>51.765500000000003</v>
      </c>
      <c r="L46" s="24">
        <v>-0.44819999999999999</v>
      </c>
      <c r="M46" s="2" t="s">
        <v>33</v>
      </c>
      <c r="N46" s="2" t="s">
        <v>259</v>
      </c>
      <c r="O46" s="2" t="s">
        <v>260</v>
      </c>
      <c r="P46" s="22">
        <v>4</v>
      </c>
      <c r="Q46" s="22">
        <v>4</v>
      </c>
      <c r="R46" s="22">
        <v>4</v>
      </c>
      <c r="S46" s="22">
        <v>4</v>
      </c>
      <c r="T46" s="22">
        <v>3</v>
      </c>
      <c r="U46" s="22">
        <v>4</v>
      </c>
      <c r="V46" s="22">
        <v>5</v>
      </c>
      <c r="W46" s="22">
        <v>3</v>
      </c>
      <c r="X46" s="22">
        <v>3</v>
      </c>
      <c r="Y46" s="22">
        <v>5</v>
      </c>
      <c r="Z46" s="22">
        <v>2</v>
      </c>
      <c r="AA46" s="22">
        <v>4</v>
      </c>
      <c r="AB46" s="22">
        <v>4</v>
      </c>
      <c r="AC46" s="22">
        <v>4</v>
      </c>
      <c r="AD46" s="22">
        <v>2</v>
      </c>
      <c r="AE46" s="22">
        <v>4</v>
      </c>
      <c r="AF46" s="22">
        <v>4</v>
      </c>
      <c r="AG46" s="22">
        <v>3</v>
      </c>
      <c r="AH46" s="22">
        <v>2</v>
      </c>
      <c r="AI46" s="22">
        <v>2</v>
      </c>
      <c r="AJ46" s="22">
        <v>2</v>
      </c>
      <c r="AK46" s="22">
        <v>4</v>
      </c>
      <c r="AL46" s="22">
        <v>5</v>
      </c>
      <c r="AM46" s="22">
        <v>4</v>
      </c>
      <c r="AN46" s="22">
        <v>3</v>
      </c>
      <c r="AO46" s="22">
        <v>2</v>
      </c>
      <c r="AP46" s="22">
        <v>4</v>
      </c>
      <c r="AQ46" s="22">
        <v>5</v>
      </c>
      <c r="AR46" s="22">
        <v>3</v>
      </c>
      <c r="AS46" s="22">
        <v>4</v>
      </c>
      <c r="AT46" s="22">
        <v>3</v>
      </c>
      <c r="AU46" s="22">
        <v>5</v>
      </c>
      <c r="AV46" s="22">
        <v>3</v>
      </c>
      <c r="AW46" s="22">
        <v>3</v>
      </c>
      <c r="AX46" s="22">
        <v>4</v>
      </c>
      <c r="AY46" s="22">
        <v>3</v>
      </c>
      <c r="AZ46" s="22">
        <v>3</v>
      </c>
      <c r="BA46" s="22">
        <v>2</v>
      </c>
      <c r="BB46" s="22">
        <v>3</v>
      </c>
      <c r="BC46" s="22">
        <v>4</v>
      </c>
      <c r="BD46" s="22">
        <v>3</v>
      </c>
      <c r="BE46" s="22">
        <v>4</v>
      </c>
      <c r="BF46" s="22">
        <v>2</v>
      </c>
      <c r="BG46" s="22">
        <v>4</v>
      </c>
      <c r="BH46" s="22">
        <v>4</v>
      </c>
      <c r="BI46" s="22">
        <v>3</v>
      </c>
      <c r="BJ46" s="22">
        <v>3</v>
      </c>
      <c r="BK46" s="22">
        <v>3</v>
      </c>
      <c r="BL46" s="22">
        <v>3</v>
      </c>
      <c r="BM46" s="22">
        <v>4</v>
      </c>
      <c r="BN46" s="22">
        <v>2</v>
      </c>
      <c r="BO46" s="22">
        <v>2</v>
      </c>
      <c r="BP46" s="22">
        <v>2</v>
      </c>
      <c r="BQ46" s="22">
        <v>4</v>
      </c>
      <c r="BR46" s="22">
        <v>4</v>
      </c>
      <c r="BS46" s="22">
        <v>2</v>
      </c>
      <c r="BT46" s="22">
        <v>3</v>
      </c>
      <c r="BU46" s="22">
        <v>2</v>
      </c>
      <c r="BV46" s="22">
        <v>5</v>
      </c>
      <c r="BW46" s="22">
        <v>3</v>
      </c>
      <c r="BX46" s="2" t="s">
        <v>261</v>
      </c>
      <c r="BY46" s="2" t="s">
        <v>32</v>
      </c>
      <c r="BZ46" s="2" t="s">
        <v>34</v>
      </c>
      <c r="CA46" s="2" t="s">
        <v>35</v>
      </c>
      <c r="CB46" s="24">
        <v>0</v>
      </c>
      <c r="CC46" s="2" t="s">
        <v>36</v>
      </c>
      <c r="CD46" s="2" t="s">
        <v>71</v>
      </c>
      <c r="CE46" s="2" t="s">
        <v>32</v>
      </c>
      <c r="CF46" s="24">
        <v>0</v>
      </c>
      <c r="CG46" s="24">
        <v>2</v>
      </c>
      <c r="CH46" s="2" t="s">
        <v>37</v>
      </c>
      <c r="CI46" s="2" t="s">
        <v>32</v>
      </c>
      <c r="CJ46" s="2" t="s">
        <v>32</v>
      </c>
      <c r="CK46" s="2" t="s">
        <v>38</v>
      </c>
      <c r="CL46" s="24">
        <v>1</v>
      </c>
      <c r="CM46" s="2" t="s">
        <v>45</v>
      </c>
      <c r="CN46" s="2" t="s">
        <v>32</v>
      </c>
    </row>
    <row r="47" spans="1:92" ht="14" customHeight="1" x14ac:dyDescent="0.35">
      <c r="A47" s="2" t="s">
        <v>291</v>
      </c>
      <c r="B47" t="str">
        <f t="shared" si="1"/>
        <v>p45</v>
      </c>
      <c r="C47" s="38">
        <v>45600.786006944443</v>
      </c>
      <c r="D47" s="38">
        <v>45600.807326388887</v>
      </c>
      <c r="E47" s="2" t="s">
        <v>287</v>
      </c>
      <c r="F47" s="24">
        <v>100</v>
      </c>
      <c r="G47" s="24">
        <v>1841</v>
      </c>
      <c r="H47" s="2" t="s">
        <v>31</v>
      </c>
      <c r="I47" s="38">
        <v>45600.807335555553</v>
      </c>
      <c r="J47" s="2" t="s">
        <v>288</v>
      </c>
      <c r="K47" s="24">
        <v>52.5852</v>
      </c>
      <c r="L47" s="24">
        <v>-0.23599999999999999</v>
      </c>
      <c r="M47" s="2" t="s">
        <v>33</v>
      </c>
      <c r="N47" s="2" t="s">
        <v>289</v>
      </c>
      <c r="O47" s="2" t="s">
        <v>290</v>
      </c>
      <c r="P47" s="22">
        <v>4</v>
      </c>
      <c r="Q47" s="22">
        <v>5</v>
      </c>
      <c r="R47" s="22">
        <v>1</v>
      </c>
      <c r="S47" s="22">
        <v>3</v>
      </c>
      <c r="T47" s="22">
        <v>5</v>
      </c>
      <c r="U47" s="22">
        <v>5</v>
      </c>
      <c r="V47" s="22">
        <v>4</v>
      </c>
      <c r="W47" s="22">
        <v>1</v>
      </c>
      <c r="X47" s="22">
        <v>4</v>
      </c>
      <c r="Y47" s="22">
        <v>5</v>
      </c>
      <c r="Z47" s="22">
        <v>4</v>
      </c>
      <c r="AA47" s="22">
        <v>5</v>
      </c>
      <c r="AB47" s="22">
        <v>5</v>
      </c>
      <c r="AC47" s="22">
        <v>4</v>
      </c>
      <c r="AD47" s="22">
        <v>5</v>
      </c>
      <c r="AE47" s="22">
        <v>1</v>
      </c>
      <c r="AF47" s="22">
        <v>1</v>
      </c>
      <c r="AG47" s="22">
        <v>1</v>
      </c>
      <c r="AH47" s="22">
        <v>1</v>
      </c>
      <c r="AI47" s="22">
        <v>1</v>
      </c>
      <c r="AJ47" s="22">
        <v>1</v>
      </c>
      <c r="AK47" s="22">
        <v>4</v>
      </c>
      <c r="AL47" s="22">
        <v>2</v>
      </c>
      <c r="AM47" s="22">
        <v>1</v>
      </c>
      <c r="AN47" s="22">
        <v>5</v>
      </c>
      <c r="AO47" s="22">
        <v>3</v>
      </c>
      <c r="AP47" s="22">
        <v>5</v>
      </c>
      <c r="AQ47" s="22">
        <v>5</v>
      </c>
      <c r="AR47" s="22">
        <v>1</v>
      </c>
      <c r="AS47" s="22">
        <v>5</v>
      </c>
      <c r="AT47" s="22">
        <v>2</v>
      </c>
      <c r="AU47" s="22">
        <v>4</v>
      </c>
      <c r="AV47" s="22">
        <v>2</v>
      </c>
      <c r="AW47" s="22">
        <v>1</v>
      </c>
      <c r="AX47" s="22">
        <v>4</v>
      </c>
      <c r="AY47" s="22">
        <v>1</v>
      </c>
      <c r="AZ47" s="22">
        <v>5</v>
      </c>
      <c r="BA47" s="22">
        <v>5</v>
      </c>
      <c r="BB47" s="22">
        <v>5</v>
      </c>
      <c r="BC47" s="22">
        <v>5</v>
      </c>
      <c r="BD47" s="22">
        <v>1</v>
      </c>
      <c r="BE47" s="22">
        <v>5</v>
      </c>
      <c r="BF47" s="22">
        <v>4</v>
      </c>
      <c r="BG47" s="22">
        <v>4</v>
      </c>
      <c r="BH47" s="22">
        <v>4</v>
      </c>
      <c r="BI47" s="22">
        <v>1</v>
      </c>
      <c r="BJ47" s="22">
        <v>5</v>
      </c>
      <c r="BK47" s="22">
        <v>5</v>
      </c>
      <c r="BL47" s="22">
        <v>5</v>
      </c>
      <c r="BM47" s="22">
        <v>5</v>
      </c>
      <c r="BN47" s="22">
        <v>1</v>
      </c>
      <c r="BO47" s="22">
        <v>2</v>
      </c>
      <c r="BP47" s="22">
        <v>3</v>
      </c>
      <c r="BQ47" s="22">
        <v>5</v>
      </c>
      <c r="BR47" s="22">
        <v>4</v>
      </c>
      <c r="BS47" s="22">
        <v>2</v>
      </c>
      <c r="BT47" s="22">
        <v>2</v>
      </c>
      <c r="BU47" s="22">
        <v>1</v>
      </c>
      <c r="BV47" s="22">
        <v>5</v>
      </c>
      <c r="BW47" s="22">
        <v>5</v>
      </c>
      <c r="BX47" s="2" t="s">
        <v>291</v>
      </c>
      <c r="BY47" s="2" t="s">
        <v>32</v>
      </c>
      <c r="BZ47" s="2" t="s">
        <v>34</v>
      </c>
      <c r="CA47" s="2" t="s">
        <v>35</v>
      </c>
      <c r="CB47" s="24">
        <v>0</v>
      </c>
      <c r="CC47" s="2" t="s">
        <v>36</v>
      </c>
      <c r="CD47" s="2" t="s">
        <v>65</v>
      </c>
      <c r="CE47" s="2" t="s">
        <v>32</v>
      </c>
      <c r="CF47" s="24">
        <v>0</v>
      </c>
      <c r="CG47" s="24">
        <v>2</v>
      </c>
      <c r="CH47" s="2" t="s">
        <v>37</v>
      </c>
      <c r="CI47" s="2" t="s">
        <v>32</v>
      </c>
      <c r="CJ47" s="2" t="s">
        <v>32</v>
      </c>
      <c r="CK47" s="2" t="s">
        <v>38</v>
      </c>
      <c r="CL47" s="24">
        <v>1</v>
      </c>
      <c r="CM47" s="2" t="s">
        <v>45</v>
      </c>
      <c r="CN47" s="2" t="s">
        <v>32</v>
      </c>
    </row>
    <row r="48" spans="1:92" ht="14" customHeight="1" x14ac:dyDescent="0.35">
      <c r="A48" s="2" t="s">
        <v>276</v>
      </c>
      <c r="B48" t="str">
        <f t="shared" si="1"/>
        <v>p46</v>
      </c>
      <c r="C48" s="38">
        <v>45600.78601851852</v>
      </c>
      <c r="D48" s="38">
        <v>45600.794074074074</v>
      </c>
      <c r="E48" s="2" t="s">
        <v>272</v>
      </c>
      <c r="F48" s="24">
        <v>100</v>
      </c>
      <c r="G48" s="24">
        <v>696</v>
      </c>
      <c r="H48" s="2" t="s">
        <v>31</v>
      </c>
      <c r="I48" s="38">
        <v>45600.794085277776</v>
      </c>
      <c r="J48" s="2" t="s">
        <v>273</v>
      </c>
      <c r="K48" s="24">
        <v>51.403599999999997</v>
      </c>
      <c r="L48" s="24">
        <v>-0.76180000000000003</v>
      </c>
      <c r="M48" s="2" t="s">
        <v>33</v>
      </c>
      <c r="N48" s="2" t="s">
        <v>274</v>
      </c>
      <c r="O48" s="2" t="s">
        <v>275</v>
      </c>
      <c r="P48" s="22">
        <v>5</v>
      </c>
      <c r="Q48" s="22">
        <v>5</v>
      </c>
      <c r="R48" s="22">
        <v>4</v>
      </c>
      <c r="S48" s="22">
        <v>5</v>
      </c>
      <c r="T48" s="22">
        <v>5</v>
      </c>
      <c r="U48" s="22">
        <v>5</v>
      </c>
      <c r="V48" s="22">
        <v>3</v>
      </c>
      <c r="W48" s="22">
        <v>3</v>
      </c>
      <c r="X48" s="22">
        <v>2</v>
      </c>
      <c r="Y48" s="22">
        <v>5</v>
      </c>
      <c r="Z48" s="22">
        <v>3</v>
      </c>
      <c r="AA48" s="22">
        <v>4</v>
      </c>
      <c r="AB48" s="22">
        <v>5</v>
      </c>
      <c r="AC48" s="22">
        <v>5</v>
      </c>
      <c r="AD48" s="22">
        <v>1</v>
      </c>
      <c r="AE48" s="22">
        <v>5</v>
      </c>
      <c r="AF48" s="22">
        <v>1</v>
      </c>
      <c r="AG48" s="22">
        <v>3</v>
      </c>
      <c r="AH48" s="22">
        <v>1</v>
      </c>
      <c r="AI48" s="22">
        <v>3</v>
      </c>
      <c r="AJ48" s="22">
        <v>1</v>
      </c>
      <c r="AK48" s="22">
        <v>5</v>
      </c>
      <c r="AL48" s="22">
        <v>1</v>
      </c>
      <c r="AM48" s="22">
        <v>3</v>
      </c>
      <c r="AN48" s="22">
        <v>5</v>
      </c>
      <c r="AO48" s="22">
        <v>1</v>
      </c>
      <c r="AP48" s="22">
        <v>5</v>
      </c>
      <c r="AQ48" s="22">
        <v>5</v>
      </c>
      <c r="AR48" s="22">
        <v>4</v>
      </c>
      <c r="AS48" s="22">
        <v>5</v>
      </c>
      <c r="AT48" s="22">
        <v>3</v>
      </c>
      <c r="AU48" s="22">
        <v>5</v>
      </c>
      <c r="AV48" s="22">
        <v>3</v>
      </c>
      <c r="AW48" s="22">
        <v>5</v>
      </c>
      <c r="AX48" s="22">
        <v>5</v>
      </c>
      <c r="AY48" s="22">
        <v>3</v>
      </c>
      <c r="AZ48" s="22">
        <v>5</v>
      </c>
      <c r="BA48" s="22">
        <v>5</v>
      </c>
      <c r="BB48" s="22">
        <v>3</v>
      </c>
      <c r="BC48" s="22">
        <v>5</v>
      </c>
      <c r="BD48" s="22">
        <v>3</v>
      </c>
      <c r="BE48" s="22">
        <v>5</v>
      </c>
      <c r="BF48" s="22">
        <v>5</v>
      </c>
      <c r="BG48" s="22">
        <v>5</v>
      </c>
      <c r="BH48" s="22">
        <v>5</v>
      </c>
      <c r="BI48" s="22">
        <v>3</v>
      </c>
      <c r="BJ48" s="22">
        <v>2</v>
      </c>
      <c r="BK48" s="22">
        <v>5</v>
      </c>
      <c r="BL48" s="22">
        <v>5</v>
      </c>
      <c r="BM48" s="22">
        <v>5</v>
      </c>
      <c r="BN48" s="22">
        <v>1</v>
      </c>
      <c r="BO48" s="22">
        <v>5</v>
      </c>
      <c r="BP48" s="22">
        <v>3</v>
      </c>
      <c r="BQ48" s="22">
        <v>1</v>
      </c>
      <c r="BR48" s="22">
        <v>5</v>
      </c>
      <c r="BS48" s="22">
        <v>1</v>
      </c>
      <c r="BT48" s="22">
        <v>1</v>
      </c>
      <c r="BU48" s="22">
        <v>5</v>
      </c>
      <c r="BV48" s="22">
        <v>5</v>
      </c>
      <c r="BW48" s="22">
        <v>5</v>
      </c>
      <c r="BX48" s="2" t="s">
        <v>276</v>
      </c>
      <c r="BY48" s="2" t="s">
        <v>32</v>
      </c>
      <c r="BZ48" s="2" t="s">
        <v>34</v>
      </c>
      <c r="CA48" s="2" t="s">
        <v>35</v>
      </c>
      <c r="CB48" s="24">
        <v>0</v>
      </c>
      <c r="CC48" s="2" t="s">
        <v>36</v>
      </c>
      <c r="CD48" s="2" t="s">
        <v>51</v>
      </c>
      <c r="CE48" s="2" t="s">
        <v>32</v>
      </c>
      <c r="CF48" s="24">
        <v>0</v>
      </c>
      <c r="CG48" s="24">
        <v>2</v>
      </c>
      <c r="CH48" s="2" t="s">
        <v>37</v>
      </c>
      <c r="CI48" s="2" t="s">
        <v>32</v>
      </c>
      <c r="CJ48" s="2" t="s">
        <v>32</v>
      </c>
      <c r="CK48" s="2" t="s">
        <v>38</v>
      </c>
      <c r="CL48" s="24">
        <v>1</v>
      </c>
      <c r="CM48" s="2" t="s">
        <v>45</v>
      </c>
      <c r="CN48" s="2" t="s">
        <v>32</v>
      </c>
    </row>
    <row r="49" spans="1:92" ht="14" customHeight="1" x14ac:dyDescent="0.35">
      <c r="A49" s="2" t="s">
        <v>286</v>
      </c>
      <c r="B49" t="str">
        <f t="shared" si="1"/>
        <v>p47</v>
      </c>
      <c r="C49" s="38">
        <v>45600.786886574075</v>
      </c>
      <c r="D49" s="38">
        <v>45600.79954861111</v>
      </c>
      <c r="E49" s="2" t="s">
        <v>282</v>
      </c>
      <c r="F49" s="24">
        <v>100</v>
      </c>
      <c r="G49" s="24">
        <v>1094</v>
      </c>
      <c r="H49" s="2" t="s">
        <v>31</v>
      </c>
      <c r="I49" s="38">
        <v>45600.799559027779</v>
      </c>
      <c r="J49" s="2" t="s">
        <v>283</v>
      </c>
      <c r="K49" s="24">
        <v>51.485799999999998</v>
      </c>
      <c r="L49" s="24">
        <v>-2.06E-2</v>
      </c>
      <c r="M49" s="2" t="s">
        <v>33</v>
      </c>
      <c r="N49" s="2" t="s">
        <v>284</v>
      </c>
      <c r="O49" s="2" t="s">
        <v>285</v>
      </c>
      <c r="P49" s="22">
        <v>3</v>
      </c>
      <c r="Q49" s="22">
        <v>5</v>
      </c>
      <c r="R49" s="22">
        <v>3</v>
      </c>
      <c r="S49" s="22">
        <v>2</v>
      </c>
      <c r="T49" s="22">
        <v>2</v>
      </c>
      <c r="U49" s="22">
        <v>5</v>
      </c>
      <c r="V49" s="22">
        <v>5</v>
      </c>
      <c r="W49" s="22">
        <v>2</v>
      </c>
      <c r="X49" s="22">
        <v>3</v>
      </c>
      <c r="Y49" s="22">
        <v>4</v>
      </c>
      <c r="Z49" s="22">
        <v>1</v>
      </c>
      <c r="AA49" s="22">
        <v>3</v>
      </c>
      <c r="AB49" s="22">
        <v>3</v>
      </c>
      <c r="AC49" s="22">
        <v>2</v>
      </c>
      <c r="AD49" s="22">
        <v>3</v>
      </c>
      <c r="AE49" s="22">
        <v>3</v>
      </c>
      <c r="AF49" s="22">
        <v>1</v>
      </c>
      <c r="AG49" s="22">
        <v>3</v>
      </c>
      <c r="AH49" s="22">
        <v>2</v>
      </c>
      <c r="AI49" s="22">
        <v>2</v>
      </c>
      <c r="AJ49" s="22">
        <v>1</v>
      </c>
      <c r="AK49" s="22">
        <v>3</v>
      </c>
      <c r="AL49" s="22">
        <v>4</v>
      </c>
      <c r="AM49" s="22">
        <v>2</v>
      </c>
      <c r="AN49" s="22">
        <v>4</v>
      </c>
      <c r="AO49" s="22">
        <v>2</v>
      </c>
      <c r="AP49" s="22">
        <v>3</v>
      </c>
      <c r="AQ49" s="22">
        <v>3</v>
      </c>
      <c r="AR49" s="22">
        <v>2</v>
      </c>
      <c r="AS49" s="22">
        <v>4</v>
      </c>
      <c r="AT49" s="22">
        <v>2</v>
      </c>
      <c r="AU49" s="22">
        <v>5</v>
      </c>
      <c r="AV49" s="22">
        <v>3</v>
      </c>
      <c r="AW49" s="22">
        <v>2</v>
      </c>
      <c r="AX49" s="22">
        <v>4</v>
      </c>
      <c r="AY49" s="22">
        <v>2</v>
      </c>
      <c r="AZ49" s="22">
        <v>4</v>
      </c>
      <c r="BA49" s="22">
        <v>4</v>
      </c>
      <c r="BB49" s="22">
        <v>3</v>
      </c>
      <c r="BC49" s="22">
        <v>4</v>
      </c>
      <c r="BD49" s="22">
        <v>2</v>
      </c>
      <c r="BE49" s="22">
        <v>4</v>
      </c>
      <c r="BF49" s="22">
        <v>2</v>
      </c>
      <c r="BG49" s="22">
        <v>3</v>
      </c>
      <c r="BH49" s="22">
        <v>4</v>
      </c>
      <c r="BI49" s="22">
        <v>2</v>
      </c>
      <c r="BJ49" s="22">
        <v>2</v>
      </c>
      <c r="BK49" s="22">
        <v>5</v>
      </c>
      <c r="BL49" s="22">
        <v>2</v>
      </c>
      <c r="BM49" s="22">
        <v>5</v>
      </c>
      <c r="BN49" s="22">
        <v>5</v>
      </c>
      <c r="BO49" s="22">
        <v>3</v>
      </c>
      <c r="BP49" s="22">
        <v>3</v>
      </c>
      <c r="BQ49" s="22">
        <v>3</v>
      </c>
      <c r="BR49" s="22">
        <v>2</v>
      </c>
      <c r="BS49" s="22">
        <v>2</v>
      </c>
      <c r="BT49" s="22">
        <v>2</v>
      </c>
      <c r="BU49" s="22">
        <v>2</v>
      </c>
      <c r="BV49" s="22">
        <v>4</v>
      </c>
      <c r="BW49" s="22">
        <v>3</v>
      </c>
      <c r="BX49" s="2" t="s">
        <v>286</v>
      </c>
      <c r="BY49" s="2" t="s">
        <v>32</v>
      </c>
      <c r="BZ49" s="2" t="s">
        <v>34</v>
      </c>
      <c r="CA49" s="2" t="s">
        <v>109</v>
      </c>
      <c r="CB49" s="24">
        <v>1</v>
      </c>
      <c r="CC49" s="2" t="s">
        <v>36</v>
      </c>
      <c r="CD49" s="2" t="s">
        <v>152</v>
      </c>
      <c r="CE49" s="2" t="s">
        <v>32</v>
      </c>
      <c r="CF49" s="24">
        <v>0</v>
      </c>
      <c r="CG49" s="24">
        <v>2</v>
      </c>
      <c r="CH49" s="2" t="s">
        <v>37</v>
      </c>
      <c r="CI49" s="2" t="s">
        <v>32</v>
      </c>
      <c r="CJ49" s="2" t="s">
        <v>32</v>
      </c>
      <c r="CK49" s="2" t="s">
        <v>38</v>
      </c>
      <c r="CL49" s="24">
        <v>1</v>
      </c>
      <c r="CM49" s="2" t="s">
        <v>45</v>
      </c>
      <c r="CN49" s="2" t="s">
        <v>32</v>
      </c>
    </row>
    <row r="50" spans="1:92" ht="14" customHeight="1" x14ac:dyDescent="0.35">
      <c r="A50" s="2" t="s">
        <v>296</v>
      </c>
      <c r="B50" t="str">
        <f t="shared" si="1"/>
        <v>p48</v>
      </c>
      <c r="C50" s="38">
        <v>45600.837152777778</v>
      </c>
      <c r="D50" s="38">
        <v>45600.845972222225</v>
      </c>
      <c r="E50" s="2" t="s">
        <v>292</v>
      </c>
      <c r="F50" s="24">
        <v>100</v>
      </c>
      <c r="G50" s="24">
        <v>761</v>
      </c>
      <c r="H50" s="2" t="s">
        <v>31</v>
      </c>
      <c r="I50" s="38">
        <v>45600.845985636573</v>
      </c>
      <c r="J50" s="2" t="s">
        <v>293</v>
      </c>
      <c r="K50" s="24">
        <v>51.359299999999998</v>
      </c>
      <c r="L50" s="24">
        <v>-2.9232</v>
      </c>
      <c r="M50" s="2" t="s">
        <v>33</v>
      </c>
      <c r="N50" s="2" t="s">
        <v>294</v>
      </c>
      <c r="O50" s="2" t="s">
        <v>295</v>
      </c>
      <c r="P50" s="22">
        <v>4</v>
      </c>
      <c r="Q50" s="22">
        <v>5</v>
      </c>
      <c r="R50" s="22">
        <v>4</v>
      </c>
      <c r="S50" s="22">
        <v>5</v>
      </c>
      <c r="T50" s="22">
        <v>3</v>
      </c>
      <c r="U50" s="22">
        <v>5</v>
      </c>
      <c r="V50" s="22">
        <v>3</v>
      </c>
      <c r="W50" s="22">
        <v>4</v>
      </c>
      <c r="X50" s="22">
        <v>1</v>
      </c>
      <c r="Y50" s="22">
        <v>5</v>
      </c>
      <c r="Z50" s="22">
        <v>3</v>
      </c>
      <c r="AA50" s="22">
        <v>4</v>
      </c>
      <c r="AB50" s="22">
        <v>3</v>
      </c>
      <c r="AC50" s="22">
        <v>5</v>
      </c>
      <c r="AD50" s="22">
        <v>1</v>
      </c>
      <c r="AE50" s="22">
        <v>4</v>
      </c>
      <c r="AF50" s="22">
        <v>4</v>
      </c>
      <c r="AG50" s="22">
        <v>4</v>
      </c>
      <c r="AH50" s="22">
        <v>5</v>
      </c>
      <c r="AI50" s="22">
        <v>1</v>
      </c>
      <c r="AJ50" s="22">
        <v>1</v>
      </c>
      <c r="AK50" s="22">
        <v>4</v>
      </c>
      <c r="AL50" s="22">
        <v>4</v>
      </c>
      <c r="AM50" s="22">
        <v>4</v>
      </c>
      <c r="AN50" s="22">
        <v>3</v>
      </c>
      <c r="AO50" s="22">
        <v>3</v>
      </c>
      <c r="AP50" s="22">
        <v>3</v>
      </c>
      <c r="AQ50" s="22">
        <v>3</v>
      </c>
      <c r="AR50" s="22">
        <v>4</v>
      </c>
      <c r="AS50" s="22">
        <v>4</v>
      </c>
      <c r="AT50" s="22">
        <v>4</v>
      </c>
      <c r="AU50" s="22">
        <v>4</v>
      </c>
      <c r="AV50" s="22">
        <v>4</v>
      </c>
      <c r="AW50" s="22">
        <v>4</v>
      </c>
      <c r="AX50" s="22">
        <v>3</v>
      </c>
      <c r="AY50" s="22">
        <v>4</v>
      </c>
      <c r="AZ50" s="22">
        <v>5</v>
      </c>
      <c r="BA50" s="22">
        <v>3</v>
      </c>
      <c r="BB50" s="22">
        <v>3</v>
      </c>
      <c r="BC50" s="22">
        <v>4</v>
      </c>
      <c r="BD50" s="22">
        <v>3</v>
      </c>
      <c r="BE50" s="22">
        <v>5</v>
      </c>
      <c r="BF50" s="22">
        <v>3</v>
      </c>
      <c r="BG50" s="22">
        <v>2</v>
      </c>
      <c r="BH50" s="22">
        <v>4</v>
      </c>
      <c r="BI50" s="22">
        <v>2</v>
      </c>
      <c r="BJ50" s="22">
        <v>4</v>
      </c>
      <c r="BK50" s="22">
        <v>5</v>
      </c>
      <c r="BL50" s="22">
        <v>3</v>
      </c>
      <c r="BM50" s="22">
        <v>4</v>
      </c>
      <c r="BN50" s="22">
        <v>2</v>
      </c>
      <c r="BO50" s="22">
        <v>4</v>
      </c>
      <c r="BP50" s="22">
        <v>1</v>
      </c>
      <c r="BQ50" s="22">
        <v>2</v>
      </c>
      <c r="BR50" s="22">
        <v>2</v>
      </c>
      <c r="BS50" s="22">
        <v>2</v>
      </c>
      <c r="BT50" s="22">
        <v>1</v>
      </c>
      <c r="BU50" s="22">
        <v>3</v>
      </c>
      <c r="BV50" s="22">
        <v>4</v>
      </c>
      <c r="BW50" s="22">
        <v>4</v>
      </c>
      <c r="BX50" s="2" t="s">
        <v>296</v>
      </c>
      <c r="BY50" s="2" t="s">
        <v>32</v>
      </c>
      <c r="BZ50" s="2" t="s">
        <v>34</v>
      </c>
      <c r="CA50" s="2" t="s">
        <v>35</v>
      </c>
      <c r="CB50" s="24">
        <v>0</v>
      </c>
      <c r="CC50" s="2" t="s">
        <v>36</v>
      </c>
      <c r="CD50" s="2" t="s">
        <v>51</v>
      </c>
      <c r="CE50" s="2" t="s">
        <v>32</v>
      </c>
      <c r="CF50" s="24">
        <v>0</v>
      </c>
      <c r="CG50" s="24">
        <v>2</v>
      </c>
      <c r="CH50" s="2" t="s">
        <v>37</v>
      </c>
      <c r="CI50" s="2" t="s">
        <v>32</v>
      </c>
      <c r="CJ50" s="2" t="s">
        <v>32</v>
      </c>
      <c r="CK50" s="2" t="s">
        <v>38</v>
      </c>
      <c r="CL50" s="24">
        <v>1</v>
      </c>
      <c r="CM50" s="2" t="s">
        <v>45</v>
      </c>
      <c r="CN50" s="2" t="s">
        <v>32</v>
      </c>
    </row>
    <row r="51" spans="1:92" ht="14" customHeight="1" x14ac:dyDescent="0.35">
      <c r="A51" s="2" t="s">
        <v>301</v>
      </c>
      <c r="B51" t="str">
        <f t="shared" si="1"/>
        <v>p49</v>
      </c>
      <c r="C51" s="38">
        <v>45600.837199074071</v>
      </c>
      <c r="D51" s="38">
        <v>45600.847361111111</v>
      </c>
      <c r="E51" s="2" t="s">
        <v>297</v>
      </c>
      <c r="F51" s="24">
        <v>100</v>
      </c>
      <c r="G51" s="24">
        <v>878</v>
      </c>
      <c r="H51" s="2" t="s">
        <v>31</v>
      </c>
      <c r="I51" s="38">
        <v>45600.847374201388</v>
      </c>
      <c r="J51" s="2" t="s">
        <v>298</v>
      </c>
      <c r="K51" s="24">
        <v>51.780700000000003</v>
      </c>
      <c r="L51" s="24">
        <v>-0.2802</v>
      </c>
      <c r="M51" s="2" t="s">
        <v>33</v>
      </c>
      <c r="N51" s="2" t="s">
        <v>299</v>
      </c>
      <c r="O51" s="2" t="s">
        <v>300</v>
      </c>
      <c r="P51" s="22">
        <v>4</v>
      </c>
      <c r="Q51" s="22">
        <v>3</v>
      </c>
      <c r="R51" s="22">
        <v>3</v>
      </c>
      <c r="S51" s="22">
        <v>3</v>
      </c>
      <c r="T51" s="22">
        <v>3</v>
      </c>
      <c r="U51" s="22">
        <v>4</v>
      </c>
      <c r="V51" s="22">
        <v>3</v>
      </c>
      <c r="W51" s="22">
        <v>3</v>
      </c>
      <c r="X51" s="22">
        <v>5</v>
      </c>
      <c r="Y51" s="22">
        <v>5</v>
      </c>
      <c r="Z51" s="22">
        <v>3</v>
      </c>
      <c r="AA51" s="22">
        <v>4</v>
      </c>
      <c r="AB51" s="22">
        <v>3</v>
      </c>
      <c r="AC51" s="22">
        <v>2</v>
      </c>
      <c r="AD51" s="22">
        <v>1</v>
      </c>
      <c r="AE51" s="22">
        <v>3</v>
      </c>
      <c r="AF51" s="22">
        <v>3</v>
      </c>
      <c r="AG51" s="22">
        <v>3</v>
      </c>
      <c r="AH51" s="22">
        <v>2</v>
      </c>
      <c r="AI51" s="22">
        <v>3</v>
      </c>
      <c r="AJ51" s="22">
        <v>3</v>
      </c>
      <c r="AK51" s="22">
        <v>4</v>
      </c>
      <c r="AL51" s="22">
        <v>2</v>
      </c>
      <c r="AM51" s="22">
        <v>1</v>
      </c>
      <c r="AN51" s="22">
        <v>3</v>
      </c>
      <c r="AO51" s="22">
        <v>2</v>
      </c>
      <c r="AP51" s="22">
        <v>4</v>
      </c>
      <c r="AQ51" s="22">
        <v>3</v>
      </c>
      <c r="AR51" s="22">
        <v>3</v>
      </c>
      <c r="AS51" s="22">
        <v>4</v>
      </c>
      <c r="AT51" s="22">
        <v>3</v>
      </c>
      <c r="AU51" s="22">
        <v>4</v>
      </c>
      <c r="AV51" s="22">
        <v>3</v>
      </c>
      <c r="AW51" s="22">
        <v>2</v>
      </c>
      <c r="AX51" s="22">
        <v>4</v>
      </c>
      <c r="AY51" s="22">
        <v>3</v>
      </c>
      <c r="AZ51" s="22">
        <v>4</v>
      </c>
      <c r="BA51" s="22">
        <v>4</v>
      </c>
      <c r="BB51" s="22">
        <v>3</v>
      </c>
      <c r="BC51" s="22">
        <v>5</v>
      </c>
      <c r="BD51" s="22">
        <v>2</v>
      </c>
      <c r="BE51" s="22">
        <v>3</v>
      </c>
      <c r="BF51" s="22">
        <v>4</v>
      </c>
      <c r="BG51" s="22">
        <v>3</v>
      </c>
      <c r="BH51" s="22">
        <v>4</v>
      </c>
      <c r="BI51" s="22">
        <v>2</v>
      </c>
      <c r="BJ51" s="22">
        <v>2</v>
      </c>
      <c r="BK51" s="22">
        <v>2</v>
      </c>
      <c r="BL51" s="22">
        <v>3</v>
      </c>
      <c r="BM51" s="22">
        <v>4</v>
      </c>
      <c r="BN51" s="22">
        <v>3</v>
      </c>
      <c r="BO51" s="22">
        <v>3</v>
      </c>
      <c r="BP51" s="22">
        <v>3</v>
      </c>
      <c r="BQ51" s="22">
        <v>3</v>
      </c>
      <c r="BR51" s="22">
        <v>4</v>
      </c>
      <c r="BS51" s="22">
        <v>3</v>
      </c>
      <c r="BT51" s="22">
        <v>3</v>
      </c>
      <c r="BU51" s="22">
        <v>3</v>
      </c>
      <c r="BV51" s="22">
        <v>3</v>
      </c>
      <c r="BW51" s="22">
        <v>4</v>
      </c>
      <c r="BX51" s="2" t="s">
        <v>301</v>
      </c>
      <c r="BY51" s="2" t="s">
        <v>32</v>
      </c>
      <c r="BZ51" s="2" t="s">
        <v>34</v>
      </c>
      <c r="CA51" s="2" t="s">
        <v>109</v>
      </c>
      <c r="CB51" s="24">
        <v>1</v>
      </c>
      <c r="CC51" s="2" t="s">
        <v>52</v>
      </c>
      <c r="CD51" s="2" t="s">
        <v>65</v>
      </c>
      <c r="CE51" s="2" t="s">
        <v>32</v>
      </c>
      <c r="CF51" s="24">
        <v>0</v>
      </c>
      <c r="CG51" s="24">
        <v>2</v>
      </c>
      <c r="CH51" s="2" t="s">
        <v>37</v>
      </c>
      <c r="CI51" s="2" t="s">
        <v>32</v>
      </c>
      <c r="CJ51" s="2" t="s">
        <v>32</v>
      </c>
      <c r="CK51" s="2" t="s">
        <v>38</v>
      </c>
      <c r="CL51" s="24">
        <v>1</v>
      </c>
      <c r="CM51" s="2" t="s">
        <v>45</v>
      </c>
      <c r="CN51" s="2" t="s">
        <v>32</v>
      </c>
    </row>
    <row r="52" spans="1:92" ht="14" customHeight="1" x14ac:dyDescent="0.35">
      <c r="A52" s="2" t="s">
        <v>306</v>
      </c>
      <c r="B52" t="str">
        <f t="shared" si="1"/>
        <v>p50</v>
      </c>
      <c r="C52" s="38">
        <v>45609.825115740743</v>
      </c>
      <c r="D52" s="38">
        <v>45609.834317129629</v>
      </c>
      <c r="E52" s="2" t="s">
        <v>302</v>
      </c>
      <c r="F52" s="24">
        <v>100</v>
      </c>
      <c r="G52" s="24">
        <v>795</v>
      </c>
      <c r="H52" s="2" t="s">
        <v>31</v>
      </c>
      <c r="I52" s="38">
        <v>45609.834333749997</v>
      </c>
      <c r="J52" s="2" t="s">
        <v>303</v>
      </c>
      <c r="K52" s="24">
        <v>56.470700000000001</v>
      </c>
      <c r="L52" s="24">
        <v>-3.0312000000000001</v>
      </c>
      <c r="M52" s="2" t="s">
        <v>33</v>
      </c>
      <c r="N52" s="2" t="s">
        <v>304</v>
      </c>
      <c r="O52" s="2" t="s">
        <v>305</v>
      </c>
      <c r="P52" s="22">
        <v>4</v>
      </c>
      <c r="Q52" s="22">
        <v>1</v>
      </c>
      <c r="R52" s="22">
        <v>3</v>
      </c>
      <c r="S52" s="22">
        <v>4</v>
      </c>
      <c r="T52" s="22">
        <v>3</v>
      </c>
      <c r="U52" s="22">
        <v>2</v>
      </c>
      <c r="V52" s="22">
        <v>2</v>
      </c>
      <c r="W52" s="22">
        <v>4</v>
      </c>
      <c r="X52" s="22">
        <v>1</v>
      </c>
      <c r="Y52" s="22">
        <v>3</v>
      </c>
      <c r="Z52" s="22">
        <v>1</v>
      </c>
      <c r="AA52" s="22">
        <v>3</v>
      </c>
      <c r="AB52" s="22">
        <v>3</v>
      </c>
      <c r="AC52" s="22">
        <v>5</v>
      </c>
      <c r="AD52" s="22">
        <v>4</v>
      </c>
      <c r="AE52" s="22">
        <v>4</v>
      </c>
      <c r="AF52" s="22">
        <v>3</v>
      </c>
      <c r="AG52" s="22">
        <v>3</v>
      </c>
      <c r="AH52" s="22">
        <v>5</v>
      </c>
      <c r="AI52" s="22">
        <v>1</v>
      </c>
      <c r="AJ52" s="22">
        <v>5</v>
      </c>
      <c r="AK52" s="22">
        <v>3</v>
      </c>
      <c r="AL52" s="22">
        <v>2</v>
      </c>
      <c r="AM52" s="22">
        <v>4</v>
      </c>
      <c r="AN52" s="22">
        <v>3</v>
      </c>
      <c r="AO52" s="22">
        <v>4</v>
      </c>
      <c r="AP52" s="22">
        <v>1</v>
      </c>
      <c r="AQ52" s="22">
        <v>2</v>
      </c>
      <c r="AR52" s="22">
        <v>3</v>
      </c>
      <c r="AS52" s="22">
        <v>3</v>
      </c>
      <c r="AT52" s="22">
        <v>4</v>
      </c>
      <c r="AU52" s="22">
        <v>2</v>
      </c>
      <c r="AV52" s="22">
        <v>3</v>
      </c>
      <c r="AW52" s="22">
        <v>3</v>
      </c>
      <c r="AX52" s="22">
        <v>2</v>
      </c>
      <c r="AY52" s="22">
        <v>4</v>
      </c>
      <c r="AZ52" s="22">
        <v>1</v>
      </c>
      <c r="BA52" s="22">
        <v>3</v>
      </c>
      <c r="BB52" s="22">
        <v>2</v>
      </c>
      <c r="BC52" s="22">
        <v>3</v>
      </c>
      <c r="BD52" s="22">
        <v>4</v>
      </c>
      <c r="BE52" s="22">
        <v>1</v>
      </c>
      <c r="BF52" s="22">
        <v>3</v>
      </c>
      <c r="BG52" s="22">
        <v>3</v>
      </c>
      <c r="BH52" s="22">
        <v>2</v>
      </c>
      <c r="BI52" s="22">
        <v>4</v>
      </c>
      <c r="BJ52" s="22">
        <v>3</v>
      </c>
      <c r="BK52" s="22">
        <v>1</v>
      </c>
      <c r="BL52" s="22">
        <v>1</v>
      </c>
      <c r="BM52" s="22">
        <v>1</v>
      </c>
      <c r="BN52" s="22">
        <v>3</v>
      </c>
      <c r="BO52" s="22">
        <v>3</v>
      </c>
      <c r="BP52" s="22">
        <v>2</v>
      </c>
      <c r="BQ52" s="22">
        <v>2</v>
      </c>
      <c r="BR52" s="22">
        <v>3</v>
      </c>
      <c r="BS52" s="22">
        <v>5</v>
      </c>
      <c r="BT52" s="22">
        <v>3</v>
      </c>
      <c r="BU52" s="22">
        <v>3</v>
      </c>
      <c r="BV52" s="22">
        <v>3</v>
      </c>
      <c r="BW52" s="22">
        <v>3</v>
      </c>
      <c r="BX52" s="2" t="s">
        <v>306</v>
      </c>
      <c r="BY52" s="2" t="s">
        <v>32</v>
      </c>
      <c r="BZ52" s="2" t="s">
        <v>34</v>
      </c>
      <c r="CA52" s="2" t="s">
        <v>35</v>
      </c>
      <c r="CB52" s="24">
        <v>0</v>
      </c>
      <c r="CC52" s="2" t="s">
        <v>52</v>
      </c>
      <c r="CD52" s="2" t="s">
        <v>51</v>
      </c>
      <c r="CE52" s="2" t="s">
        <v>32</v>
      </c>
      <c r="CF52" s="24">
        <v>0</v>
      </c>
      <c r="CG52" s="24">
        <v>2</v>
      </c>
      <c r="CH52" s="2" t="s">
        <v>37</v>
      </c>
      <c r="CI52" s="2" t="s">
        <v>32</v>
      </c>
      <c r="CJ52" s="2" t="s">
        <v>32</v>
      </c>
      <c r="CK52" s="2" t="s">
        <v>38</v>
      </c>
      <c r="CL52" s="24">
        <v>1</v>
      </c>
      <c r="CM52" s="2" t="s">
        <v>45</v>
      </c>
      <c r="CN52" s="2" t="s">
        <v>32</v>
      </c>
    </row>
    <row r="53" spans="1:92" ht="14" customHeight="1" x14ac:dyDescent="0.35">
      <c r="A53" s="2" t="s">
        <v>311</v>
      </c>
      <c r="B53" t="str">
        <f t="shared" si="1"/>
        <v>p51</v>
      </c>
      <c r="C53" s="38">
        <v>45609.893321759257</v>
      </c>
      <c r="D53" s="38">
        <v>45609.901354166665</v>
      </c>
      <c r="E53" s="2" t="s">
        <v>307</v>
      </c>
      <c r="F53" s="24">
        <v>100</v>
      </c>
      <c r="G53" s="24">
        <v>693</v>
      </c>
      <c r="H53" s="2" t="s">
        <v>31</v>
      </c>
      <c r="I53" s="38">
        <v>45609.901363622688</v>
      </c>
      <c r="J53" s="2" t="s">
        <v>308</v>
      </c>
      <c r="K53" s="24">
        <v>37.750999999999998</v>
      </c>
      <c r="L53" s="24">
        <v>-97.822000000000003</v>
      </c>
      <c r="M53" s="2" t="s">
        <v>33</v>
      </c>
      <c r="N53" s="2" t="s">
        <v>309</v>
      </c>
      <c r="O53" s="2" t="s">
        <v>310</v>
      </c>
      <c r="P53" s="22">
        <v>3</v>
      </c>
      <c r="Q53" s="22">
        <v>5</v>
      </c>
      <c r="R53" s="22">
        <v>2</v>
      </c>
      <c r="S53" s="22">
        <v>4</v>
      </c>
      <c r="T53" s="22">
        <v>5</v>
      </c>
      <c r="U53" s="22">
        <v>4</v>
      </c>
      <c r="V53" s="22">
        <v>4</v>
      </c>
      <c r="W53" s="22">
        <v>3</v>
      </c>
      <c r="X53" s="22">
        <v>3</v>
      </c>
      <c r="Y53" s="22">
        <v>4</v>
      </c>
      <c r="Z53" s="22">
        <v>4</v>
      </c>
      <c r="AA53" s="22">
        <v>4</v>
      </c>
      <c r="AB53" s="22">
        <v>5</v>
      </c>
      <c r="AC53" s="22">
        <v>2</v>
      </c>
      <c r="AD53" s="22">
        <v>4</v>
      </c>
      <c r="AE53" s="22">
        <v>1</v>
      </c>
      <c r="AF53" s="22">
        <v>2</v>
      </c>
      <c r="AG53" s="22">
        <v>3</v>
      </c>
      <c r="AH53" s="22">
        <v>2</v>
      </c>
      <c r="AI53" s="22">
        <v>2</v>
      </c>
      <c r="AJ53" s="22">
        <v>1</v>
      </c>
      <c r="AK53" s="22">
        <v>2</v>
      </c>
      <c r="AL53" s="22">
        <v>2</v>
      </c>
      <c r="AM53" s="22">
        <v>2</v>
      </c>
      <c r="AN53" s="22">
        <v>4</v>
      </c>
      <c r="AO53" s="22">
        <v>2</v>
      </c>
      <c r="AP53" s="22">
        <v>4</v>
      </c>
      <c r="AQ53" s="22">
        <v>4</v>
      </c>
      <c r="AR53" s="22">
        <v>2</v>
      </c>
      <c r="AS53" s="22">
        <v>2</v>
      </c>
      <c r="AT53" s="22">
        <v>3</v>
      </c>
      <c r="AU53" s="22">
        <v>3</v>
      </c>
      <c r="AV53" s="22">
        <v>2</v>
      </c>
      <c r="AW53" s="22">
        <v>3</v>
      </c>
      <c r="AX53" s="22">
        <v>4</v>
      </c>
      <c r="AY53" s="22">
        <v>2</v>
      </c>
      <c r="AZ53" s="22">
        <v>4</v>
      </c>
      <c r="BA53" s="22">
        <v>3</v>
      </c>
      <c r="BB53" s="22">
        <v>4</v>
      </c>
      <c r="BC53" s="22">
        <v>5</v>
      </c>
      <c r="BD53" s="22">
        <v>2</v>
      </c>
      <c r="BE53" s="22">
        <v>4</v>
      </c>
      <c r="BF53" s="22">
        <v>3</v>
      </c>
      <c r="BG53" s="22">
        <v>4</v>
      </c>
      <c r="BH53" s="22">
        <v>3</v>
      </c>
      <c r="BI53" s="22">
        <v>3</v>
      </c>
      <c r="BJ53" s="22">
        <v>3</v>
      </c>
      <c r="BK53" s="22">
        <v>4</v>
      </c>
      <c r="BL53" s="22">
        <v>3</v>
      </c>
      <c r="BM53" s="22">
        <v>5</v>
      </c>
      <c r="BN53" s="22">
        <v>2</v>
      </c>
      <c r="BO53" s="22">
        <v>3</v>
      </c>
      <c r="BP53" s="22">
        <v>2</v>
      </c>
      <c r="BQ53" s="22">
        <v>2</v>
      </c>
      <c r="BR53" s="22">
        <v>4</v>
      </c>
      <c r="BS53" s="22">
        <v>1</v>
      </c>
      <c r="BT53" s="22">
        <v>2</v>
      </c>
      <c r="BU53" s="22">
        <v>2</v>
      </c>
      <c r="BV53" s="22">
        <v>5</v>
      </c>
      <c r="BW53" s="22">
        <v>4</v>
      </c>
      <c r="BX53" s="2" t="s">
        <v>311</v>
      </c>
      <c r="BY53" s="2" t="s">
        <v>32</v>
      </c>
      <c r="BZ53" s="2" t="s">
        <v>34</v>
      </c>
      <c r="CA53" s="2" t="s">
        <v>35</v>
      </c>
      <c r="CB53" s="24">
        <v>0</v>
      </c>
      <c r="CC53" s="2" t="s">
        <v>36</v>
      </c>
      <c r="CD53" s="2" t="s">
        <v>53</v>
      </c>
      <c r="CE53" s="2" t="s">
        <v>32</v>
      </c>
      <c r="CF53" s="24">
        <v>0</v>
      </c>
      <c r="CG53" s="24">
        <v>2</v>
      </c>
      <c r="CH53" s="2" t="s">
        <v>37</v>
      </c>
      <c r="CI53" s="2" t="s">
        <v>32</v>
      </c>
      <c r="CJ53" s="2" t="s">
        <v>32</v>
      </c>
      <c r="CK53" s="2" t="s">
        <v>38</v>
      </c>
      <c r="CL53" s="24">
        <v>1</v>
      </c>
      <c r="CM53" s="2" t="s">
        <v>45</v>
      </c>
      <c r="CN53" s="2" t="s">
        <v>32</v>
      </c>
    </row>
    <row r="54" spans="1:92" ht="14" customHeight="1" x14ac:dyDescent="0.35">
      <c r="A54" s="2" t="s">
        <v>316</v>
      </c>
      <c r="B54" t="str">
        <f t="shared" si="1"/>
        <v>p52</v>
      </c>
      <c r="C54" s="38">
        <v>45610.605752314812</v>
      </c>
      <c r="D54" s="38">
        <v>45610.614710648151</v>
      </c>
      <c r="E54" s="2" t="s">
        <v>312</v>
      </c>
      <c r="F54" s="24">
        <v>100</v>
      </c>
      <c r="G54" s="24">
        <v>773</v>
      </c>
      <c r="H54" s="2" t="s">
        <v>31</v>
      </c>
      <c r="I54" s="38">
        <v>45610.61472140046</v>
      </c>
      <c r="J54" s="2" t="s">
        <v>313</v>
      </c>
      <c r="K54" s="24">
        <v>37.750999999999998</v>
      </c>
      <c r="L54" s="24">
        <v>-97.822000000000003</v>
      </c>
      <c r="M54" s="2" t="s">
        <v>33</v>
      </c>
      <c r="N54" s="2" t="s">
        <v>314</v>
      </c>
      <c r="O54" s="2" t="s">
        <v>315</v>
      </c>
      <c r="P54" s="22">
        <v>5</v>
      </c>
      <c r="Q54" s="22">
        <v>5</v>
      </c>
      <c r="R54" s="22">
        <v>1</v>
      </c>
      <c r="S54" s="22">
        <v>1</v>
      </c>
      <c r="T54" s="22">
        <v>4</v>
      </c>
      <c r="U54" s="22">
        <v>5</v>
      </c>
      <c r="V54" s="22">
        <v>5</v>
      </c>
      <c r="W54" s="22">
        <v>5</v>
      </c>
      <c r="X54" s="22">
        <v>1</v>
      </c>
      <c r="Y54" s="22">
        <v>5</v>
      </c>
      <c r="Z54" s="22">
        <v>5</v>
      </c>
      <c r="AA54" s="22">
        <v>5</v>
      </c>
      <c r="AB54" s="22">
        <v>2</v>
      </c>
      <c r="AC54" s="22">
        <v>1</v>
      </c>
      <c r="AD54" s="22">
        <v>2</v>
      </c>
      <c r="AE54" s="22">
        <v>1</v>
      </c>
      <c r="AF54" s="22">
        <v>1</v>
      </c>
      <c r="AG54" s="22">
        <v>5</v>
      </c>
      <c r="AH54" s="22">
        <v>1</v>
      </c>
      <c r="AI54" s="22">
        <v>1</v>
      </c>
      <c r="AJ54" s="22">
        <v>1</v>
      </c>
      <c r="AK54" s="22">
        <v>1</v>
      </c>
      <c r="AL54" s="22">
        <v>1</v>
      </c>
      <c r="AM54" s="22">
        <v>1</v>
      </c>
      <c r="AN54" s="22">
        <v>5</v>
      </c>
      <c r="AO54" s="22">
        <v>1</v>
      </c>
      <c r="AP54" s="22">
        <v>5</v>
      </c>
      <c r="AQ54" s="22">
        <v>5</v>
      </c>
      <c r="AR54" s="22">
        <v>3</v>
      </c>
      <c r="AS54" s="22">
        <v>3</v>
      </c>
      <c r="AT54" s="22">
        <v>3</v>
      </c>
      <c r="AU54" s="22">
        <v>5</v>
      </c>
      <c r="AV54" s="22">
        <v>1</v>
      </c>
      <c r="AW54" s="22">
        <v>5</v>
      </c>
      <c r="AX54" s="22">
        <v>5</v>
      </c>
      <c r="AY54" s="22">
        <v>1</v>
      </c>
      <c r="AZ54" s="22">
        <v>2</v>
      </c>
      <c r="BA54" s="22">
        <v>5</v>
      </c>
      <c r="BB54" s="22">
        <v>3</v>
      </c>
      <c r="BC54" s="22">
        <v>5</v>
      </c>
      <c r="BD54" s="22">
        <v>1</v>
      </c>
      <c r="BE54" s="22">
        <v>3</v>
      </c>
      <c r="BF54" s="22">
        <v>5</v>
      </c>
      <c r="BG54" s="22">
        <v>2</v>
      </c>
      <c r="BH54" s="22">
        <v>3</v>
      </c>
      <c r="BI54" s="22">
        <v>1</v>
      </c>
      <c r="BJ54" s="22">
        <v>2</v>
      </c>
      <c r="BK54" s="22">
        <v>5</v>
      </c>
      <c r="BL54" s="22">
        <v>5</v>
      </c>
      <c r="BM54" s="22">
        <v>5</v>
      </c>
      <c r="BN54" s="22">
        <v>1</v>
      </c>
      <c r="BO54" s="22">
        <v>5</v>
      </c>
      <c r="BP54" s="22">
        <v>1</v>
      </c>
      <c r="BQ54" s="22">
        <v>2</v>
      </c>
      <c r="BR54" s="22">
        <v>5</v>
      </c>
      <c r="BS54" s="22">
        <v>3</v>
      </c>
      <c r="BT54" s="22">
        <v>1</v>
      </c>
      <c r="BU54" s="22">
        <v>2</v>
      </c>
      <c r="BV54" s="22">
        <v>5</v>
      </c>
      <c r="BW54" s="22">
        <v>5</v>
      </c>
      <c r="BX54" s="2" t="s">
        <v>316</v>
      </c>
      <c r="BY54" s="2" t="s">
        <v>32</v>
      </c>
      <c r="BZ54" s="2" t="s">
        <v>34</v>
      </c>
      <c r="CA54" s="2" t="s">
        <v>35</v>
      </c>
      <c r="CB54" s="24">
        <v>0</v>
      </c>
      <c r="CC54" s="2" t="s">
        <v>36</v>
      </c>
      <c r="CD54" s="2" t="s">
        <v>65</v>
      </c>
      <c r="CE54" s="2" t="s">
        <v>32</v>
      </c>
      <c r="CF54" s="24">
        <v>0</v>
      </c>
      <c r="CG54" s="24">
        <v>2</v>
      </c>
      <c r="CH54" s="2" t="s">
        <v>37</v>
      </c>
      <c r="CI54" s="2" t="s">
        <v>32</v>
      </c>
      <c r="CJ54" s="2" t="s">
        <v>32</v>
      </c>
      <c r="CK54" s="2" t="s">
        <v>38</v>
      </c>
      <c r="CL54" s="24">
        <v>1</v>
      </c>
      <c r="CM54" s="2" t="s">
        <v>45</v>
      </c>
      <c r="CN54" s="2" t="s">
        <v>32</v>
      </c>
    </row>
    <row r="55" spans="1:92" ht="14" customHeight="1" x14ac:dyDescent="0.35">
      <c r="A55" s="2" t="s">
        <v>331</v>
      </c>
      <c r="B55" t="str">
        <f t="shared" si="1"/>
        <v>p53</v>
      </c>
      <c r="C55" s="38">
        <v>45610.758703703701</v>
      </c>
      <c r="D55" s="38">
        <v>45610.765520833331</v>
      </c>
      <c r="E55" s="2" t="s">
        <v>327</v>
      </c>
      <c r="F55" s="24">
        <v>100</v>
      </c>
      <c r="G55" s="24">
        <v>588</v>
      </c>
      <c r="H55" s="2" t="s">
        <v>31</v>
      </c>
      <c r="I55" s="38">
        <v>45610.765535787039</v>
      </c>
      <c r="J55" s="2" t="s">
        <v>328</v>
      </c>
      <c r="K55" s="24">
        <v>51.464700000000001</v>
      </c>
      <c r="L55" s="24">
        <v>-5.0900000000000001E-2</v>
      </c>
      <c r="M55" s="2" t="s">
        <v>33</v>
      </c>
      <c r="N55" s="2" t="s">
        <v>329</v>
      </c>
      <c r="O55" s="2" t="s">
        <v>330</v>
      </c>
      <c r="P55" s="22">
        <v>5</v>
      </c>
      <c r="Q55" s="22">
        <v>4</v>
      </c>
      <c r="R55" s="22">
        <v>4</v>
      </c>
      <c r="S55" s="22">
        <v>5</v>
      </c>
      <c r="T55" s="22">
        <v>3</v>
      </c>
      <c r="U55" s="22">
        <v>1</v>
      </c>
      <c r="V55" s="22">
        <v>2</v>
      </c>
      <c r="W55" s="22">
        <v>4</v>
      </c>
      <c r="X55" s="22">
        <v>1</v>
      </c>
      <c r="Y55" s="22">
        <v>5</v>
      </c>
      <c r="Z55" s="22">
        <v>4</v>
      </c>
      <c r="AA55" s="22">
        <v>3</v>
      </c>
      <c r="AB55" s="22">
        <v>2</v>
      </c>
      <c r="AC55" s="22">
        <v>4</v>
      </c>
      <c r="AD55" s="22">
        <v>2</v>
      </c>
      <c r="AE55" s="22">
        <v>4</v>
      </c>
      <c r="AF55" s="22">
        <v>3</v>
      </c>
      <c r="AG55" s="22">
        <v>2</v>
      </c>
      <c r="AH55" s="22">
        <v>4</v>
      </c>
      <c r="AI55" s="22">
        <v>1</v>
      </c>
      <c r="AJ55" s="22">
        <v>2</v>
      </c>
      <c r="AK55" s="22">
        <v>4</v>
      </c>
      <c r="AL55" s="22">
        <v>3</v>
      </c>
      <c r="AM55" s="22">
        <v>3</v>
      </c>
      <c r="AN55" s="22">
        <v>4</v>
      </c>
      <c r="AO55" s="22">
        <v>3</v>
      </c>
      <c r="AP55" s="22">
        <v>1</v>
      </c>
      <c r="AQ55" s="22">
        <v>4</v>
      </c>
      <c r="AR55" s="22">
        <v>2</v>
      </c>
      <c r="AS55" s="22">
        <v>3</v>
      </c>
      <c r="AT55" s="22">
        <v>4</v>
      </c>
      <c r="AU55" s="22">
        <v>2</v>
      </c>
      <c r="AV55" s="22">
        <v>5</v>
      </c>
      <c r="AW55" s="22">
        <v>2</v>
      </c>
      <c r="AX55" s="22">
        <v>4</v>
      </c>
      <c r="AY55" s="22">
        <v>3</v>
      </c>
      <c r="AZ55" s="22">
        <v>2</v>
      </c>
      <c r="BA55" s="22">
        <v>3</v>
      </c>
      <c r="BB55" s="22">
        <v>2</v>
      </c>
      <c r="BC55" s="22">
        <v>2</v>
      </c>
      <c r="BD55" s="22">
        <v>4</v>
      </c>
      <c r="BE55" s="22">
        <v>1</v>
      </c>
      <c r="BF55" s="22">
        <v>5</v>
      </c>
      <c r="BG55" s="22">
        <v>3</v>
      </c>
      <c r="BH55" s="22">
        <v>2</v>
      </c>
      <c r="BI55" s="22">
        <v>4</v>
      </c>
      <c r="BJ55" s="22">
        <v>3</v>
      </c>
      <c r="BK55" s="22">
        <v>3</v>
      </c>
      <c r="BL55" s="22">
        <v>2</v>
      </c>
      <c r="BM55" s="22">
        <v>2</v>
      </c>
      <c r="BN55" s="22">
        <v>4</v>
      </c>
      <c r="BO55" s="22">
        <v>3</v>
      </c>
      <c r="BP55" s="22">
        <v>3</v>
      </c>
      <c r="BQ55" s="22">
        <v>2</v>
      </c>
      <c r="BR55" s="22">
        <v>2</v>
      </c>
      <c r="BS55" s="22">
        <v>2</v>
      </c>
      <c r="BT55" s="22">
        <v>4</v>
      </c>
      <c r="BU55" s="22">
        <v>1</v>
      </c>
      <c r="BV55" s="22">
        <v>3</v>
      </c>
      <c r="BW55" s="22">
        <v>5</v>
      </c>
      <c r="BX55" s="2" t="s">
        <v>331</v>
      </c>
      <c r="BY55" s="2" t="s">
        <v>32</v>
      </c>
      <c r="BZ55" s="2" t="s">
        <v>34</v>
      </c>
      <c r="CA55" s="2" t="s">
        <v>35</v>
      </c>
      <c r="CB55" s="24">
        <v>0</v>
      </c>
      <c r="CC55" s="2" t="s">
        <v>52</v>
      </c>
      <c r="CD55" s="2" t="s">
        <v>51</v>
      </c>
      <c r="CE55" s="2" t="s">
        <v>32</v>
      </c>
      <c r="CF55" s="24">
        <v>0</v>
      </c>
      <c r="CG55" s="24">
        <v>2</v>
      </c>
      <c r="CH55" s="2" t="s">
        <v>37</v>
      </c>
      <c r="CI55" s="2" t="s">
        <v>32</v>
      </c>
      <c r="CJ55" s="2" t="s">
        <v>32</v>
      </c>
      <c r="CK55" s="2" t="s">
        <v>38</v>
      </c>
      <c r="CL55" s="24">
        <v>1</v>
      </c>
      <c r="CM55" s="2" t="s">
        <v>45</v>
      </c>
      <c r="CN55" s="2" t="s">
        <v>32</v>
      </c>
    </row>
    <row r="56" spans="1:92" ht="14" customHeight="1" x14ac:dyDescent="0.35">
      <c r="A56" s="2" t="s">
        <v>326</v>
      </c>
      <c r="B56" t="str">
        <f t="shared" si="1"/>
        <v>p54</v>
      </c>
      <c r="C56" s="38">
        <v>45610.758715277778</v>
      </c>
      <c r="D56" s="38">
        <v>45610.763067129628</v>
      </c>
      <c r="E56" s="2" t="s">
        <v>322</v>
      </c>
      <c r="F56" s="24">
        <v>100</v>
      </c>
      <c r="G56" s="24">
        <v>375</v>
      </c>
      <c r="H56" s="2" t="s">
        <v>31</v>
      </c>
      <c r="I56" s="38">
        <v>45610.763074537041</v>
      </c>
      <c r="J56" s="2" t="s">
        <v>323</v>
      </c>
      <c r="K56" s="24">
        <v>51.314900000000002</v>
      </c>
      <c r="L56" s="24">
        <v>3.6900000000000002E-2</v>
      </c>
      <c r="M56" s="2" t="s">
        <v>33</v>
      </c>
      <c r="N56" s="2" t="s">
        <v>324</v>
      </c>
      <c r="O56" s="2" t="s">
        <v>325</v>
      </c>
      <c r="P56" s="22">
        <v>4</v>
      </c>
      <c r="Q56" s="22">
        <v>3</v>
      </c>
      <c r="R56" s="22">
        <v>4</v>
      </c>
      <c r="S56" s="22">
        <v>3</v>
      </c>
      <c r="T56" s="22">
        <v>4</v>
      </c>
      <c r="U56" s="22">
        <v>3</v>
      </c>
      <c r="V56" s="22">
        <v>4</v>
      </c>
      <c r="W56" s="22">
        <v>3</v>
      </c>
      <c r="X56" s="22">
        <v>3</v>
      </c>
      <c r="Y56" s="22">
        <v>4</v>
      </c>
      <c r="Z56" s="22">
        <v>4</v>
      </c>
      <c r="AA56" s="22">
        <v>4</v>
      </c>
      <c r="AB56" s="22">
        <v>4</v>
      </c>
      <c r="AC56" s="22">
        <v>5</v>
      </c>
      <c r="AD56" s="22">
        <v>2</v>
      </c>
      <c r="AE56" s="22">
        <v>4</v>
      </c>
      <c r="AF56" s="22">
        <v>3</v>
      </c>
      <c r="AG56" s="22">
        <v>3</v>
      </c>
      <c r="AH56" s="22">
        <v>3</v>
      </c>
      <c r="AI56" s="22">
        <v>3</v>
      </c>
      <c r="AJ56" s="22">
        <v>5</v>
      </c>
      <c r="AK56" s="22">
        <v>4</v>
      </c>
      <c r="AL56" s="22">
        <v>4</v>
      </c>
      <c r="AM56" s="22">
        <v>4</v>
      </c>
      <c r="AN56" s="22">
        <v>3</v>
      </c>
      <c r="AO56" s="22">
        <v>3</v>
      </c>
      <c r="AP56" s="22">
        <v>4</v>
      </c>
      <c r="AQ56" s="22">
        <v>4</v>
      </c>
      <c r="AR56" s="22">
        <v>3</v>
      </c>
      <c r="AS56" s="22">
        <v>4</v>
      </c>
      <c r="AT56" s="22">
        <v>4</v>
      </c>
      <c r="AU56" s="22">
        <v>4</v>
      </c>
      <c r="AV56" s="22">
        <v>4</v>
      </c>
      <c r="AW56" s="22">
        <v>3</v>
      </c>
      <c r="AX56" s="22">
        <v>4</v>
      </c>
      <c r="AY56" s="22">
        <v>4</v>
      </c>
      <c r="AZ56" s="22">
        <v>3</v>
      </c>
      <c r="BA56" s="22">
        <v>4</v>
      </c>
      <c r="BB56" s="22">
        <v>4</v>
      </c>
      <c r="BC56" s="22">
        <v>4</v>
      </c>
      <c r="BD56" s="22">
        <v>4</v>
      </c>
      <c r="BE56" s="22">
        <v>4</v>
      </c>
      <c r="BF56" s="22">
        <v>4</v>
      </c>
      <c r="BG56" s="22">
        <v>4</v>
      </c>
      <c r="BH56" s="22">
        <v>4</v>
      </c>
      <c r="BI56" s="22">
        <v>3</v>
      </c>
      <c r="BJ56" s="22">
        <v>4</v>
      </c>
      <c r="BK56" s="22">
        <v>1</v>
      </c>
      <c r="BL56" s="22">
        <v>4</v>
      </c>
      <c r="BM56" s="22">
        <v>4</v>
      </c>
      <c r="BN56" s="22">
        <v>3</v>
      </c>
      <c r="BO56" s="22">
        <v>4</v>
      </c>
      <c r="BP56" s="22">
        <v>3</v>
      </c>
      <c r="BQ56" s="22">
        <v>4</v>
      </c>
      <c r="BR56" s="22">
        <v>4</v>
      </c>
      <c r="BS56" s="22">
        <v>4</v>
      </c>
      <c r="BT56" s="22">
        <v>3</v>
      </c>
      <c r="BU56" s="22">
        <v>2</v>
      </c>
      <c r="BV56" s="22">
        <v>4</v>
      </c>
      <c r="BW56" s="22">
        <v>4</v>
      </c>
      <c r="BX56" s="2" t="s">
        <v>326</v>
      </c>
      <c r="BY56" s="2" t="s">
        <v>32</v>
      </c>
      <c r="BZ56" s="2" t="s">
        <v>34</v>
      </c>
      <c r="CA56" s="2" t="s">
        <v>35</v>
      </c>
      <c r="CB56" s="24">
        <v>0</v>
      </c>
      <c r="CC56" s="2" t="s">
        <v>64</v>
      </c>
      <c r="CD56" s="2" t="s">
        <v>65</v>
      </c>
      <c r="CE56" s="2" t="s">
        <v>32</v>
      </c>
      <c r="CF56" s="24">
        <v>0</v>
      </c>
      <c r="CG56" s="24">
        <v>2</v>
      </c>
      <c r="CH56" s="2" t="s">
        <v>37</v>
      </c>
      <c r="CI56" s="2" t="s">
        <v>32</v>
      </c>
      <c r="CJ56" s="2" t="s">
        <v>32</v>
      </c>
      <c r="CK56" s="2" t="s">
        <v>38</v>
      </c>
      <c r="CL56" s="24">
        <v>1</v>
      </c>
      <c r="CM56" s="2" t="s">
        <v>45</v>
      </c>
      <c r="CN56" s="2" t="s">
        <v>32</v>
      </c>
    </row>
    <row r="57" spans="1:92" ht="14" customHeight="1" x14ac:dyDescent="0.35">
      <c r="A57" s="2" t="s">
        <v>341</v>
      </c>
      <c r="B57" t="str">
        <f t="shared" si="1"/>
        <v>p55</v>
      </c>
      <c r="C57" s="38">
        <v>45610.758738425924</v>
      </c>
      <c r="D57" s="38">
        <v>45610.770925925928</v>
      </c>
      <c r="E57" s="2" t="s">
        <v>337</v>
      </c>
      <c r="F57" s="24">
        <v>100</v>
      </c>
      <c r="G57" s="24">
        <v>1053</v>
      </c>
      <c r="H57" s="2" t="s">
        <v>31</v>
      </c>
      <c r="I57" s="38">
        <v>45610.770937280089</v>
      </c>
      <c r="J57" s="2" t="s">
        <v>338</v>
      </c>
      <c r="K57" s="24">
        <v>51.435099999999998</v>
      </c>
      <c r="L57" s="24">
        <v>-2.5419</v>
      </c>
      <c r="M57" s="2" t="s">
        <v>33</v>
      </c>
      <c r="N57" s="2" t="s">
        <v>339</v>
      </c>
      <c r="O57" s="2" t="s">
        <v>340</v>
      </c>
      <c r="P57" s="22">
        <v>4</v>
      </c>
      <c r="Q57" s="22">
        <v>3</v>
      </c>
      <c r="R57" s="22">
        <v>2</v>
      </c>
      <c r="S57" s="22">
        <v>3</v>
      </c>
      <c r="T57" s="22">
        <v>3</v>
      </c>
      <c r="U57" s="22">
        <v>1</v>
      </c>
      <c r="V57" s="22">
        <v>2</v>
      </c>
      <c r="W57" s="22">
        <v>2</v>
      </c>
      <c r="X57" s="22">
        <v>1</v>
      </c>
      <c r="Y57" s="22">
        <v>3</v>
      </c>
      <c r="Z57" s="22">
        <v>1</v>
      </c>
      <c r="AA57" s="22">
        <v>3</v>
      </c>
      <c r="AB57" s="22">
        <v>2</v>
      </c>
      <c r="AC57" s="22">
        <v>5</v>
      </c>
      <c r="AD57" s="22">
        <v>1</v>
      </c>
      <c r="AE57" s="22">
        <v>4</v>
      </c>
      <c r="AF57" s="22">
        <v>4</v>
      </c>
      <c r="AG57" s="22">
        <v>4</v>
      </c>
      <c r="AH57" s="22">
        <v>4</v>
      </c>
      <c r="AI57" s="22">
        <v>1</v>
      </c>
      <c r="AJ57" s="22">
        <v>1</v>
      </c>
      <c r="AK57" s="22">
        <v>3</v>
      </c>
      <c r="AL57" s="22">
        <v>1</v>
      </c>
      <c r="AM57" s="22">
        <v>3</v>
      </c>
      <c r="AN57" s="22">
        <v>3</v>
      </c>
      <c r="AO57" s="22">
        <v>1</v>
      </c>
      <c r="AP57" s="22">
        <v>3</v>
      </c>
      <c r="AQ57" s="22">
        <v>4</v>
      </c>
      <c r="AR57" s="22">
        <v>4</v>
      </c>
      <c r="AS57" s="22">
        <v>4</v>
      </c>
      <c r="AT57" s="22">
        <v>4</v>
      </c>
      <c r="AU57" s="22">
        <v>4</v>
      </c>
      <c r="AV57" s="22">
        <v>1</v>
      </c>
      <c r="AW57" s="22">
        <v>4</v>
      </c>
      <c r="AX57" s="22">
        <v>3</v>
      </c>
      <c r="AY57" s="22">
        <v>3</v>
      </c>
      <c r="AZ57" s="22">
        <v>1</v>
      </c>
      <c r="BA57" s="22">
        <v>1</v>
      </c>
      <c r="BB57" s="22">
        <v>1</v>
      </c>
      <c r="BC57" s="22">
        <v>4</v>
      </c>
      <c r="BD57" s="22">
        <v>3</v>
      </c>
      <c r="BE57" s="22">
        <v>1</v>
      </c>
      <c r="BF57" s="22">
        <v>3</v>
      </c>
      <c r="BG57" s="22">
        <v>1</v>
      </c>
      <c r="BH57" s="22">
        <v>3</v>
      </c>
      <c r="BI57" s="22">
        <v>4</v>
      </c>
      <c r="BJ57" s="22">
        <v>2</v>
      </c>
      <c r="BK57" s="22">
        <v>5</v>
      </c>
      <c r="BL57" s="22">
        <v>2</v>
      </c>
      <c r="BM57" s="22">
        <v>4</v>
      </c>
      <c r="BN57" s="22">
        <v>1</v>
      </c>
      <c r="BO57" s="22">
        <v>4</v>
      </c>
      <c r="BP57" s="22">
        <v>2</v>
      </c>
      <c r="BQ57" s="22">
        <v>2</v>
      </c>
      <c r="BR57" s="22">
        <v>4</v>
      </c>
      <c r="BS57" s="22">
        <v>1</v>
      </c>
      <c r="BT57" s="22">
        <v>3</v>
      </c>
      <c r="BU57" s="22">
        <v>4</v>
      </c>
      <c r="BV57" s="22">
        <v>5</v>
      </c>
      <c r="BW57" s="22">
        <v>4</v>
      </c>
      <c r="BX57" s="2" t="s">
        <v>341</v>
      </c>
      <c r="BY57" s="2" t="s">
        <v>32</v>
      </c>
      <c r="BZ57" s="2" t="s">
        <v>230</v>
      </c>
      <c r="CA57" s="2" t="s">
        <v>35</v>
      </c>
      <c r="CB57" s="24">
        <v>0</v>
      </c>
      <c r="CC57" s="2" t="s">
        <v>36</v>
      </c>
      <c r="CD57" s="2" t="s">
        <v>65</v>
      </c>
      <c r="CE57" s="2" t="s">
        <v>32</v>
      </c>
      <c r="CF57" s="24">
        <v>0</v>
      </c>
      <c r="CG57" s="24">
        <v>0</v>
      </c>
      <c r="CH57" s="2" t="s">
        <v>35</v>
      </c>
      <c r="CI57" s="2" t="s">
        <v>32</v>
      </c>
      <c r="CJ57" s="2" t="s">
        <v>32</v>
      </c>
      <c r="CK57" s="2" t="s">
        <v>38</v>
      </c>
      <c r="CL57" s="24">
        <v>1</v>
      </c>
      <c r="CM57" s="2" t="s">
        <v>45</v>
      </c>
      <c r="CN57" s="2" t="s">
        <v>32</v>
      </c>
    </row>
    <row r="58" spans="1:92" ht="14" customHeight="1" x14ac:dyDescent="0.35">
      <c r="A58" s="2" t="s">
        <v>336</v>
      </c>
      <c r="B58" t="str">
        <f t="shared" si="1"/>
        <v>p56</v>
      </c>
      <c r="C58" s="38">
        <v>45610.758888888886</v>
      </c>
      <c r="D58" s="38">
        <v>45610.768865740742</v>
      </c>
      <c r="E58" s="2" t="s">
        <v>332</v>
      </c>
      <c r="F58" s="24">
        <v>100</v>
      </c>
      <c r="G58" s="24">
        <v>861</v>
      </c>
      <c r="H58" s="2" t="s">
        <v>31</v>
      </c>
      <c r="I58" s="38">
        <v>45610.768877812501</v>
      </c>
      <c r="J58" s="2" t="s">
        <v>333</v>
      </c>
      <c r="K58" s="24">
        <v>53.755200000000002</v>
      </c>
      <c r="L58" s="24">
        <v>-1.7594000000000001</v>
      </c>
      <c r="M58" s="2" t="s">
        <v>33</v>
      </c>
      <c r="N58" s="2" t="s">
        <v>334</v>
      </c>
      <c r="O58" s="2" t="s">
        <v>335</v>
      </c>
      <c r="P58" s="22">
        <v>5</v>
      </c>
      <c r="Q58" s="22">
        <v>5</v>
      </c>
      <c r="R58" s="22">
        <v>3</v>
      </c>
      <c r="S58" s="22">
        <v>5</v>
      </c>
      <c r="T58" s="22">
        <v>4</v>
      </c>
      <c r="U58" s="22">
        <v>5</v>
      </c>
      <c r="V58" s="22">
        <v>4</v>
      </c>
      <c r="W58" s="22">
        <v>3</v>
      </c>
      <c r="X58" s="22">
        <v>3</v>
      </c>
      <c r="Y58" s="22">
        <v>5</v>
      </c>
      <c r="Z58" s="22">
        <v>3</v>
      </c>
      <c r="AA58" s="22">
        <v>5</v>
      </c>
      <c r="AB58" s="22">
        <v>4</v>
      </c>
      <c r="AC58" s="22">
        <v>3</v>
      </c>
      <c r="AD58" s="22">
        <v>1</v>
      </c>
      <c r="AE58" s="22">
        <v>4</v>
      </c>
      <c r="AF58" s="22">
        <v>1</v>
      </c>
      <c r="AG58" s="22">
        <v>3</v>
      </c>
      <c r="AH58" s="22">
        <v>3</v>
      </c>
      <c r="AI58" s="22">
        <v>1</v>
      </c>
      <c r="AJ58" s="22">
        <v>1</v>
      </c>
      <c r="AK58" s="22">
        <v>5</v>
      </c>
      <c r="AL58" s="22">
        <v>2</v>
      </c>
      <c r="AM58" s="22">
        <v>3</v>
      </c>
      <c r="AN58" s="22">
        <v>3</v>
      </c>
      <c r="AO58" s="22">
        <v>1</v>
      </c>
      <c r="AP58" s="22">
        <v>5</v>
      </c>
      <c r="AQ58" s="22">
        <v>4</v>
      </c>
      <c r="AR58" s="22">
        <v>1</v>
      </c>
      <c r="AS58" s="22">
        <v>4</v>
      </c>
      <c r="AT58" s="22">
        <v>1</v>
      </c>
      <c r="AU58" s="22">
        <v>5</v>
      </c>
      <c r="AV58" s="22">
        <v>1</v>
      </c>
      <c r="AW58" s="22">
        <v>4</v>
      </c>
      <c r="AX58" s="22">
        <v>5</v>
      </c>
      <c r="AY58" s="22">
        <v>2</v>
      </c>
      <c r="AZ58" s="22">
        <v>5</v>
      </c>
      <c r="BA58" s="22">
        <v>5</v>
      </c>
      <c r="BB58" s="22">
        <v>2</v>
      </c>
      <c r="BC58" s="22">
        <v>5</v>
      </c>
      <c r="BD58" s="22">
        <v>1</v>
      </c>
      <c r="BE58" s="22">
        <v>5</v>
      </c>
      <c r="BF58" s="22">
        <v>4</v>
      </c>
      <c r="BG58" s="22">
        <v>3</v>
      </c>
      <c r="BH58" s="22">
        <v>5</v>
      </c>
      <c r="BI58" s="22">
        <v>3</v>
      </c>
      <c r="BJ58" s="22">
        <v>3</v>
      </c>
      <c r="BK58" s="22">
        <v>5</v>
      </c>
      <c r="BL58" s="22">
        <v>3</v>
      </c>
      <c r="BM58" s="22">
        <v>5</v>
      </c>
      <c r="BN58" s="22">
        <v>2</v>
      </c>
      <c r="BO58" s="22">
        <v>5</v>
      </c>
      <c r="BP58" s="22">
        <v>1</v>
      </c>
      <c r="BQ58" s="22">
        <v>3</v>
      </c>
      <c r="BR58" s="22">
        <v>3</v>
      </c>
      <c r="BS58" s="22">
        <v>1</v>
      </c>
      <c r="BT58" s="22">
        <v>1</v>
      </c>
      <c r="BU58" s="22">
        <v>3</v>
      </c>
      <c r="BV58" s="22">
        <v>5</v>
      </c>
      <c r="BW58" s="22">
        <v>4</v>
      </c>
      <c r="BX58" s="2" t="s">
        <v>336</v>
      </c>
      <c r="BY58" s="2" t="s">
        <v>32</v>
      </c>
      <c r="BZ58" s="2" t="s">
        <v>34</v>
      </c>
      <c r="CA58" s="2" t="s">
        <v>35</v>
      </c>
      <c r="CB58" s="24">
        <v>0</v>
      </c>
      <c r="CC58" s="2" t="s">
        <v>52</v>
      </c>
      <c r="CD58" s="2" t="s">
        <v>65</v>
      </c>
      <c r="CE58" s="2" t="s">
        <v>32</v>
      </c>
      <c r="CF58" s="24">
        <v>0</v>
      </c>
      <c r="CG58" s="24">
        <v>2</v>
      </c>
      <c r="CH58" s="2" t="s">
        <v>37</v>
      </c>
      <c r="CI58" s="2" t="s">
        <v>32</v>
      </c>
      <c r="CJ58" s="2" t="s">
        <v>32</v>
      </c>
      <c r="CK58" s="2" t="s">
        <v>38</v>
      </c>
      <c r="CL58" s="24">
        <v>1</v>
      </c>
      <c r="CM58" s="2" t="s">
        <v>45</v>
      </c>
      <c r="CN58" s="2" t="s">
        <v>32</v>
      </c>
    </row>
    <row r="59" spans="1:92" ht="14" customHeight="1" x14ac:dyDescent="0.35">
      <c r="A59" s="2" t="s">
        <v>321</v>
      </c>
      <c r="B59" t="str">
        <f t="shared" si="1"/>
        <v>p57</v>
      </c>
      <c r="C59" s="38">
        <v>45610.758935185186</v>
      </c>
      <c r="D59" s="38">
        <v>45610.762256944443</v>
      </c>
      <c r="E59" s="2" t="s">
        <v>317</v>
      </c>
      <c r="F59" s="24">
        <v>100</v>
      </c>
      <c r="G59" s="24">
        <v>286</v>
      </c>
      <c r="H59" s="2" t="s">
        <v>31</v>
      </c>
      <c r="I59" s="38">
        <v>45610.762267013888</v>
      </c>
      <c r="J59" s="2" t="s">
        <v>318</v>
      </c>
      <c r="K59" s="24">
        <v>51.5565</v>
      </c>
      <c r="L59" s="24">
        <v>-3.3557999999999999</v>
      </c>
      <c r="M59" s="2" t="s">
        <v>33</v>
      </c>
      <c r="N59" s="2" t="s">
        <v>319</v>
      </c>
      <c r="O59" s="2" t="s">
        <v>320</v>
      </c>
      <c r="P59" s="22">
        <v>5</v>
      </c>
      <c r="Q59" s="22">
        <v>4</v>
      </c>
      <c r="R59" s="22">
        <v>4</v>
      </c>
      <c r="S59" s="22">
        <v>5</v>
      </c>
      <c r="T59" s="22">
        <v>5</v>
      </c>
      <c r="U59" s="22">
        <v>5</v>
      </c>
      <c r="V59" s="22">
        <v>5</v>
      </c>
      <c r="W59" s="22">
        <v>4</v>
      </c>
      <c r="X59" s="22">
        <v>4</v>
      </c>
      <c r="Y59" s="22">
        <v>4</v>
      </c>
      <c r="Z59" s="22">
        <v>5</v>
      </c>
      <c r="AA59" s="22">
        <v>5</v>
      </c>
      <c r="AB59" s="22">
        <v>5</v>
      </c>
      <c r="AC59" s="22">
        <v>5</v>
      </c>
      <c r="AD59" s="22">
        <v>5</v>
      </c>
      <c r="AE59" s="22">
        <v>4</v>
      </c>
      <c r="AF59" s="22">
        <v>4</v>
      </c>
      <c r="AG59" s="22">
        <v>5</v>
      </c>
      <c r="AH59" s="22">
        <v>5</v>
      </c>
      <c r="AI59" s="22">
        <v>5</v>
      </c>
      <c r="AJ59" s="22">
        <v>5</v>
      </c>
      <c r="AK59" s="22">
        <v>5</v>
      </c>
      <c r="AL59" s="22">
        <v>5</v>
      </c>
      <c r="AM59" s="22">
        <v>5</v>
      </c>
      <c r="AN59" s="22">
        <v>5</v>
      </c>
      <c r="AO59" s="22">
        <v>3</v>
      </c>
      <c r="AP59" s="22">
        <v>5</v>
      </c>
      <c r="AQ59" s="22">
        <v>5</v>
      </c>
      <c r="AR59" s="22">
        <v>4</v>
      </c>
      <c r="AS59" s="22">
        <v>4</v>
      </c>
      <c r="AT59" s="22">
        <v>4</v>
      </c>
      <c r="AU59" s="22">
        <v>4</v>
      </c>
      <c r="AV59" s="22">
        <v>3</v>
      </c>
      <c r="AW59" s="22">
        <v>5</v>
      </c>
      <c r="AX59" s="22">
        <v>5</v>
      </c>
      <c r="AY59" s="22">
        <v>5</v>
      </c>
      <c r="AZ59" s="22">
        <v>5</v>
      </c>
      <c r="BA59" s="22">
        <v>5</v>
      </c>
      <c r="BB59" s="22">
        <v>5</v>
      </c>
      <c r="BC59" s="22">
        <v>5</v>
      </c>
      <c r="BD59" s="22">
        <v>5</v>
      </c>
      <c r="BE59" s="22">
        <v>5</v>
      </c>
      <c r="BF59" s="22">
        <v>5</v>
      </c>
      <c r="BG59" s="22">
        <v>3</v>
      </c>
      <c r="BH59" s="22">
        <v>5</v>
      </c>
      <c r="BI59" s="22">
        <v>3</v>
      </c>
      <c r="BJ59" s="22">
        <v>5</v>
      </c>
      <c r="BK59" s="22">
        <v>5</v>
      </c>
      <c r="BL59" s="22">
        <v>5</v>
      </c>
      <c r="BM59" s="22">
        <v>5</v>
      </c>
      <c r="BN59" s="22">
        <v>5</v>
      </c>
      <c r="BO59" s="22">
        <v>5</v>
      </c>
      <c r="BP59" s="22">
        <v>4</v>
      </c>
      <c r="BQ59" s="22">
        <v>5</v>
      </c>
      <c r="BR59" s="22">
        <v>5</v>
      </c>
      <c r="BS59" s="22">
        <v>5</v>
      </c>
      <c r="BT59" s="22">
        <v>5</v>
      </c>
      <c r="BU59" s="22">
        <v>5</v>
      </c>
      <c r="BV59" s="22">
        <v>5</v>
      </c>
      <c r="BW59" s="22">
        <v>5</v>
      </c>
      <c r="BX59" s="2" t="s">
        <v>321</v>
      </c>
      <c r="BY59" s="2" t="s">
        <v>32</v>
      </c>
      <c r="BZ59" s="2" t="s">
        <v>34</v>
      </c>
      <c r="CA59" s="2" t="s">
        <v>35</v>
      </c>
      <c r="CB59" s="24">
        <v>0</v>
      </c>
      <c r="CC59" s="2" t="s">
        <v>36</v>
      </c>
      <c r="CD59" s="2" t="s">
        <v>71</v>
      </c>
      <c r="CE59" s="2" t="s">
        <v>32</v>
      </c>
      <c r="CF59" s="24">
        <v>0</v>
      </c>
      <c r="CG59" s="24">
        <v>2</v>
      </c>
      <c r="CH59" s="2" t="s">
        <v>37</v>
      </c>
      <c r="CI59" s="2" t="s">
        <v>32</v>
      </c>
      <c r="CJ59" s="2" t="s">
        <v>32</v>
      </c>
      <c r="CK59" s="2" t="s">
        <v>38</v>
      </c>
      <c r="CL59" s="24">
        <v>1</v>
      </c>
      <c r="CM59" s="2" t="s">
        <v>45</v>
      </c>
      <c r="CN59" s="2" t="s">
        <v>32</v>
      </c>
    </row>
    <row r="60" spans="1:92" ht="14" customHeight="1" x14ac:dyDescent="0.35">
      <c r="A60" s="2" t="s">
        <v>346</v>
      </c>
      <c r="B60" t="str">
        <f t="shared" si="1"/>
        <v>p58</v>
      </c>
      <c r="C60" s="38">
        <v>45610.77925925926</v>
      </c>
      <c r="D60" s="38">
        <v>45610.783831018518</v>
      </c>
      <c r="E60" s="2" t="s">
        <v>342</v>
      </c>
      <c r="F60" s="24">
        <v>100</v>
      </c>
      <c r="G60" s="24">
        <v>395</v>
      </c>
      <c r="H60" s="2" t="s">
        <v>31</v>
      </c>
      <c r="I60" s="38">
        <v>45610.783858888892</v>
      </c>
      <c r="J60" s="2" t="s">
        <v>343</v>
      </c>
      <c r="K60" s="24">
        <v>53.385800000000003</v>
      </c>
      <c r="L60" s="24">
        <v>-1.4616</v>
      </c>
      <c r="M60" s="2" t="s">
        <v>33</v>
      </c>
      <c r="N60" s="2" t="s">
        <v>344</v>
      </c>
      <c r="O60" s="2" t="s">
        <v>345</v>
      </c>
      <c r="P60" s="22">
        <v>5</v>
      </c>
      <c r="Q60" s="22">
        <v>5</v>
      </c>
      <c r="R60" s="22">
        <v>3</v>
      </c>
      <c r="S60" s="22">
        <v>4</v>
      </c>
      <c r="T60" s="22">
        <v>3</v>
      </c>
      <c r="U60" s="22">
        <v>4</v>
      </c>
      <c r="V60" s="22">
        <v>3</v>
      </c>
      <c r="W60" s="22">
        <v>3</v>
      </c>
      <c r="X60" s="22">
        <v>2</v>
      </c>
      <c r="Y60" s="22">
        <v>4</v>
      </c>
      <c r="Z60" s="22">
        <v>2</v>
      </c>
      <c r="AA60" s="22">
        <v>3</v>
      </c>
      <c r="AB60" s="22">
        <v>3</v>
      </c>
      <c r="AC60" s="22">
        <v>3</v>
      </c>
      <c r="AD60" s="22">
        <v>1</v>
      </c>
      <c r="AE60" s="22">
        <v>2</v>
      </c>
      <c r="AF60" s="22">
        <v>2</v>
      </c>
      <c r="AG60" s="22">
        <v>4</v>
      </c>
      <c r="AH60" s="22">
        <v>3</v>
      </c>
      <c r="AI60" s="22">
        <v>2</v>
      </c>
      <c r="AJ60" s="22">
        <v>1</v>
      </c>
      <c r="AK60" s="22">
        <v>3</v>
      </c>
      <c r="AL60" s="22">
        <v>2</v>
      </c>
      <c r="AM60" s="22">
        <v>3</v>
      </c>
      <c r="AN60" s="22">
        <v>3</v>
      </c>
      <c r="AO60" s="22">
        <v>3</v>
      </c>
      <c r="AP60" s="22">
        <v>3</v>
      </c>
      <c r="AQ60" s="22">
        <v>2</v>
      </c>
      <c r="AR60" s="22">
        <v>4</v>
      </c>
      <c r="AS60" s="22">
        <v>4</v>
      </c>
      <c r="AT60" s="22">
        <v>2</v>
      </c>
      <c r="AU60" s="22">
        <v>3</v>
      </c>
      <c r="AV60" s="22">
        <v>3</v>
      </c>
      <c r="AW60" s="22">
        <v>4</v>
      </c>
      <c r="AX60" s="22">
        <v>4</v>
      </c>
      <c r="AY60" s="22">
        <v>2</v>
      </c>
      <c r="AZ60" s="22">
        <v>4</v>
      </c>
      <c r="BA60" s="22">
        <v>2</v>
      </c>
      <c r="BB60" s="22">
        <v>2</v>
      </c>
      <c r="BC60" s="22">
        <v>3</v>
      </c>
      <c r="BD60" s="22">
        <v>2</v>
      </c>
      <c r="BE60" s="22">
        <v>3</v>
      </c>
      <c r="BF60" s="22">
        <v>3</v>
      </c>
      <c r="BG60" s="22">
        <v>2</v>
      </c>
      <c r="BH60" s="22">
        <v>5</v>
      </c>
      <c r="BI60" s="22">
        <v>3</v>
      </c>
      <c r="BJ60" s="22">
        <v>2</v>
      </c>
      <c r="BK60" s="22">
        <v>4</v>
      </c>
      <c r="BL60" s="22">
        <v>3</v>
      </c>
      <c r="BM60" s="22">
        <v>2</v>
      </c>
      <c r="BN60" s="22">
        <v>3</v>
      </c>
      <c r="BO60" s="22">
        <v>5</v>
      </c>
      <c r="BP60" s="22">
        <v>2</v>
      </c>
      <c r="BQ60" s="22">
        <v>2</v>
      </c>
      <c r="BR60" s="22">
        <v>3</v>
      </c>
      <c r="BS60" s="22">
        <v>4</v>
      </c>
      <c r="BT60" s="22">
        <v>2</v>
      </c>
      <c r="BU60" s="22">
        <v>4</v>
      </c>
      <c r="BV60" s="22">
        <v>3</v>
      </c>
      <c r="BW60" s="22">
        <v>3</v>
      </c>
      <c r="BX60" s="2" t="s">
        <v>346</v>
      </c>
      <c r="BY60" s="2" t="s">
        <v>32</v>
      </c>
      <c r="BZ60" s="2" t="s">
        <v>34</v>
      </c>
      <c r="CA60" s="2" t="s">
        <v>109</v>
      </c>
      <c r="CB60" s="24">
        <v>1</v>
      </c>
      <c r="CC60" s="2" t="s">
        <v>36</v>
      </c>
      <c r="CD60" s="2" t="s">
        <v>53</v>
      </c>
      <c r="CE60" s="2" t="s">
        <v>32</v>
      </c>
      <c r="CF60" s="24">
        <v>0</v>
      </c>
      <c r="CG60" s="24">
        <v>2</v>
      </c>
      <c r="CH60" s="2" t="s">
        <v>37</v>
      </c>
      <c r="CI60" s="2" t="s">
        <v>32</v>
      </c>
      <c r="CJ60" s="2" t="s">
        <v>32</v>
      </c>
      <c r="CK60" s="2" t="s">
        <v>38</v>
      </c>
      <c r="CL60" s="24">
        <v>1</v>
      </c>
      <c r="CM60" s="2" t="s">
        <v>45</v>
      </c>
      <c r="CN60" s="2" t="s">
        <v>32</v>
      </c>
    </row>
    <row r="61" spans="1:92" ht="14" customHeight="1" x14ac:dyDescent="0.35">
      <c r="A61" s="2" t="s">
        <v>351</v>
      </c>
      <c r="B61" t="str">
        <f t="shared" si="1"/>
        <v>p59</v>
      </c>
      <c r="C61" s="38">
        <v>45613.640405092592</v>
      </c>
      <c r="D61" s="38">
        <v>45613.67765046296</v>
      </c>
      <c r="E61" s="2" t="s">
        <v>347</v>
      </c>
      <c r="F61" s="24">
        <v>100</v>
      </c>
      <c r="G61" s="24">
        <v>3218</v>
      </c>
      <c r="H61" s="2" t="s">
        <v>31</v>
      </c>
      <c r="I61" s="38">
        <v>45613.677668263888</v>
      </c>
      <c r="J61" s="2" t="s">
        <v>348</v>
      </c>
      <c r="K61" s="24">
        <v>50.398899999999998</v>
      </c>
      <c r="L61" s="24">
        <v>-4.1726999999999999</v>
      </c>
      <c r="M61" s="2" t="s">
        <v>33</v>
      </c>
      <c r="N61" s="2" t="s">
        <v>349</v>
      </c>
      <c r="O61" s="2" t="s">
        <v>350</v>
      </c>
      <c r="P61" s="22">
        <v>4</v>
      </c>
      <c r="Q61" s="22">
        <v>1</v>
      </c>
      <c r="R61" s="22">
        <v>4</v>
      </c>
      <c r="S61" s="22">
        <v>3</v>
      </c>
      <c r="T61" s="22">
        <v>4</v>
      </c>
      <c r="U61" s="22">
        <v>4</v>
      </c>
      <c r="V61" s="22">
        <v>5</v>
      </c>
      <c r="W61" s="22">
        <v>3</v>
      </c>
      <c r="X61" s="22">
        <v>2</v>
      </c>
      <c r="Y61" s="22">
        <v>3</v>
      </c>
      <c r="Z61" s="22">
        <v>3</v>
      </c>
      <c r="AA61" s="22">
        <v>3</v>
      </c>
      <c r="AB61" s="22">
        <v>5</v>
      </c>
      <c r="AC61" s="22">
        <v>3</v>
      </c>
      <c r="AD61" s="22">
        <v>1</v>
      </c>
      <c r="AE61" s="22">
        <v>5</v>
      </c>
      <c r="AF61" s="22">
        <v>5</v>
      </c>
      <c r="AG61" s="22">
        <v>4</v>
      </c>
      <c r="AH61" s="22">
        <v>5</v>
      </c>
      <c r="AI61" s="22">
        <v>1</v>
      </c>
      <c r="AJ61" s="22">
        <v>5</v>
      </c>
      <c r="AK61" s="22">
        <v>4</v>
      </c>
      <c r="AL61" s="22">
        <v>1</v>
      </c>
      <c r="AM61" s="22">
        <v>1</v>
      </c>
      <c r="AN61" s="22">
        <v>2</v>
      </c>
      <c r="AO61" s="22">
        <v>5</v>
      </c>
      <c r="AP61" s="22">
        <v>3</v>
      </c>
      <c r="AQ61" s="22">
        <v>4</v>
      </c>
      <c r="AR61" s="22">
        <v>1</v>
      </c>
      <c r="AS61" s="22">
        <v>5</v>
      </c>
      <c r="AT61" s="22">
        <v>3</v>
      </c>
      <c r="AU61" s="22">
        <v>4</v>
      </c>
      <c r="AV61" s="22">
        <v>1</v>
      </c>
      <c r="AW61" s="22">
        <v>1</v>
      </c>
      <c r="AX61" s="22">
        <v>4</v>
      </c>
      <c r="AY61" s="22">
        <v>1</v>
      </c>
      <c r="AZ61" s="22">
        <v>4</v>
      </c>
      <c r="BA61" s="22">
        <v>4</v>
      </c>
      <c r="BB61" s="22">
        <v>4</v>
      </c>
      <c r="BC61" s="22">
        <v>4</v>
      </c>
      <c r="BD61" s="22">
        <v>2</v>
      </c>
      <c r="BE61" s="22">
        <v>4</v>
      </c>
      <c r="BF61" s="22">
        <v>5</v>
      </c>
      <c r="BG61" s="22">
        <v>5</v>
      </c>
      <c r="BH61" s="22">
        <v>5</v>
      </c>
      <c r="BI61" s="22">
        <v>3</v>
      </c>
      <c r="BJ61" s="22">
        <v>5</v>
      </c>
      <c r="BK61" s="22">
        <v>1</v>
      </c>
      <c r="BL61" s="22">
        <v>3</v>
      </c>
      <c r="BM61" s="22">
        <v>4</v>
      </c>
      <c r="BN61" s="22">
        <v>1</v>
      </c>
      <c r="BO61" s="22">
        <v>5</v>
      </c>
      <c r="BP61" s="22">
        <v>1</v>
      </c>
      <c r="BQ61" s="22">
        <v>5</v>
      </c>
      <c r="BR61" s="22">
        <v>5</v>
      </c>
      <c r="BS61" s="22">
        <v>4</v>
      </c>
      <c r="BT61" s="22">
        <v>4</v>
      </c>
      <c r="BU61" s="22">
        <v>1</v>
      </c>
      <c r="BV61" s="22">
        <v>4</v>
      </c>
      <c r="BW61" s="22">
        <v>5</v>
      </c>
      <c r="BX61" s="2" t="s">
        <v>351</v>
      </c>
      <c r="BY61" s="2" t="s">
        <v>32</v>
      </c>
      <c r="BZ61" s="2" t="s">
        <v>193</v>
      </c>
      <c r="CA61" s="2" t="s">
        <v>35</v>
      </c>
      <c r="CB61" s="24">
        <v>0</v>
      </c>
      <c r="CC61" s="2" t="s">
        <v>52</v>
      </c>
      <c r="CD61" s="2" t="s">
        <v>51</v>
      </c>
      <c r="CE61" s="2" t="s">
        <v>32</v>
      </c>
      <c r="CF61" s="24">
        <v>0</v>
      </c>
      <c r="CG61" s="24">
        <v>0</v>
      </c>
      <c r="CH61" s="2" t="s">
        <v>51</v>
      </c>
      <c r="CI61" s="2" t="s">
        <v>32</v>
      </c>
      <c r="CJ61" s="2" t="s">
        <v>32</v>
      </c>
      <c r="CK61" s="2" t="s">
        <v>38</v>
      </c>
      <c r="CL61" s="24">
        <v>1</v>
      </c>
      <c r="CM61" s="2" t="s">
        <v>45</v>
      </c>
      <c r="CN61" s="2" t="s">
        <v>32</v>
      </c>
    </row>
    <row r="62" spans="1:92" ht="14" customHeight="1" x14ac:dyDescent="0.35">
      <c r="A62" s="2" t="s">
        <v>356</v>
      </c>
      <c r="B62" t="str">
        <f t="shared" si="1"/>
        <v>p60</v>
      </c>
      <c r="C62" s="38">
        <v>45613.684988425928</v>
      </c>
      <c r="D62" s="38">
        <v>45613.689363425925</v>
      </c>
      <c r="E62" s="2" t="s">
        <v>352</v>
      </c>
      <c r="F62" s="24">
        <v>100</v>
      </c>
      <c r="G62" s="24">
        <v>378</v>
      </c>
      <c r="H62" s="2" t="s">
        <v>31</v>
      </c>
      <c r="I62" s="38">
        <v>45613.689371319444</v>
      </c>
      <c r="J62" s="2" t="s">
        <v>353</v>
      </c>
      <c r="K62" s="24">
        <v>53.417400000000001</v>
      </c>
      <c r="L62" s="24">
        <v>-2.7092999999999998</v>
      </c>
      <c r="M62" s="2" t="s">
        <v>33</v>
      </c>
      <c r="N62" s="2" t="s">
        <v>354</v>
      </c>
      <c r="O62" s="2" t="s">
        <v>355</v>
      </c>
      <c r="P62" s="22">
        <v>4</v>
      </c>
      <c r="Q62" s="22">
        <v>5</v>
      </c>
      <c r="R62" s="22">
        <v>4</v>
      </c>
      <c r="S62" s="22">
        <v>3</v>
      </c>
      <c r="T62" s="22">
        <v>3</v>
      </c>
      <c r="U62" s="22">
        <v>5</v>
      </c>
      <c r="V62" s="22">
        <v>2</v>
      </c>
      <c r="W62" s="22">
        <v>4</v>
      </c>
      <c r="X62" s="22">
        <v>2</v>
      </c>
      <c r="Y62" s="22">
        <v>4</v>
      </c>
      <c r="Z62" s="22">
        <v>3</v>
      </c>
      <c r="AA62" s="22">
        <v>2</v>
      </c>
      <c r="AB62" s="22">
        <v>2</v>
      </c>
      <c r="AC62" s="22">
        <v>5</v>
      </c>
      <c r="AD62" s="22">
        <v>1</v>
      </c>
      <c r="AE62" s="22">
        <v>3</v>
      </c>
      <c r="AF62" s="22">
        <v>3</v>
      </c>
      <c r="AG62" s="22">
        <v>4</v>
      </c>
      <c r="AH62" s="22">
        <v>2</v>
      </c>
      <c r="AI62" s="22">
        <v>1</v>
      </c>
      <c r="AJ62" s="22">
        <v>1</v>
      </c>
      <c r="AK62" s="22">
        <v>2</v>
      </c>
      <c r="AL62" s="22">
        <v>3</v>
      </c>
      <c r="AM62" s="22">
        <v>5</v>
      </c>
      <c r="AN62" s="22">
        <v>4</v>
      </c>
      <c r="AO62" s="22">
        <v>2</v>
      </c>
      <c r="AP62" s="22">
        <v>5</v>
      </c>
      <c r="AQ62" s="22">
        <v>2</v>
      </c>
      <c r="AR62" s="22">
        <v>4</v>
      </c>
      <c r="AS62" s="22">
        <v>4</v>
      </c>
      <c r="AT62" s="22">
        <v>4</v>
      </c>
      <c r="AU62" s="22">
        <v>5</v>
      </c>
      <c r="AV62" s="22">
        <v>3</v>
      </c>
      <c r="AW62" s="22">
        <v>4</v>
      </c>
      <c r="AX62" s="22">
        <v>3</v>
      </c>
      <c r="AY62" s="22">
        <v>4</v>
      </c>
      <c r="AZ62" s="22">
        <v>5</v>
      </c>
      <c r="BA62" s="22">
        <v>2</v>
      </c>
      <c r="BB62" s="22">
        <v>2</v>
      </c>
      <c r="BC62" s="22">
        <v>3</v>
      </c>
      <c r="BD62" s="22">
        <v>4</v>
      </c>
      <c r="BE62" s="22">
        <v>5</v>
      </c>
      <c r="BF62" s="22">
        <v>2</v>
      </c>
      <c r="BG62" s="22">
        <v>2</v>
      </c>
      <c r="BH62" s="22">
        <v>3</v>
      </c>
      <c r="BI62" s="22">
        <v>2</v>
      </c>
      <c r="BJ62" s="22">
        <v>4</v>
      </c>
      <c r="BK62" s="22">
        <v>5</v>
      </c>
      <c r="BL62" s="22">
        <v>4</v>
      </c>
      <c r="BM62" s="22">
        <v>4</v>
      </c>
      <c r="BN62" s="22">
        <v>5</v>
      </c>
      <c r="BO62" s="22">
        <v>4</v>
      </c>
      <c r="BP62" s="22">
        <v>4</v>
      </c>
      <c r="BQ62" s="22">
        <v>1</v>
      </c>
      <c r="BR62" s="22">
        <v>3</v>
      </c>
      <c r="BS62" s="22">
        <v>2</v>
      </c>
      <c r="BT62" s="22">
        <v>3</v>
      </c>
      <c r="BU62" s="22">
        <v>3</v>
      </c>
      <c r="BV62" s="22">
        <v>4</v>
      </c>
      <c r="BW62" s="22">
        <v>4</v>
      </c>
      <c r="BX62" s="2" t="s">
        <v>356</v>
      </c>
      <c r="BY62" s="2" t="s">
        <v>32</v>
      </c>
      <c r="BZ62" s="2" t="s">
        <v>34</v>
      </c>
      <c r="CA62" s="2" t="s">
        <v>35</v>
      </c>
      <c r="CB62" s="24">
        <v>0</v>
      </c>
      <c r="CC62" s="2" t="s">
        <v>52</v>
      </c>
      <c r="CD62" s="2" t="s">
        <v>53</v>
      </c>
      <c r="CE62" s="2" t="s">
        <v>32</v>
      </c>
      <c r="CF62" s="24">
        <v>0</v>
      </c>
      <c r="CG62" s="24">
        <v>2</v>
      </c>
      <c r="CH62" s="2" t="s">
        <v>37</v>
      </c>
      <c r="CI62" s="2" t="s">
        <v>32</v>
      </c>
      <c r="CJ62" s="2" t="s">
        <v>32</v>
      </c>
      <c r="CK62" s="2" t="s">
        <v>38</v>
      </c>
      <c r="CL62" s="24">
        <v>1</v>
      </c>
      <c r="CM62" s="2" t="s">
        <v>45</v>
      </c>
      <c r="CN62" s="2" t="s">
        <v>32</v>
      </c>
    </row>
    <row r="63" spans="1:92" ht="14" customHeight="1" x14ac:dyDescent="0.35">
      <c r="A63" s="2" t="s">
        <v>381</v>
      </c>
      <c r="B63" t="str">
        <f t="shared" si="1"/>
        <v>p61</v>
      </c>
      <c r="C63" s="38">
        <v>45842.892754629633</v>
      </c>
      <c r="D63" s="38">
        <v>45842.900706018518</v>
      </c>
      <c r="E63" s="2" t="s">
        <v>377</v>
      </c>
      <c r="F63" s="24">
        <v>100</v>
      </c>
      <c r="G63" s="24">
        <v>687</v>
      </c>
      <c r="H63" s="2" t="s">
        <v>31</v>
      </c>
      <c r="I63" s="38">
        <v>45842.900713182869</v>
      </c>
      <c r="J63" s="2" t="s">
        <v>378</v>
      </c>
      <c r="K63" s="24">
        <v>53.796700000000001</v>
      </c>
      <c r="L63" s="24">
        <v>-2.2353000000000001</v>
      </c>
      <c r="M63" s="2" t="s">
        <v>33</v>
      </c>
      <c r="N63" s="2" t="s">
        <v>379</v>
      </c>
      <c r="O63" s="2" t="s">
        <v>380</v>
      </c>
      <c r="P63" s="22">
        <v>3</v>
      </c>
      <c r="Q63" s="22">
        <v>3</v>
      </c>
      <c r="R63" s="22">
        <v>1</v>
      </c>
      <c r="S63" s="22">
        <v>2</v>
      </c>
      <c r="T63" s="22">
        <v>5</v>
      </c>
      <c r="U63" s="22">
        <v>1</v>
      </c>
      <c r="V63" s="22">
        <v>5</v>
      </c>
      <c r="W63" s="22">
        <v>1</v>
      </c>
      <c r="X63" s="22">
        <v>3</v>
      </c>
      <c r="Y63" s="22">
        <v>3</v>
      </c>
      <c r="Z63" s="22">
        <v>3</v>
      </c>
      <c r="AA63" s="22">
        <v>3</v>
      </c>
      <c r="AB63" s="22">
        <v>4</v>
      </c>
      <c r="AC63" s="22">
        <v>1</v>
      </c>
      <c r="AD63" s="22">
        <v>1</v>
      </c>
      <c r="AE63" s="22">
        <v>1</v>
      </c>
      <c r="AF63" s="22">
        <v>1</v>
      </c>
      <c r="AG63" s="22">
        <v>2</v>
      </c>
      <c r="AH63" s="22">
        <v>2</v>
      </c>
      <c r="AI63" s="22">
        <v>5</v>
      </c>
      <c r="AJ63" s="22">
        <v>1</v>
      </c>
      <c r="AK63" s="22">
        <v>3</v>
      </c>
      <c r="AL63" s="22">
        <v>1</v>
      </c>
      <c r="AM63" s="22">
        <v>1</v>
      </c>
      <c r="AN63" s="22">
        <v>4</v>
      </c>
      <c r="AO63" s="22">
        <v>5</v>
      </c>
      <c r="AP63" s="22">
        <v>2</v>
      </c>
      <c r="AQ63" s="22">
        <v>5</v>
      </c>
      <c r="AR63" s="22">
        <v>1</v>
      </c>
      <c r="AS63" s="22">
        <v>3</v>
      </c>
      <c r="AT63" s="22">
        <v>2</v>
      </c>
      <c r="AU63" s="22">
        <v>4</v>
      </c>
      <c r="AV63" s="22">
        <v>1</v>
      </c>
      <c r="AW63" s="22">
        <v>1</v>
      </c>
      <c r="AX63" s="22">
        <v>4</v>
      </c>
      <c r="AY63" s="22">
        <v>1</v>
      </c>
      <c r="AZ63" s="22">
        <v>2</v>
      </c>
      <c r="BA63" s="22">
        <v>5</v>
      </c>
      <c r="BB63" s="22">
        <v>5</v>
      </c>
      <c r="BC63" s="22">
        <v>3</v>
      </c>
      <c r="BD63" s="22">
        <v>1</v>
      </c>
      <c r="BE63" s="22">
        <v>2</v>
      </c>
      <c r="BF63" s="22">
        <v>5</v>
      </c>
      <c r="BG63" s="22">
        <v>4</v>
      </c>
      <c r="BH63" s="22">
        <v>3</v>
      </c>
      <c r="BI63" s="22">
        <v>1</v>
      </c>
      <c r="BJ63" s="22">
        <v>3</v>
      </c>
      <c r="BK63" s="22">
        <v>4</v>
      </c>
      <c r="BL63" s="22">
        <v>4</v>
      </c>
      <c r="BM63" s="22">
        <v>2</v>
      </c>
      <c r="BN63" s="22">
        <v>1</v>
      </c>
      <c r="BO63" s="22">
        <v>2</v>
      </c>
      <c r="BP63" s="22">
        <v>3</v>
      </c>
      <c r="BQ63" s="22">
        <v>3</v>
      </c>
      <c r="BR63" s="22">
        <v>5</v>
      </c>
      <c r="BS63" s="22">
        <v>5</v>
      </c>
      <c r="BT63" s="22">
        <v>4</v>
      </c>
      <c r="BU63" s="22">
        <v>1</v>
      </c>
      <c r="BV63" s="22">
        <v>3</v>
      </c>
      <c r="BW63" s="22">
        <v>5</v>
      </c>
      <c r="BX63" s="2" t="s">
        <v>381</v>
      </c>
      <c r="BY63" s="2" t="s">
        <v>32</v>
      </c>
      <c r="BZ63" s="2" t="s">
        <v>34</v>
      </c>
      <c r="CA63" s="2" t="s">
        <v>35</v>
      </c>
      <c r="CB63" s="24">
        <v>0</v>
      </c>
      <c r="CC63" s="2" t="s">
        <v>36</v>
      </c>
      <c r="CD63" s="2" t="s">
        <v>51</v>
      </c>
      <c r="CE63" s="2" t="s">
        <v>32</v>
      </c>
      <c r="CF63" s="24">
        <v>0</v>
      </c>
      <c r="CG63" s="24">
        <v>2</v>
      </c>
      <c r="CH63" s="2" t="s">
        <v>37</v>
      </c>
      <c r="CI63" s="2" t="s">
        <v>32</v>
      </c>
      <c r="CJ63" s="2" t="s">
        <v>32</v>
      </c>
      <c r="CK63" s="2" t="s">
        <v>38</v>
      </c>
      <c r="CL63" s="24">
        <v>1</v>
      </c>
      <c r="CM63" s="2" t="s">
        <v>45</v>
      </c>
      <c r="CN63" s="2" t="s">
        <v>32</v>
      </c>
    </row>
    <row r="64" spans="1:92" ht="14" customHeight="1" x14ac:dyDescent="0.35">
      <c r="A64" s="2" t="s">
        <v>361</v>
      </c>
      <c r="B64" t="str">
        <f t="shared" si="1"/>
        <v>p62</v>
      </c>
      <c r="C64" s="38">
        <v>45842.892951388887</v>
      </c>
      <c r="D64" s="38">
        <v>45842.898726851854</v>
      </c>
      <c r="E64" s="2" t="s">
        <v>357</v>
      </c>
      <c r="F64" s="24">
        <v>100</v>
      </c>
      <c r="G64" s="24">
        <v>499</v>
      </c>
      <c r="H64" s="2" t="s">
        <v>31</v>
      </c>
      <c r="I64" s="38">
        <v>45842.898741805555</v>
      </c>
      <c r="J64" s="2" t="s">
        <v>358</v>
      </c>
      <c r="K64" s="24">
        <v>51.500500000000002</v>
      </c>
      <c r="L64" s="24">
        <v>-0.1905</v>
      </c>
      <c r="M64" s="2" t="s">
        <v>33</v>
      </c>
      <c r="N64" s="2" t="s">
        <v>359</v>
      </c>
      <c r="O64" s="2" t="s">
        <v>360</v>
      </c>
      <c r="P64" s="22">
        <v>4</v>
      </c>
      <c r="Q64" s="22">
        <v>3</v>
      </c>
      <c r="R64" s="22">
        <v>2</v>
      </c>
      <c r="S64" s="22">
        <v>4</v>
      </c>
      <c r="T64" s="22">
        <v>4</v>
      </c>
      <c r="U64" s="22">
        <v>4</v>
      </c>
      <c r="V64" s="22">
        <v>4</v>
      </c>
      <c r="W64" s="22">
        <v>4</v>
      </c>
      <c r="X64" s="22">
        <v>4</v>
      </c>
      <c r="Y64" s="22">
        <v>4</v>
      </c>
      <c r="Z64" s="22">
        <v>4</v>
      </c>
      <c r="AA64" s="22">
        <v>4</v>
      </c>
      <c r="AB64" s="22">
        <v>4</v>
      </c>
      <c r="AC64" s="22">
        <v>4</v>
      </c>
      <c r="AD64" s="22">
        <v>1</v>
      </c>
      <c r="AE64" s="22">
        <v>4</v>
      </c>
      <c r="AF64" s="22">
        <v>4</v>
      </c>
      <c r="AG64" s="22">
        <v>1</v>
      </c>
      <c r="AH64" s="22">
        <v>4</v>
      </c>
      <c r="AI64" s="22">
        <v>4</v>
      </c>
      <c r="AJ64" s="22">
        <v>4</v>
      </c>
      <c r="AK64" s="22">
        <v>4</v>
      </c>
      <c r="AL64" s="22">
        <v>3</v>
      </c>
      <c r="AM64" s="22">
        <v>1</v>
      </c>
      <c r="AN64" s="22">
        <v>4</v>
      </c>
      <c r="AO64" s="22">
        <v>3</v>
      </c>
      <c r="AP64" s="22">
        <v>3</v>
      </c>
      <c r="AQ64" s="22">
        <v>2</v>
      </c>
      <c r="AR64" s="22">
        <v>4</v>
      </c>
      <c r="AS64" s="22">
        <v>5</v>
      </c>
      <c r="AT64" s="22">
        <v>1</v>
      </c>
      <c r="AU64" s="22">
        <v>5</v>
      </c>
      <c r="AV64" s="22">
        <v>1</v>
      </c>
      <c r="AW64" s="22">
        <v>5</v>
      </c>
      <c r="AX64" s="22">
        <v>5</v>
      </c>
      <c r="AY64" s="22">
        <v>1</v>
      </c>
      <c r="AZ64" s="22">
        <v>5</v>
      </c>
      <c r="BA64" s="22">
        <v>5</v>
      </c>
      <c r="BB64" s="22">
        <v>1</v>
      </c>
      <c r="BC64" s="22">
        <v>4</v>
      </c>
      <c r="BD64" s="22">
        <v>4</v>
      </c>
      <c r="BE64" s="22">
        <v>4</v>
      </c>
      <c r="BF64" s="22">
        <v>4</v>
      </c>
      <c r="BG64" s="22">
        <v>4</v>
      </c>
      <c r="BH64" s="22">
        <v>4</v>
      </c>
      <c r="BI64" s="22">
        <v>2</v>
      </c>
      <c r="BJ64" s="22">
        <v>3</v>
      </c>
      <c r="BK64" s="22">
        <v>4</v>
      </c>
      <c r="BL64" s="22">
        <v>4</v>
      </c>
      <c r="BM64" s="22">
        <v>5</v>
      </c>
      <c r="BN64" s="22">
        <v>5</v>
      </c>
      <c r="BO64" s="22">
        <v>4</v>
      </c>
      <c r="BP64" s="22">
        <v>4</v>
      </c>
      <c r="BQ64" s="22">
        <v>5</v>
      </c>
      <c r="BR64" s="22">
        <v>4</v>
      </c>
      <c r="BS64" s="22">
        <v>4</v>
      </c>
      <c r="BT64" s="22">
        <v>4</v>
      </c>
      <c r="BU64" s="22">
        <v>4</v>
      </c>
      <c r="BV64" s="22">
        <v>5</v>
      </c>
      <c r="BW64" s="22">
        <v>4</v>
      </c>
      <c r="BX64" s="2" t="s">
        <v>361</v>
      </c>
      <c r="BY64" s="2" t="s">
        <v>32</v>
      </c>
      <c r="BZ64" s="2" t="s">
        <v>34</v>
      </c>
      <c r="CA64" s="2" t="s">
        <v>35</v>
      </c>
      <c r="CB64" s="24">
        <v>0</v>
      </c>
      <c r="CC64" s="2" t="s">
        <v>36</v>
      </c>
      <c r="CD64" s="2" t="s">
        <v>51</v>
      </c>
      <c r="CE64" s="2" t="s">
        <v>32</v>
      </c>
      <c r="CF64" s="24">
        <v>0</v>
      </c>
      <c r="CG64" s="24">
        <v>2</v>
      </c>
      <c r="CH64" s="2" t="s">
        <v>37</v>
      </c>
      <c r="CI64" s="2" t="s">
        <v>32</v>
      </c>
      <c r="CJ64" s="2" t="s">
        <v>32</v>
      </c>
      <c r="CK64" s="2" t="s">
        <v>38</v>
      </c>
      <c r="CL64" s="24">
        <v>1</v>
      </c>
      <c r="CM64" s="2" t="s">
        <v>45</v>
      </c>
      <c r="CN64" s="2" t="s">
        <v>32</v>
      </c>
    </row>
    <row r="65" spans="1:92" ht="14" customHeight="1" x14ac:dyDescent="0.35">
      <c r="A65" s="2" t="s">
        <v>407</v>
      </c>
      <c r="B65" t="str">
        <f t="shared" si="1"/>
        <v>p63</v>
      </c>
      <c r="C65" s="38">
        <v>45842.89298611111</v>
      </c>
      <c r="D65" s="38">
        <v>45842.903055555558</v>
      </c>
      <c r="E65" s="2" t="s">
        <v>403</v>
      </c>
      <c r="F65" s="24">
        <v>100</v>
      </c>
      <c r="G65" s="24">
        <v>869</v>
      </c>
      <c r="H65" s="2" t="s">
        <v>31</v>
      </c>
      <c r="I65" s="38">
        <v>45842.903068263891</v>
      </c>
      <c r="J65" s="2" t="s">
        <v>404</v>
      </c>
      <c r="K65" s="24">
        <v>52.920200000000001</v>
      </c>
      <c r="L65" s="24">
        <v>-1.3182</v>
      </c>
      <c r="M65" s="2" t="s">
        <v>33</v>
      </c>
      <c r="N65" s="2" t="s">
        <v>405</v>
      </c>
      <c r="O65" s="2" t="s">
        <v>406</v>
      </c>
      <c r="P65" s="22">
        <v>4</v>
      </c>
      <c r="Q65" s="22">
        <v>3</v>
      </c>
      <c r="R65" s="22">
        <v>3</v>
      </c>
      <c r="S65" s="22">
        <v>4</v>
      </c>
      <c r="T65" s="22">
        <v>3</v>
      </c>
      <c r="U65" s="22">
        <v>4</v>
      </c>
      <c r="V65" s="22">
        <v>2</v>
      </c>
      <c r="W65" s="22">
        <v>3</v>
      </c>
      <c r="X65" s="22">
        <v>1</v>
      </c>
      <c r="Y65" s="22">
        <v>3</v>
      </c>
      <c r="Z65" s="22">
        <v>2</v>
      </c>
      <c r="AA65" s="22">
        <v>3</v>
      </c>
      <c r="AB65" s="22">
        <v>2</v>
      </c>
      <c r="AC65" s="22">
        <v>3</v>
      </c>
      <c r="AD65" s="22">
        <v>1</v>
      </c>
      <c r="AE65" s="22">
        <v>1</v>
      </c>
      <c r="AF65" s="22">
        <v>1</v>
      </c>
      <c r="AG65" s="22">
        <v>5</v>
      </c>
      <c r="AH65" s="22">
        <v>3</v>
      </c>
      <c r="AI65" s="22">
        <v>2</v>
      </c>
      <c r="AJ65" s="22">
        <v>1</v>
      </c>
      <c r="AK65" s="22">
        <v>2</v>
      </c>
      <c r="AL65" s="22">
        <v>2</v>
      </c>
      <c r="AM65" s="22">
        <v>2</v>
      </c>
      <c r="AN65" s="22">
        <v>5</v>
      </c>
      <c r="AO65" s="22">
        <v>3</v>
      </c>
      <c r="AP65" s="22">
        <v>4</v>
      </c>
      <c r="AQ65" s="22">
        <v>3</v>
      </c>
      <c r="AR65" s="22">
        <v>4</v>
      </c>
      <c r="AS65" s="22">
        <v>1</v>
      </c>
      <c r="AT65" s="22">
        <v>2</v>
      </c>
      <c r="AU65" s="22">
        <v>4</v>
      </c>
      <c r="AV65" s="22">
        <v>3</v>
      </c>
      <c r="AW65" s="22">
        <v>4</v>
      </c>
      <c r="AX65" s="22">
        <v>3</v>
      </c>
      <c r="AY65" s="22">
        <v>2</v>
      </c>
      <c r="AZ65" s="22">
        <v>2</v>
      </c>
      <c r="BA65" s="22">
        <v>3</v>
      </c>
      <c r="BB65" s="22">
        <v>2</v>
      </c>
      <c r="BC65" s="22">
        <v>3</v>
      </c>
      <c r="BD65" s="22">
        <v>1</v>
      </c>
      <c r="BE65" s="22">
        <v>4</v>
      </c>
      <c r="BF65" s="22">
        <v>3</v>
      </c>
      <c r="BG65" s="22">
        <v>2</v>
      </c>
      <c r="BH65" s="22">
        <v>3</v>
      </c>
      <c r="BI65" s="22">
        <v>3</v>
      </c>
      <c r="BJ65" s="22">
        <v>2</v>
      </c>
      <c r="BK65" s="22">
        <v>3</v>
      </c>
      <c r="BL65" s="22">
        <v>2</v>
      </c>
      <c r="BM65" s="22">
        <v>3</v>
      </c>
      <c r="BN65" s="22">
        <v>2</v>
      </c>
      <c r="BO65" s="22">
        <v>4</v>
      </c>
      <c r="BP65" s="22">
        <v>2</v>
      </c>
      <c r="BQ65" s="22">
        <v>2</v>
      </c>
      <c r="BR65" s="22">
        <v>5</v>
      </c>
      <c r="BS65" s="22">
        <v>4</v>
      </c>
      <c r="BT65" s="22">
        <v>3</v>
      </c>
      <c r="BU65" s="22">
        <v>5</v>
      </c>
      <c r="BV65" s="22">
        <v>4</v>
      </c>
      <c r="BW65" s="22">
        <v>5</v>
      </c>
      <c r="BX65" s="2" t="s">
        <v>407</v>
      </c>
      <c r="BY65" s="2" t="s">
        <v>32</v>
      </c>
      <c r="BZ65" s="2" t="s">
        <v>34</v>
      </c>
      <c r="CA65" s="2" t="s">
        <v>35</v>
      </c>
      <c r="CB65" s="24">
        <v>0</v>
      </c>
      <c r="CC65" s="2" t="s">
        <v>36</v>
      </c>
      <c r="CD65" s="2" t="s">
        <v>65</v>
      </c>
      <c r="CE65" s="2" t="s">
        <v>32</v>
      </c>
      <c r="CF65" s="24">
        <v>0</v>
      </c>
      <c r="CG65" s="24">
        <v>2</v>
      </c>
      <c r="CH65" s="2" t="s">
        <v>37</v>
      </c>
      <c r="CI65" s="2" t="s">
        <v>32</v>
      </c>
      <c r="CJ65" s="2" t="s">
        <v>32</v>
      </c>
      <c r="CK65" s="2" t="s">
        <v>38</v>
      </c>
      <c r="CL65" s="24">
        <v>1</v>
      </c>
      <c r="CM65" s="2" t="s">
        <v>45</v>
      </c>
      <c r="CN65" s="2" t="s">
        <v>32</v>
      </c>
    </row>
    <row r="66" spans="1:92" ht="14" customHeight="1" x14ac:dyDescent="0.35">
      <c r="A66" s="2" t="s">
        <v>397</v>
      </c>
      <c r="B66" t="str">
        <f t="shared" si="1"/>
        <v>p64</v>
      </c>
      <c r="C66" s="38">
        <v>45842.893657407411</v>
      </c>
      <c r="D66" s="38">
        <v>45842.902013888888</v>
      </c>
      <c r="E66" s="2" t="s">
        <v>393</v>
      </c>
      <c r="F66" s="24">
        <v>100</v>
      </c>
      <c r="G66" s="24">
        <v>722</v>
      </c>
      <c r="H66" s="2" t="s">
        <v>31</v>
      </c>
      <c r="I66" s="38">
        <v>45842.902034375002</v>
      </c>
      <c r="J66" s="2" t="s">
        <v>394</v>
      </c>
      <c r="K66" s="24">
        <v>34.945799999999998</v>
      </c>
      <c r="L66" s="24">
        <v>-81.933400000000006</v>
      </c>
      <c r="M66" s="2" t="s">
        <v>33</v>
      </c>
      <c r="N66" s="2" t="s">
        <v>395</v>
      </c>
      <c r="O66" s="2" t="s">
        <v>396</v>
      </c>
      <c r="P66" s="22">
        <v>4</v>
      </c>
      <c r="Q66" s="22">
        <v>4</v>
      </c>
      <c r="R66" s="22">
        <v>5</v>
      </c>
      <c r="S66" s="22">
        <v>4</v>
      </c>
      <c r="T66" s="22">
        <v>5</v>
      </c>
      <c r="U66" s="22">
        <v>3</v>
      </c>
      <c r="V66" s="22">
        <v>4</v>
      </c>
      <c r="W66" s="22">
        <v>5</v>
      </c>
      <c r="X66" s="22">
        <v>4</v>
      </c>
      <c r="Y66" s="22">
        <v>3</v>
      </c>
      <c r="Z66" s="22">
        <v>4</v>
      </c>
      <c r="AA66" s="22">
        <v>3</v>
      </c>
      <c r="AB66" s="22">
        <v>5</v>
      </c>
      <c r="AC66" s="22">
        <v>4</v>
      </c>
      <c r="AD66" s="22">
        <v>5</v>
      </c>
      <c r="AE66" s="22">
        <v>4</v>
      </c>
      <c r="AF66" s="22">
        <v>5</v>
      </c>
      <c r="AG66" s="22">
        <v>4</v>
      </c>
      <c r="AH66" s="22">
        <v>3</v>
      </c>
      <c r="AI66" s="22">
        <v>2</v>
      </c>
      <c r="AJ66" s="22">
        <v>3</v>
      </c>
      <c r="AK66" s="22">
        <v>5</v>
      </c>
      <c r="AL66" s="22">
        <v>3</v>
      </c>
      <c r="AM66" s="22">
        <v>4</v>
      </c>
      <c r="AN66" s="22">
        <v>5</v>
      </c>
      <c r="AO66" s="22">
        <v>4</v>
      </c>
      <c r="AP66" s="22">
        <v>3</v>
      </c>
      <c r="AQ66" s="22">
        <v>4</v>
      </c>
      <c r="AR66" s="22">
        <v>2</v>
      </c>
      <c r="AS66" s="22">
        <v>4</v>
      </c>
      <c r="AT66" s="22">
        <v>3</v>
      </c>
      <c r="AU66" s="22">
        <v>5</v>
      </c>
      <c r="AV66" s="22">
        <v>3</v>
      </c>
      <c r="AW66" s="22">
        <v>3</v>
      </c>
      <c r="AX66" s="22">
        <v>3</v>
      </c>
      <c r="AY66" s="22">
        <v>3</v>
      </c>
      <c r="AZ66" s="22">
        <v>4</v>
      </c>
      <c r="BA66" s="22">
        <v>5</v>
      </c>
      <c r="BB66" s="22">
        <v>3</v>
      </c>
      <c r="BC66" s="22">
        <v>3</v>
      </c>
      <c r="BD66" s="22">
        <v>4</v>
      </c>
      <c r="BE66" s="22">
        <v>4</v>
      </c>
      <c r="BF66" s="22">
        <v>3</v>
      </c>
      <c r="BG66" s="22">
        <v>4</v>
      </c>
      <c r="BH66" s="22">
        <v>3</v>
      </c>
      <c r="BI66" s="22">
        <v>3</v>
      </c>
      <c r="BJ66" s="22">
        <v>3</v>
      </c>
      <c r="BK66" s="22">
        <v>3</v>
      </c>
      <c r="BL66" s="22">
        <v>4</v>
      </c>
      <c r="BM66" s="22">
        <v>4</v>
      </c>
      <c r="BN66" s="22">
        <v>4</v>
      </c>
      <c r="BO66" s="22">
        <v>4</v>
      </c>
      <c r="BP66" s="22">
        <v>3</v>
      </c>
      <c r="BQ66" s="22">
        <v>5</v>
      </c>
      <c r="BR66" s="22">
        <v>4</v>
      </c>
      <c r="BS66" s="22">
        <v>3</v>
      </c>
      <c r="BT66" s="22">
        <v>4</v>
      </c>
      <c r="BU66" s="22">
        <v>4</v>
      </c>
      <c r="BV66" s="22">
        <v>3</v>
      </c>
      <c r="BW66" s="22">
        <v>4</v>
      </c>
      <c r="BX66" s="2" t="s">
        <v>397</v>
      </c>
      <c r="BY66" s="2" t="s">
        <v>32</v>
      </c>
      <c r="BZ66" s="2" t="s">
        <v>34</v>
      </c>
      <c r="CA66" s="2" t="s">
        <v>35</v>
      </c>
      <c r="CB66" s="24">
        <v>0</v>
      </c>
      <c r="CC66" s="2" t="s">
        <v>36</v>
      </c>
      <c r="CD66" s="2" t="s">
        <v>71</v>
      </c>
      <c r="CE66" s="2" t="s">
        <v>32</v>
      </c>
      <c r="CF66" s="24">
        <v>0</v>
      </c>
      <c r="CG66" s="24">
        <v>2</v>
      </c>
      <c r="CH66" s="2" t="s">
        <v>37</v>
      </c>
      <c r="CI66" s="2" t="s">
        <v>32</v>
      </c>
      <c r="CJ66" s="2" t="s">
        <v>32</v>
      </c>
      <c r="CK66" s="2" t="s">
        <v>38</v>
      </c>
      <c r="CL66" s="24">
        <v>1</v>
      </c>
      <c r="CM66" s="2" t="s">
        <v>45</v>
      </c>
      <c r="CN66" s="2" t="s">
        <v>32</v>
      </c>
    </row>
    <row r="67" spans="1:92" ht="14" customHeight="1" x14ac:dyDescent="0.35">
      <c r="A67" s="2" t="s">
        <v>386</v>
      </c>
      <c r="B67" t="str">
        <f t="shared" si="1"/>
        <v>p65</v>
      </c>
      <c r="C67" s="38">
        <v>45842.89403935185</v>
      </c>
      <c r="D67" s="38">
        <v>45842.901446759257</v>
      </c>
      <c r="E67" s="2" t="s">
        <v>382</v>
      </c>
      <c r="F67" s="24">
        <v>100</v>
      </c>
      <c r="G67" s="24">
        <v>639</v>
      </c>
      <c r="H67" s="2" t="s">
        <v>31</v>
      </c>
      <c r="I67" s="38">
        <v>45842.90145662037</v>
      </c>
      <c r="J67" s="2" t="s">
        <v>383</v>
      </c>
      <c r="K67" s="24">
        <v>38.813800000000001</v>
      </c>
      <c r="L67" s="24">
        <v>-77.148700000000005</v>
      </c>
      <c r="M67" s="2" t="s">
        <v>33</v>
      </c>
      <c r="N67" s="2" t="s">
        <v>384</v>
      </c>
      <c r="O67" s="2" t="s">
        <v>385</v>
      </c>
      <c r="P67" s="22">
        <v>5</v>
      </c>
      <c r="Q67" s="22">
        <v>5</v>
      </c>
      <c r="R67" s="22">
        <v>1</v>
      </c>
      <c r="S67" s="22">
        <v>2</v>
      </c>
      <c r="T67" s="22">
        <v>3</v>
      </c>
      <c r="U67" s="22">
        <v>4</v>
      </c>
      <c r="V67" s="22">
        <v>5</v>
      </c>
      <c r="W67" s="22">
        <v>1</v>
      </c>
      <c r="X67" s="22">
        <v>3</v>
      </c>
      <c r="Y67" s="22">
        <v>5</v>
      </c>
      <c r="Z67" s="22">
        <v>5</v>
      </c>
      <c r="AA67" s="22">
        <v>5</v>
      </c>
      <c r="AB67" s="22">
        <v>5</v>
      </c>
      <c r="AC67" s="22">
        <v>1</v>
      </c>
      <c r="AD67" s="22">
        <v>1</v>
      </c>
      <c r="AE67" s="22">
        <v>1</v>
      </c>
      <c r="AF67" s="22">
        <v>1</v>
      </c>
      <c r="AG67" s="22">
        <v>3</v>
      </c>
      <c r="AH67" s="22">
        <v>1</v>
      </c>
      <c r="AI67" s="22">
        <v>5</v>
      </c>
      <c r="AJ67" s="22">
        <v>1</v>
      </c>
      <c r="AK67" s="22">
        <v>5</v>
      </c>
      <c r="AL67" s="22">
        <v>1</v>
      </c>
      <c r="AM67" s="22">
        <v>1</v>
      </c>
      <c r="AN67" s="22">
        <v>5</v>
      </c>
      <c r="AO67" s="22">
        <v>1</v>
      </c>
      <c r="AP67" s="22">
        <v>5</v>
      </c>
      <c r="AQ67" s="22">
        <v>3</v>
      </c>
      <c r="AR67" s="22">
        <v>3</v>
      </c>
      <c r="AS67" s="22">
        <v>5</v>
      </c>
      <c r="AT67" s="22">
        <v>1</v>
      </c>
      <c r="AU67" s="22">
        <v>5</v>
      </c>
      <c r="AV67" s="22">
        <v>1</v>
      </c>
      <c r="AW67" s="22">
        <v>3</v>
      </c>
      <c r="AX67" s="22">
        <v>5</v>
      </c>
      <c r="AY67" s="22">
        <v>1</v>
      </c>
      <c r="AZ67" s="22">
        <v>5</v>
      </c>
      <c r="BA67" s="22">
        <v>4</v>
      </c>
      <c r="BB67" s="22">
        <v>3</v>
      </c>
      <c r="BC67" s="22">
        <v>5</v>
      </c>
      <c r="BD67" s="22">
        <v>1</v>
      </c>
      <c r="BE67" s="22">
        <v>5</v>
      </c>
      <c r="BF67" s="22">
        <v>5</v>
      </c>
      <c r="BG67" s="22">
        <v>3</v>
      </c>
      <c r="BH67" s="22">
        <v>5</v>
      </c>
      <c r="BI67" s="22">
        <v>1</v>
      </c>
      <c r="BJ67" s="22">
        <v>3</v>
      </c>
      <c r="BK67" s="22">
        <v>5</v>
      </c>
      <c r="BL67" s="22">
        <v>4</v>
      </c>
      <c r="BM67" s="22">
        <v>5</v>
      </c>
      <c r="BN67" s="22">
        <v>1</v>
      </c>
      <c r="BO67" s="22">
        <v>3</v>
      </c>
      <c r="BP67" s="22">
        <v>1</v>
      </c>
      <c r="BQ67" s="22">
        <v>3</v>
      </c>
      <c r="BR67" s="22">
        <v>3</v>
      </c>
      <c r="BS67" s="22">
        <v>1</v>
      </c>
      <c r="BT67" s="22">
        <v>1</v>
      </c>
      <c r="BU67" s="22">
        <v>2</v>
      </c>
      <c r="BV67" s="22">
        <v>5</v>
      </c>
      <c r="BW67" s="22">
        <v>3</v>
      </c>
      <c r="BX67" s="2" t="s">
        <v>386</v>
      </c>
      <c r="BY67" s="2" t="s">
        <v>32</v>
      </c>
      <c r="BZ67" s="2" t="s">
        <v>34</v>
      </c>
      <c r="CA67" s="2" t="s">
        <v>35</v>
      </c>
      <c r="CB67" s="24">
        <v>0</v>
      </c>
      <c r="CC67" s="2" t="s">
        <v>36</v>
      </c>
      <c r="CD67" s="2" t="s">
        <v>65</v>
      </c>
      <c r="CE67" s="2" t="s">
        <v>32</v>
      </c>
      <c r="CF67" s="24">
        <v>0</v>
      </c>
      <c r="CG67" s="24">
        <v>2</v>
      </c>
      <c r="CH67" s="2" t="s">
        <v>37</v>
      </c>
      <c r="CI67" s="2" t="s">
        <v>32</v>
      </c>
      <c r="CJ67" s="2" t="s">
        <v>32</v>
      </c>
      <c r="CK67" s="2" t="s">
        <v>38</v>
      </c>
      <c r="CL67" s="24">
        <v>1</v>
      </c>
      <c r="CM67" s="2" t="s">
        <v>45</v>
      </c>
      <c r="CN67" s="2" t="s">
        <v>32</v>
      </c>
    </row>
    <row r="68" spans="1:92" ht="14" customHeight="1" x14ac:dyDescent="0.35">
      <c r="A68" s="2" t="s">
        <v>376</v>
      </c>
      <c r="B68" t="str">
        <f t="shared" ref="B68:B131" si="2">"p"&amp;ROW(A66)</f>
        <v>p66</v>
      </c>
      <c r="C68" s="38">
        <v>45842.894594907404</v>
      </c>
      <c r="D68" s="38">
        <v>45842.900393518517</v>
      </c>
      <c r="E68" s="2" t="s">
        <v>372</v>
      </c>
      <c r="F68" s="24">
        <v>100</v>
      </c>
      <c r="G68" s="24">
        <v>501</v>
      </c>
      <c r="H68" s="2" t="s">
        <v>31</v>
      </c>
      <c r="I68" s="38">
        <v>45842.900401377316</v>
      </c>
      <c r="J68" s="2" t="s">
        <v>373</v>
      </c>
      <c r="K68" s="24">
        <v>29.7026</v>
      </c>
      <c r="L68" s="24">
        <v>-98.475899999999996</v>
      </c>
      <c r="M68" s="2" t="s">
        <v>33</v>
      </c>
      <c r="N68" s="2" t="s">
        <v>374</v>
      </c>
      <c r="O68" s="2" t="s">
        <v>375</v>
      </c>
      <c r="P68" s="22">
        <v>5</v>
      </c>
      <c r="Q68" s="22">
        <v>5</v>
      </c>
      <c r="R68" s="22">
        <v>2</v>
      </c>
      <c r="S68" s="22">
        <v>4</v>
      </c>
      <c r="T68" s="22">
        <v>4</v>
      </c>
      <c r="U68" s="22">
        <v>5</v>
      </c>
      <c r="V68" s="22">
        <v>5</v>
      </c>
      <c r="W68" s="22">
        <v>2</v>
      </c>
      <c r="X68" s="22">
        <v>4</v>
      </c>
      <c r="Y68" s="22">
        <v>5</v>
      </c>
      <c r="Z68" s="22">
        <v>4</v>
      </c>
      <c r="AA68" s="22">
        <v>5</v>
      </c>
      <c r="AB68" s="22">
        <v>4</v>
      </c>
      <c r="AC68" s="22">
        <v>5</v>
      </c>
      <c r="AD68" s="22">
        <v>1</v>
      </c>
      <c r="AE68" s="22">
        <v>2</v>
      </c>
      <c r="AF68" s="22">
        <v>1</v>
      </c>
      <c r="AG68" s="22">
        <v>1</v>
      </c>
      <c r="AH68" s="22">
        <v>1</v>
      </c>
      <c r="AI68" s="22">
        <v>4</v>
      </c>
      <c r="AJ68" s="22">
        <v>1</v>
      </c>
      <c r="AK68" s="22">
        <v>5</v>
      </c>
      <c r="AL68" s="22">
        <v>1</v>
      </c>
      <c r="AM68" s="22">
        <v>4</v>
      </c>
      <c r="AN68" s="22">
        <v>4</v>
      </c>
      <c r="AO68" s="22">
        <v>1</v>
      </c>
      <c r="AP68" s="22">
        <v>5</v>
      </c>
      <c r="AQ68" s="22">
        <v>5</v>
      </c>
      <c r="AR68" s="22">
        <v>2</v>
      </c>
      <c r="AS68" s="22">
        <v>5</v>
      </c>
      <c r="AT68" s="22">
        <v>2</v>
      </c>
      <c r="AU68" s="22">
        <v>5</v>
      </c>
      <c r="AV68" s="22">
        <v>1</v>
      </c>
      <c r="AW68" s="22">
        <v>3</v>
      </c>
      <c r="AX68" s="22">
        <v>4</v>
      </c>
      <c r="AY68" s="22">
        <v>2</v>
      </c>
      <c r="AZ68" s="22">
        <v>5</v>
      </c>
      <c r="BA68" s="22">
        <v>5</v>
      </c>
      <c r="BB68" s="22">
        <v>4</v>
      </c>
      <c r="BC68" s="22">
        <v>4</v>
      </c>
      <c r="BD68" s="22">
        <v>2</v>
      </c>
      <c r="BE68" s="22">
        <v>5</v>
      </c>
      <c r="BF68" s="22">
        <v>5</v>
      </c>
      <c r="BG68" s="22">
        <v>5</v>
      </c>
      <c r="BH68" s="22">
        <v>5</v>
      </c>
      <c r="BI68" s="22">
        <v>1</v>
      </c>
      <c r="BJ68" s="22">
        <v>4</v>
      </c>
      <c r="BK68" s="22">
        <v>5</v>
      </c>
      <c r="BL68" s="22">
        <v>5</v>
      </c>
      <c r="BM68" s="22">
        <v>5</v>
      </c>
      <c r="BN68" s="22">
        <v>1</v>
      </c>
      <c r="BO68" s="22">
        <v>3</v>
      </c>
      <c r="BP68" s="22">
        <v>1</v>
      </c>
      <c r="BQ68" s="22">
        <v>4</v>
      </c>
      <c r="BR68" s="22">
        <v>4</v>
      </c>
      <c r="BS68" s="22">
        <v>2</v>
      </c>
      <c r="BT68" s="22">
        <v>1</v>
      </c>
      <c r="BU68" s="22">
        <v>1</v>
      </c>
      <c r="BV68" s="22">
        <v>5</v>
      </c>
      <c r="BW68" s="22">
        <v>5</v>
      </c>
      <c r="BX68" s="2" t="s">
        <v>376</v>
      </c>
      <c r="BY68" s="2" t="s">
        <v>32</v>
      </c>
      <c r="BZ68" s="2" t="s">
        <v>34</v>
      </c>
      <c r="CA68" s="2" t="s">
        <v>35</v>
      </c>
      <c r="CB68" s="24">
        <v>0</v>
      </c>
      <c r="CC68" s="2" t="s">
        <v>36</v>
      </c>
      <c r="CD68" s="2" t="s">
        <v>53</v>
      </c>
      <c r="CE68" s="2" t="s">
        <v>32</v>
      </c>
      <c r="CF68" s="24">
        <v>0</v>
      </c>
      <c r="CG68" s="24">
        <v>2</v>
      </c>
      <c r="CH68" s="2" t="s">
        <v>37</v>
      </c>
      <c r="CI68" s="2" t="s">
        <v>32</v>
      </c>
      <c r="CJ68" s="2" t="s">
        <v>32</v>
      </c>
      <c r="CK68" s="2" t="s">
        <v>38</v>
      </c>
      <c r="CL68" s="24">
        <v>1</v>
      </c>
      <c r="CM68" s="2" t="s">
        <v>45</v>
      </c>
      <c r="CN68" s="2" t="s">
        <v>32</v>
      </c>
    </row>
    <row r="69" spans="1:92" ht="14" customHeight="1" x14ac:dyDescent="0.35">
      <c r="A69" s="2" t="s">
        <v>366</v>
      </c>
      <c r="B69" t="str">
        <f t="shared" si="2"/>
        <v>p67</v>
      </c>
      <c r="C69" s="38">
        <v>45842.894618055558</v>
      </c>
      <c r="D69" s="38">
        <v>45842.900011574071</v>
      </c>
      <c r="E69" s="2" t="s">
        <v>362</v>
      </c>
      <c r="F69" s="24">
        <v>100</v>
      </c>
      <c r="G69" s="24">
        <v>465</v>
      </c>
      <c r="H69" s="2" t="s">
        <v>31</v>
      </c>
      <c r="I69" s="38">
        <v>45842.900016886575</v>
      </c>
      <c r="J69" s="2" t="s">
        <v>363</v>
      </c>
      <c r="K69" s="24">
        <v>38.889200000000002</v>
      </c>
      <c r="L69" s="24">
        <v>-76.941699999999997</v>
      </c>
      <c r="M69" s="2" t="s">
        <v>33</v>
      </c>
      <c r="N69" s="2" t="s">
        <v>364</v>
      </c>
      <c r="O69" s="2" t="s">
        <v>365</v>
      </c>
      <c r="P69" s="22">
        <v>4</v>
      </c>
      <c r="Q69" s="22">
        <v>4</v>
      </c>
      <c r="R69" s="22">
        <v>1</v>
      </c>
      <c r="S69" s="22">
        <v>5</v>
      </c>
      <c r="T69" s="22">
        <v>5</v>
      </c>
      <c r="U69" s="22">
        <v>2</v>
      </c>
      <c r="V69" s="22">
        <v>5</v>
      </c>
      <c r="W69" s="22">
        <v>1</v>
      </c>
      <c r="X69" s="22">
        <v>1</v>
      </c>
      <c r="Y69" s="22">
        <v>5</v>
      </c>
      <c r="Z69" s="22">
        <v>5</v>
      </c>
      <c r="AA69" s="22">
        <v>5</v>
      </c>
      <c r="AB69" s="22">
        <v>4</v>
      </c>
      <c r="AC69" s="22">
        <v>1</v>
      </c>
      <c r="AD69" s="22">
        <v>1</v>
      </c>
      <c r="AE69" s="22">
        <v>1</v>
      </c>
      <c r="AF69" s="22">
        <v>1</v>
      </c>
      <c r="AG69" s="22">
        <v>4</v>
      </c>
      <c r="AH69" s="22">
        <v>1</v>
      </c>
      <c r="AI69" s="22">
        <v>5</v>
      </c>
      <c r="AJ69" s="22">
        <v>1</v>
      </c>
      <c r="AK69" s="22">
        <v>4</v>
      </c>
      <c r="AL69" s="22">
        <v>1</v>
      </c>
      <c r="AM69" s="22">
        <v>1</v>
      </c>
      <c r="AN69" s="22">
        <v>5</v>
      </c>
      <c r="AO69" s="22">
        <v>1</v>
      </c>
      <c r="AP69" s="22">
        <v>3</v>
      </c>
      <c r="AQ69" s="22">
        <v>4</v>
      </c>
      <c r="AR69" s="22">
        <v>2</v>
      </c>
      <c r="AS69" s="22">
        <v>4</v>
      </c>
      <c r="AT69" s="22">
        <v>1</v>
      </c>
      <c r="AU69" s="22">
        <v>1</v>
      </c>
      <c r="AV69" s="22">
        <v>1</v>
      </c>
      <c r="AW69" s="22">
        <v>4</v>
      </c>
      <c r="AX69" s="22">
        <v>3</v>
      </c>
      <c r="AY69" s="22">
        <v>1</v>
      </c>
      <c r="AZ69" s="22">
        <v>1</v>
      </c>
      <c r="BA69" s="22">
        <v>5</v>
      </c>
      <c r="BB69" s="22">
        <v>1</v>
      </c>
      <c r="BC69" s="22">
        <v>2</v>
      </c>
      <c r="BD69" s="22">
        <v>1</v>
      </c>
      <c r="BE69" s="22">
        <v>1</v>
      </c>
      <c r="BF69" s="22">
        <v>5</v>
      </c>
      <c r="BG69" s="22">
        <v>1</v>
      </c>
      <c r="BH69" s="22">
        <v>5</v>
      </c>
      <c r="BI69" s="22">
        <v>1</v>
      </c>
      <c r="BJ69" s="22">
        <v>2</v>
      </c>
      <c r="BK69" s="22">
        <v>2</v>
      </c>
      <c r="BL69" s="22">
        <v>2</v>
      </c>
      <c r="BM69" s="22">
        <v>3</v>
      </c>
      <c r="BN69" s="22">
        <v>1</v>
      </c>
      <c r="BO69" s="22">
        <v>5</v>
      </c>
      <c r="BP69" s="22">
        <v>1</v>
      </c>
      <c r="BQ69" s="22">
        <v>2</v>
      </c>
      <c r="BR69" s="22">
        <v>4</v>
      </c>
      <c r="BS69" s="22">
        <v>1</v>
      </c>
      <c r="BT69" s="22">
        <v>1</v>
      </c>
      <c r="BU69" s="22">
        <v>5</v>
      </c>
      <c r="BV69" s="22">
        <v>2</v>
      </c>
      <c r="BW69" s="22">
        <v>5</v>
      </c>
      <c r="BX69" s="2" t="s">
        <v>366</v>
      </c>
      <c r="BY69" s="2" t="s">
        <v>32</v>
      </c>
      <c r="BZ69" s="2" t="s">
        <v>34</v>
      </c>
      <c r="CA69" s="2" t="s">
        <v>35</v>
      </c>
      <c r="CB69" s="24">
        <v>0</v>
      </c>
      <c r="CC69" s="2" t="s">
        <v>36</v>
      </c>
      <c r="CD69" s="2" t="s">
        <v>51</v>
      </c>
      <c r="CE69" s="2" t="s">
        <v>32</v>
      </c>
      <c r="CF69" s="24">
        <v>0</v>
      </c>
      <c r="CG69" s="24">
        <v>2</v>
      </c>
      <c r="CH69" s="2" t="s">
        <v>37</v>
      </c>
      <c r="CI69" s="2" t="s">
        <v>32</v>
      </c>
      <c r="CJ69" s="2" t="s">
        <v>32</v>
      </c>
      <c r="CK69" s="2" t="s">
        <v>38</v>
      </c>
      <c r="CL69" s="24">
        <v>1</v>
      </c>
      <c r="CM69" s="2" t="s">
        <v>45</v>
      </c>
      <c r="CN69" s="2" t="s">
        <v>32</v>
      </c>
    </row>
    <row r="70" spans="1:92" ht="14" customHeight="1" x14ac:dyDescent="0.35">
      <c r="A70" s="2" t="s">
        <v>402</v>
      </c>
      <c r="B70" t="str">
        <f t="shared" si="2"/>
        <v>p68</v>
      </c>
      <c r="C70" s="38">
        <v>45842.895092592589</v>
      </c>
      <c r="D70" s="38">
        <v>45842.903043981481</v>
      </c>
      <c r="E70" s="2" t="s">
        <v>398</v>
      </c>
      <c r="F70" s="24">
        <v>100</v>
      </c>
      <c r="G70" s="24">
        <v>686</v>
      </c>
      <c r="H70" s="2" t="s">
        <v>31</v>
      </c>
      <c r="I70" s="38">
        <v>45842.903051354166</v>
      </c>
      <c r="J70" s="2" t="s">
        <v>399</v>
      </c>
      <c r="K70" s="24">
        <v>51.493299999999998</v>
      </c>
      <c r="L70" s="24">
        <v>-0.11409999999999999</v>
      </c>
      <c r="M70" s="2" t="s">
        <v>33</v>
      </c>
      <c r="N70" s="2" t="s">
        <v>400</v>
      </c>
      <c r="O70" s="2" t="s">
        <v>401</v>
      </c>
      <c r="P70" s="22">
        <v>5</v>
      </c>
      <c r="Q70" s="22">
        <v>4</v>
      </c>
      <c r="R70" s="22">
        <v>4</v>
      </c>
      <c r="S70" s="22">
        <v>5</v>
      </c>
      <c r="T70" s="22">
        <v>4</v>
      </c>
      <c r="U70" s="22">
        <v>3</v>
      </c>
      <c r="V70" s="22">
        <v>3</v>
      </c>
      <c r="W70" s="22">
        <v>3</v>
      </c>
      <c r="X70" s="22">
        <v>1</v>
      </c>
      <c r="Y70" s="22">
        <v>3</v>
      </c>
      <c r="Z70" s="22">
        <v>2</v>
      </c>
      <c r="AA70" s="22">
        <v>3</v>
      </c>
      <c r="AB70" s="22">
        <v>2</v>
      </c>
      <c r="AC70" s="22">
        <v>3</v>
      </c>
      <c r="AD70" s="22">
        <v>1</v>
      </c>
      <c r="AE70" s="22">
        <v>4</v>
      </c>
      <c r="AF70" s="22">
        <v>2</v>
      </c>
      <c r="AG70" s="22">
        <v>3</v>
      </c>
      <c r="AH70" s="22">
        <v>3</v>
      </c>
      <c r="AI70" s="22">
        <v>3</v>
      </c>
      <c r="AJ70" s="22">
        <v>2</v>
      </c>
      <c r="AK70" s="22">
        <v>3</v>
      </c>
      <c r="AL70" s="22">
        <v>2</v>
      </c>
      <c r="AM70" s="22">
        <v>3</v>
      </c>
      <c r="AN70" s="22">
        <v>2</v>
      </c>
      <c r="AO70" s="22">
        <v>2</v>
      </c>
      <c r="AP70" s="22">
        <v>3</v>
      </c>
      <c r="AQ70" s="22">
        <v>2</v>
      </c>
      <c r="AR70" s="22">
        <v>3</v>
      </c>
      <c r="AS70" s="22">
        <v>3</v>
      </c>
      <c r="AT70" s="22">
        <v>3</v>
      </c>
      <c r="AU70" s="22">
        <v>2</v>
      </c>
      <c r="AV70" s="22">
        <v>2</v>
      </c>
      <c r="AW70" s="22">
        <v>3</v>
      </c>
      <c r="AX70" s="22">
        <v>2</v>
      </c>
      <c r="AY70" s="22">
        <v>2</v>
      </c>
      <c r="AZ70" s="22">
        <v>3</v>
      </c>
      <c r="BA70" s="22">
        <v>3</v>
      </c>
      <c r="BB70" s="22">
        <v>2</v>
      </c>
      <c r="BC70" s="22">
        <v>2</v>
      </c>
      <c r="BD70" s="22">
        <v>3</v>
      </c>
      <c r="BE70" s="22">
        <v>2</v>
      </c>
      <c r="BF70" s="22">
        <v>3</v>
      </c>
      <c r="BG70" s="22">
        <v>2</v>
      </c>
      <c r="BH70" s="22">
        <v>3</v>
      </c>
      <c r="BI70" s="22">
        <v>3</v>
      </c>
      <c r="BJ70" s="22">
        <v>2</v>
      </c>
      <c r="BK70" s="22">
        <v>3</v>
      </c>
      <c r="BL70" s="22">
        <v>3</v>
      </c>
      <c r="BM70" s="22">
        <v>2</v>
      </c>
      <c r="BN70" s="22">
        <v>2</v>
      </c>
      <c r="BO70" s="22">
        <v>3</v>
      </c>
      <c r="BP70" s="22">
        <v>2</v>
      </c>
      <c r="BQ70" s="22">
        <v>1</v>
      </c>
      <c r="BR70" s="22">
        <v>3</v>
      </c>
      <c r="BS70" s="22">
        <v>4</v>
      </c>
      <c r="BT70" s="22">
        <v>3</v>
      </c>
      <c r="BU70" s="22">
        <v>3</v>
      </c>
      <c r="BV70" s="22">
        <v>3</v>
      </c>
      <c r="BW70" s="22">
        <v>3</v>
      </c>
      <c r="BX70" s="2" t="s">
        <v>402</v>
      </c>
      <c r="BY70" s="2" t="s">
        <v>32</v>
      </c>
      <c r="BZ70" s="2" t="s">
        <v>34</v>
      </c>
      <c r="CA70" s="2" t="s">
        <v>35</v>
      </c>
      <c r="CB70" s="24">
        <v>0</v>
      </c>
      <c r="CC70" s="2" t="s">
        <v>36</v>
      </c>
      <c r="CD70" s="2" t="s">
        <v>53</v>
      </c>
      <c r="CE70" s="2" t="s">
        <v>32</v>
      </c>
      <c r="CF70" s="24">
        <v>0</v>
      </c>
      <c r="CG70" s="24">
        <v>2</v>
      </c>
      <c r="CH70" s="2" t="s">
        <v>37</v>
      </c>
      <c r="CI70" s="2" t="s">
        <v>32</v>
      </c>
      <c r="CJ70" s="2" t="s">
        <v>32</v>
      </c>
      <c r="CK70" s="2" t="s">
        <v>38</v>
      </c>
      <c r="CL70" s="24">
        <v>1</v>
      </c>
      <c r="CM70" s="2" t="s">
        <v>45</v>
      </c>
      <c r="CN70" s="2" t="s">
        <v>32</v>
      </c>
    </row>
    <row r="71" spans="1:92" ht="14" customHeight="1" x14ac:dyDescent="0.35">
      <c r="A71" s="2" t="s">
        <v>371</v>
      </c>
      <c r="B71" t="str">
        <f t="shared" si="2"/>
        <v>p69</v>
      </c>
      <c r="C71" s="38">
        <v>45842.89534722222</v>
      </c>
      <c r="D71" s="38">
        <v>45842.900254629632</v>
      </c>
      <c r="E71" s="2" t="s">
        <v>367</v>
      </c>
      <c r="F71" s="24">
        <v>100</v>
      </c>
      <c r="G71" s="24">
        <v>423</v>
      </c>
      <c r="H71" s="2" t="s">
        <v>31</v>
      </c>
      <c r="I71" s="38">
        <v>45842.900262627314</v>
      </c>
      <c r="J71" s="2" t="s">
        <v>368</v>
      </c>
      <c r="K71" s="24">
        <v>53.166899999999998</v>
      </c>
      <c r="L71" s="24">
        <v>-2.2075</v>
      </c>
      <c r="M71" s="2" t="s">
        <v>33</v>
      </c>
      <c r="N71" s="2" t="s">
        <v>369</v>
      </c>
      <c r="O71" s="2" t="s">
        <v>370</v>
      </c>
      <c r="P71" s="22">
        <v>5</v>
      </c>
      <c r="Q71" s="22">
        <v>4</v>
      </c>
      <c r="R71" s="22">
        <v>2</v>
      </c>
      <c r="S71" s="22">
        <v>4</v>
      </c>
      <c r="T71" s="22">
        <v>5</v>
      </c>
      <c r="U71" s="22">
        <v>3</v>
      </c>
      <c r="V71" s="22">
        <v>3</v>
      </c>
      <c r="W71" s="22">
        <v>1</v>
      </c>
      <c r="X71" s="22">
        <v>2</v>
      </c>
      <c r="Y71" s="22">
        <v>4</v>
      </c>
      <c r="Z71" s="22">
        <v>4</v>
      </c>
      <c r="AA71" s="22">
        <v>4</v>
      </c>
      <c r="AB71" s="22">
        <v>3</v>
      </c>
      <c r="AC71" s="22">
        <v>2</v>
      </c>
      <c r="AD71" s="22">
        <v>1</v>
      </c>
      <c r="AE71" s="22">
        <v>2</v>
      </c>
      <c r="AF71" s="22">
        <v>1</v>
      </c>
      <c r="AG71" s="22">
        <v>3</v>
      </c>
      <c r="AH71" s="22">
        <v>2</v>
      </c>
      <c r="AI71" s="22">
        <v>4</v>
      </c>
      <c r="AJ71" s="22">
        <v>3</v>
      </c>
      <c r="AK71" s="22">
        <v>3</v>
      </c>
      <c r="AL71" s="22">
        <v>2</v>
      </c>
      <c r="AM71" s="22">
        <v>1</v>
      </c>
      <c r="AN71" s="22">
        <v>3</v>
      </c>
      <c r="AO71" s="22">
        <v>4</v>
      </c>
      <c r="AP71" s="22">
        <v>3</v>
      </c>
      <c r="AQ71" s="22">
        <v>4</v>
      </c>
      <c r="AR71" s="22">
        <v>3</v>
      </c>
      <c r="AS71" s="22">
        <v>3</v>
      </c>
      <c r="AT71" s="22">
        <v>2</v>
      </c>
      <c r="AU71" s="22">
        <v>3</v>
      </c>
      <c r="AV71" s="22">
        <v>1</v>
      </c>
      <c r="AW71" s="22">
        <v>3</v>
      </c>
      <c r="AX71" s="22">
        <v>4</v>
      </c>
      <c r="AY71" s="22">
        <v>3</v>
      </c>
      <c r="AZ71" s="22">
        <v>3</v>
      </c>
      <c r="BA71" s="22">
        <v>5</v>
      </c>
      <c r="BB71" s="22">
        <v>3</v>
      </c>
      <c r="BC71" s="22">
        <v>3</v>
      </c>
      <c r="BD71" s="22">
        <v>2</v>
      </c>
      <c r="BE71" s="22">
        <v>3</v>
      </c>
      <c r="BF71" s="22">
        <v>5</v>
      </c>
      <c r="BG71" s="22">
        <v>3</v>
      </c>
      <c r="BH71" s="22">
        <v>5</v>
      </c>
      <c r="BI71" s="22">
        <v>1</v>
      </c>
      <c r="BJ71" s="22">
        <v>3</v>
      </c>
      <c r="BK71" s="22">
        <v>3</v>
      </c>
      <c r="BL71" s="22">
        <v>3</v>
      </c>
      <c r="BM71" s="22">
        <v>4</v>
      </c>
      <c r="BN71" s="22">
        <v>3</v>
      </c>
      <c r="BO71" s="22">
        <v>4</v>
      </c>
      <c r="BP71" s="22">
        <v>1</v>
      </c>
      <c r="BQ71" s="22">
        <v>2</v>
      </c>
      <c r="BR71" s="22">
        <v>5</v>
      </c>
      <c r="BS71" s="22">
        <v>3</v>
      </c>
      <c r="BT71" s="22">
        <v>2</v>
      </c>
      <c r="BU71" s="22">
        <v>2</v>
      </c>
      <c r="BV71" s="22">
        <v>1</v>
      </c>
      <c r="BW71" s="22">
        <v>5</v>
      </c>
      <c r="BX71" s="2" t="s">
        <v>371</v>
      </c>
      <c r="BY71" s="2" t="s">
        <v>32</v>
      </c>
      <c r="BZ71" s="2" t="s">
        <v>34</v>
      </c>
      <c r="CA71" s="2" t="s">
        <v>35</v>
      </c>
      <c r="CB71" s="24">
        <v>0</v>
      </c>
      <c r="CC71" s="2" t="s">
        <v>36</v>
      </c>
      <c r="CD71" s="2" t="s">
        <v>53</v>
      </c>
      <c r="CE71" s="2" t="s">
        <v>32</v>
      </c>
      <c r="CF71" s="24">
        <v>0</v>
      </c>
      <c r="CG71" s="24">
        <v>2</v>
      </c>
      <c r="CH71" s="2" t="s">
        <v>37</v>
      </c>
      <c r="CI71" s="2" t="s">
        <v>32</v>
      </c>
      <c r="CJ71" s="2" t="s">
        <v>32</v>
      </c>
      <c r="CK71" s="2" t="s">
        <v>38</v>
      </c>
      <c r="CL71" s="24">
        <v>1</v>
      </c>
      <c r="CM71" s="2" t="s">
        <v>45</v>
      </c>
      <c r="CN71" s="2" t="s">
        <v>32</v>
      </c>
    </row>
    <row r="72" spans="1:92" ht="14" customHeight="1" x14ac:dyDescent="0.35">
      <c r="A72" s="2" t="s">
        <v>412</v>
      </c>
      <c r="B72" t="str">
        <f t="shared" si="2"/>
        <v>p70</v>
      </c>
      <c r="C72" s="38">
        <v>45842.89539351852</v>
      </c>
      <c r="D72" s="38">
        <v>45842.903078703705</v>
      </c>
      <c r="E72" s="2" t="s">
        <v>408</v>
      </c>
      <c r="F72" s="24">
        <v>100</v>
      </c>
      <c r="G72" s="24">
        <v>664</v>
      </c>
      <c r="H72" s="2" t="s">
        <v>31</v>
      </c>
      <c r="I72" s="38">
        <v>45842.90309359954</v>
      </c>
      <c r="J72" s="2" t="s">
        <v>409</v>
      </c>
      <c r="K72" s="24">
        <v>52.193199999999997</v>
      </c>
      <c r="L72" s="24">
        <v>0.1426</v>
      </c>
      <c r="M72" s="2" t="s">
        <v>33</v>
      </c>
      <c r="N72" s="2" t="s">
        <v>410</v>
      </c>
      <c r="O72" s="2" t="s">
        <v>411</v>
      </c>
      <c r="P72" s="22">
        <v>5</v>
      </c>
      <c r="Q72" s="22">
        <v>5</v>
      </c>
      <c r="R72" s="22">
        <v>5</v>
      </c>
      <c r="S72" s="22">
        <v>4</v>
      </c>
      <c r="T72" s="22">
        <v>5</v>
      </c>
      <c r="U72" s="22">
        <v>5</v>
      </c>
      <c r="V72" s="22">
        <v>5</v>
      </c>
      <c r="W72" s="22">
        <v>3</v>
      </c>
      <c r="X72" s="22">
        <v>2</v>
      </c>
      <c r="Y72" s="22">
        <v>5</v>
      </c>
      <c r="Z72" s="22">
        <v>5</v>
      </c>
      <c r="AA72" s="22">
        <v>5</v>
      </c>
      <c r="AB72" s="22">
        <v>5</v>
      </c>
      <c r="AC72" s="22">
        <v>5</v>
      </c>
      <c r="AD72" s="22">
        <v>2</v>
      </c>
      <c r="AE72" s="22">
        <v>2</v>
      </c>
      <c r="AF72" s="22">
        <v>1</v>
      </c>
      <c r="AG72" s="22">
        <v>5</v>
      </c>
      <c r="AH72" s="22">
        <v>1</v>
      </c>
      <c r="AI72" s="22">
        <v>3</v>
      </c>
      <c r="AJ72" s="22">
        <v>1</v>
      </c>
      <c r="AK72" s="22">
        <v>5</v>
      </c>
      <c r="AL72" s="22">
        <v>1</v>
      </c>
      <c r="AM72" s="22">
        <v>1</v>
      </c>
      <c r="AN72" s="22">
        <v>5</v>
      </c>
      <c r="AO72" s="22">
        <v>1</v>
      </c>
      <c r="AP72" s="22">
        <v>5</v>
      </c>
      <c r="AQ72" s="22">
        <v>5</v>
      </c>
      <c r="AR72" s="22">
        <v>4</v>
      </c>
      <c r="AS72" s="22">
        <v>5</v>
      </c>
      <c r="AT72" s="22">
        <v>2</v>
      </c>
      <c r="AU72" s="22">
        <v>5</v>
      </c>
      <c r="AV72" s="22">
        <v>2</v>
      </c>
      <c r="AW72" s="22">
        <v>5</v>
      </c>
      <c r="AX72" s="22">
        <v>5</v>
      </c>
      <c r="AY72" s="22">
        <v>3</v>
      </c>
      <c r="AZ72" s="22">
        <v>5</v>
      </c>
      <c r="BA72" s="22">
        <v>5</v>
      </c>
      <c r="BB72" s="22">
        <v>5</v>
      </c>
      <c r="BC72" s="22">
        <v>5</v>
      </c>
      <c r="BD72" s="22">
        <v>3</v>
      </c>
      <c r="BE72" s="22">
        <v>5</v>
      </c>
      <c r="BF72" s="22">
        <v>5</v>
      </c>
      <c r="BG72" s="22">
        <v>3</v>
      </c>
      <c r="BH72" s="22">
        <v>5</v>
      </c>
      <c r="BI72" s="22">
        <v>1</v>
      </c>
      <c r="BJ72" s="22">
        <v>5</v>
      </c>
      <c r="BK72" s="22">
        <v>2</v>
      </c>
      <c r="BL72" s="22">
        <v>5</v>
      </c>
      <c r="BM72" s="22">
        <v>5</v>
      </c>
      <c r="BN72" s="22">
        <v>1</v>
      </c>
      <c r="BO72" s="22">
        <v>1</v>
      </c>
      <c r="BP72" s="22">
        <v>1</v>
      </c>
      <c r="BQ72" s="22">
        <v>5</v>
      </c>
      <c r="BR72" s="22">
        <v>5</v>
      </c>
      <c r="BS72" s="22">
        <v>1</v>
      </c>
      <c r="BT72" s="22">
        <v>1</v>
      </c>
      <c r="BU72" s="22">
        <v>5</v>
      </c>
      <c r="BV72" s="22">
        <v>5</v>
      </c>
      <c r="BW72" s="22">
        <v>5</v>
      </c>
      <c r="BX72" s="2" t="s">
        <v>412</v>
      </c>
      <c r="BY72" s="2" t="s">
        <v>32</v>
      </c>
      <c r="BZ72" s="2" t="s">
        <v>34</v>
      </c>
      <c r="CA72" s="2" t="s">
        <v>35</v>
      </c>
      <c r="CB72" s="24">
        <v>0</v>
      </c>
      <c r="CC72" s="2" t="s">
        <v>36</v>
      </c>
      <c r="CD72" s="2" t="s">
        <v>71</v>
      </c>
      <c r="CE72" s="2" t="s">
        <v>32</v>
      </c>
      <c r="CF72" s="24">
        <v>0</v>
      </c>
      <c r="CG72" s="24">
        <v>2</v>
      </c>
      <c r="CH72" s="2" t="s">
        <v>37</v>
      </c>
      <c r="CI72" s="2" t="s">
        <v>32</v>
      </c>
      <c r="CJ72" s="2" t="s">
        <v>32</v>
      </c>
      <c r="CK72" s="2" t="s">
        <v>38</v>
      </c>
      <c r="CL72" s="24">
        <v>1</v>
      </c>
      <c r="CM72" s="2" t="s">
        <v>45</v>
      </c>
      <c r="CN72" s="2" t="s">
        <v>32</v>
      </c>
    </row>
    <row r="73" spans="1:92" ht="14" customHeight="1" x14ac:dyDescent="0.35">
      <c r="A73" s="2" t="s">
        <v>417</v>
      </c>
      <c r="B73" t="str">
        <f t="shared" si="2"/>
        <v>p71</v>
      </c>
      <c r="C73" s="38">
        <v>45842.895486111112</v>
      </c>
      <c r="D73" s="38">
        <v>45842.903252314813</v>
      </c>
      <c r="E73" s="2" t="s">
        <v>413</v>
      </c>
      <c r="F73" s="24">
        <v>100</v>
      </c>
      <c r="G73" s="24">
        <v>671</v>
      </c>
      <c r="H73" s="2" t="s">
        <v>31</v>
      </c>
      <c r="I73" s="38">
        <v>45842.903261643522</v>
      </c>
      <c r="J73" s="2" t="s">
        <v>414</v>
      </c>
      <c r="K73" s="24">
        <v>53.5501</v>
      </c>
      <c r="L73" s="24">
        <v>-2.4003000000000001</v>
      </c>
      <c r="M73" s="2" t="s">
        <v>33</v>
      </c>
      <c r="N73" s="2" t="s">
        <v>415</v>
      </c>
      <c r="O73" s="2" t="s">
        <v>416</v>
      </c>
      <c r="P73" s="22">
        <v>4</v>
      </c>
      <c r="Q73" s="22">
        <v>4</v>
      </c>
      <c r="R73" s="22">
        <v>2</v>
      </c>
      <c r="S73" s="22">
        <v>4</v>
      </c>
      <c r="T73" s="22">
        <v>5</v>
      </c>
      <c r="U73" s="22">
        <v>5</v>
      </c>
      <c r="V73" s="22">
        <v>5</v>
      </c>
      <c r="W73" s="22">
        <v>3</v>
      </c>
      <c r="X73" s="22">
        <v>3</v>
      </c>
      <c r="Y73" s="22">
        <v>5</v>
      </c>
      <c r="Z73" s="22">
        <v>4</v>
      </c>
      <c r="AA73" s="22">
        <v>5</v>
      </c>
      <c r="AB73" s="22">
        <v>4</v>
      </c>
      <c r="AC73" s="22">
        <v>4</v>
      </c>
      <c r="AD73" s="22">
        <v>1</v>
      </c>
      <c r="AE73" s="22">
        <v>4</v>
      </c>
      <c r="AF73" s="22">
        <v>2</v>
      </c>
      <c r="AG73" s="22">
        <v>3</v>
      </c>
      <c r="AH73" s="22">
        <v>3</v>
      </c>
      <c r="AI73" s="22">
        <v>2</v>
      </c>
      <c r="AJ73" s="22">
        <v>1</v>
      </c>
      <c r="AK73" s="22">
        <v>5</v>
      </c>
      <c r="AL73" s="22">
        <v>1</v>
      </c>
      <c r="AM73" s="22">
        <v>3</v>
      </c>
      <c r="AN73" s="22">
        <v>3</v>
      </c>
      <c r="AO73" s="22">
        <v>2</v>
      </c>
      <c r="AP73" s="22">
        <v>4</v>
      </c>
      <c r="AQ73" s="22">
        <v>4</v>
      </c>
      <c r="AR73" s="22">
        <v>3</v>
      </c>
      <c r="AS73" s="22">
        <v>5</v>
      </c>
      <c r="AT73" s="22">
        <v>1</v>
      </c>
      <c r="AU73" s="22">
        <v>3</v>
      </c>
      <c r="AV73" s="22">
        <v>1</v>
      </c>
      <c r="AW73" s="22">
        <v>1</v>
      </c>
      <c r="AX73" s="22">
        <v>4</v>
      </c>
      <c r="AY73" s="22">
        <v>3</v>
      </c>
      <c r="AZ73" s="22">
        <v>5</v>
      </c>
      <c r="BA73" s="22">
        <v>4</v>
      </c>
      <c r="BB73" s="22">
        <v>4</v>
      </c>
      <c r="BC73" s="22">
        <v>4</v>
      </c>
      <c r="BD73" s="22">
        <v>2</v>
      </c>
      <c r="BE73" s="22">
        <v>4</v>
      </c>
      <c r="BF73" s="22">
        <v>5</v>
      </c>
      <c r="BG73" s="22">
        <v>4</v>
      </c>
      <c r="BH73" s="22">
        <v>3</v>
      </c>
      <c r="BI73" s="22">
        <v>2</v>
      </c>
      <c r="BJ73" s="22">
        <v>3</v>
      </c>
      <c r="BK73" s="22">
        <v>4</v>
      </c>
      <c r="BL73" s="22">
        <v>4</v>
      </c>
      <c r="BM73" s="22">
        <v>5</v>
      </c>
      <c r="BN73" s="22">
        <v>3</v>
      </c>
      <c r="BO73" s="22">
        <v>4</v>
      </c>
      <c r="BP73" s="22">
        <v>1</v>
      </c>
      <c r="BQ73" s="22">
        <v>4</v>
      </c>
      <c r="BR73" s="22">
        <v>4</v>
      </c>
      <c r="BS73" s="22">
        <v>2</v>
      </c>
      <c r="BT73" s="22">
        <v>1</v>
      </c>
      <c r="BU73" s="22">
        <v>2</v>
      </c>
      <c r="BV73" s="22">
        <v>5</v>
      </c>
      <c r="BW73" s="22">
        <v>5</v>
      </c>
      <c r="BX73" s="2" t="s">
        <v>417</v>
      </c>
      <c r="BY73" s="2" t="s">
        <v>32</v>
      </c>
      <c r="BZ73" s="2" t="s">
        <v>34</v>
      </c>
      <c r="CA73" s="2" t="s">
        <v>35</v>
      </c>
      <c r="CB73" s="24">
        <v>0</v>
      </c>
      <c r="CC73" s="2" t="s">
        <v>36</v>
      </c>
      <c r="CD73" s="2" t="s">
        <v>51</v>
      </c>
      <c r="CE73" s="2" t="s">
        <v>32</v>
      </c>
      <c r="CF73" s="24">
        <v>0</v>
      </c>
      <c r="CG73" s="24">
        <v>2</v>
      </c>
      <c r="CH73" s="2" t="s">
        <v>37</v>
      </c>
      <c r="CI73" s="2" t="s">
        <v>32</v>
      </c>
      <c r="CJ73" s="2" t="s">
        <v>32</v>
      </c>
      <c r="CK73" s="2" t="s">
        <v>38</v>
      </c>
      <c r="CL73" s="24">
        <v>1</v>
      </c>
      <c r="CM73" s="2" t="s">
        <v>45</v>
      </c>
      <c r="CN73" s="2" t="s">
        <v>32</v>
      </c>
    </row>
    <row r="74" spans="1:92" ht="14" customHeight="1" x14ac:dyDescent="0.35">
      <c r="A74" s="2" t="s">
        <v>391</v>
      </c>
      <c r="B74" t="str">
        <f t="shared" si="2"/>
        <v>p72</v>
      </c>
      <c r="C74" s="38">
        <v>45842.895868055559</v>
      </c>
      <c r="D74" s="38">
        <v>45842.901446759257</v>
      </c>
      <c r="E74" s="2" t="s">
        <v>387</v>
      </c>
      <c r="F74" s="24">
        <v>100</v>
      </c>
      <c r="G74" s="24">
        <v>481</v>
      </c>
      <c r="H74" s="2" t="s">
        <v>31</v>
      </c>
      <c r="I74" s="38">
        <v>45842.901457789354</v>
      </c>
      <c r="J74" s="2" t="s">
        <v>388</v>
      </c>
      <c r="K74" s="24">
        <v>47.489100000000001</v>
      </c>
      <c r="L74" s="24">
        <v>-92.883799999999994</v>
      </c>
      <c r="M74" s="2" t="s">
        <v>33</v>
      </c>
      <c r="N74" s="2" t="s">
        <v>389</v>
      </c>
      <c r="O74" s="2" t="s">
        <v>390</v>
      </c>
      <c r="P74" s="22">
        <v>4</v>
      </c>
      <c r="Q74" s="22">
        <v>3</v>
      </c>
      <c r="R74" s="22">
        <v>5</v>
      </c>
      <c r="S74" s="22">
        <v>5</v>
      </c>
      <c r="T74" s="22">
        <v>3</v>
      </c>
      <c r="U74" s="22">
        <v>4</v>
      </c>
      <c r="V74" s="22">
        <v>2</v>
      </c>
      <c r="W74" s="22">
        <v>3</v>
      </c>
      <c r="X74" s="22">
        <v>3</v>
      </c>
      <c r="Y74" s="22">
        <v>4</v>
      </c>
      <c r="Z74" s="22">
        <v>4</v>
      </c>
      <c r="AA74" s="22">
        <v>5</v>
      </c>
      <c r="AB74" s="22">
        <v>4</v>
      </c>
      <c r="AC74" s="22">
        <v>5</v>
      </c>
      <c r="AD74" s="22">
        <v>2</v>
      </c>
      <c r="AE74" s="22">
        <v>5</v>
      </c>
      <c r="AF74" s="22">
        <v>3</v>
      </c>
      <c r="AG74" s="22">
        <v>5</v>
      </c>
      <c r="AH74" s="22">
        <v>5</v>
      </c>
      <c r="AI74" s="22">
        <v>1</v>
      </c>
      <c r="AJ74" s="22">
        <v>2</v>
      </c>
      <c r="AK74" s="22">
        <v>5</v>
      </c>
      <c r="AL74" s="22">
        <v>5</v>
      </c>
      <c r="AM74" s="22">
        <v>3</v>
      </c>
      <c r="AN74" s="22">
        <v>5</v>
      </c>
      <c r="AO74" s="22">
        <v>3</v>
      </c>
      <c r="AP74" s="22">
        <v>4</v>
      </c>
      <c r="AQ74" s="22">
        <v>4</v>
      </c>
      <c r="AR74" s="22">
        <v>3</v>
      </c>
      <c r="AS74" s="22">
        <v>3</v>
      </c>
      <c r="AT74" s="22">
        <v>4</v>
      </c>
      <c r="AU74" s="22">
        <v>4</v>
      </c>
      <c r="AV74" s="22">
        <v>4</v>
      </c>
      <c r="AW74" s="22">
        <v>4</v>
      </c>
      <c r="AX74" s="22">
        <v>4</v>
      </c>
      <c r="AY74" s="22">
        <v>3</v>
      </c>
      <c r="AZ74" s="22">
        <v>4</v>
      </c>
      <c r="BA74" s="22">
        <v>4</v>
      </c>
      <c r="BB74" s="22">
        <v>3</v>
      </c>
      <c r="BC74" s="22">
        <v>4</v>
      </c>
      <c r="BD74" s="22">
        <v>3</v>
      </c>
      <c r="BE74" s="22">
        <v>4</v>
      </c>
      <c r="BF74" s="22">
        <v>4</v>
      </c>
      <c r="BG74" s="22">
        <v>3</v>
      </c>
      <c r="BH74" s="22">
        <v>4</v>
      </c>
      <c r="BI74" s="22">
        <v>2</v>
      </c>
      <c r="BJ74" s="22">
        <v>4</v>
      </c>
      <c r="BK74" s="22">
        <v>3</v>
      </c>
      <c r="BL74" s="22">
        <v>2</v>
      </c>
      <c r="BM74" s="22">
        <v>4</v>
      </c>
      <c r="BN74" s="22">
        <v>2</v>
      </c>
      <c r="BO74" s="22">
        <v>2</v>
      </c>
      <c r="BP74" s="22">
        <v>3</v>
      </c>
      <c r="BQ74" s="22">
        <v>4</v>
      </c>
      <c r="BR74" s="22">
        <v>4</v>
      </c>
      <c r="BS74" s="22">
        <v>3</v>
      </c>
      <c r="BT74" s="22">
        <v>2</v>
      </c>
      <c r="BU74" s="22">
        <v>3</v>
      </c>
      <c r="BV74" s="22">
        <v>4</v>
      </c>
      <c r="BW74" s="22">
        <v>4</v>
      </c>
      <c r="BX74" s="2" t="s">
        <v>391</v>
      </c>
      <c r="BY74" s="2" t="s">
        <v>32</v>
      </c>
      <c r="BZ74" s="2" t="s">
        <v>34</v>
      </c>
      <c r="CA74" s="2" t="s">
        <v>35</v>
      </c>
      <c r="CB74" s="24">
        <v>0</v>
      </c>
      <c r="CC74" s="2" t="s">
        <v>36</v>
      </c>
      <c r="CD74" s="2" t="s">
        <v>392</v>
      </c>
      <c r="CE74" s="2" t="s">
        <v>32</v>
      </c>
      <c r="CF74" s="24">
        <v>0</v>
      </c>
      <c r="CG74" s="24">
        <v>2</v>
      </c>
      <c r="CH74" s="2" t="s">
        <v>37</v>
      </c>
      <c r="CI74" s="2" t="s">
        <v>32</v>
      </c>
      <c r="CJ74" s="2" t="s">
        <v>32</v>
      </c>
      <c r="CK74" s="2" t="s">
        <v>38</v>
      </c>
      <c r="CL74" s="24">
        <v>1</v>
      </c>
      <c r="CM74" s="2" t="s">
        <v>45</v>
      </c>
      <c r="CN74" s="2" t="s">
        <v>32</v>
      </c>
    </row>
    <row r="75" spans="1:92" ht="14" customHeight="1" x14ac:dyDescent="0.35">
      <c r="A75" s="2" t="s">
        <v>437</v>
      </c>
      <c r="B75" t="str">
        <f t="shared" si="2"/>
        <v>p73</v>
      </c>
      <c r="C75" s="38">
        <v>45842.896018518521</v>
      </c>
      <c r="D75" s="38">
        <v>45842.904780092591</v>
      </c>
      <c r="E75" s="2" t="s">
        <v>433</v>
      </c>
      <c r="F75" s="24">
        <v>100</v>
      </c>
      <c r="G75" s="24">
        <v>756</v>
      </c>
      <c r="H75" s="2" t="s">
        <v>31</v>
      </c>
      <c r="I75" s="38">
        <v>45842.90478986111</v>
      </c>
      <c r="J75" s="2" t="s">
        <v>434</v>
      </c>
      <c r="K75" s="24">
        <v>36.168500000000002</v>
      </c>
      <c r="L75" s="24">
        <v>-115.1164</v>
      </c>
      <c r="M75" s="2" t="s">
        <v>33</v>
      </c>
      <c r="N75" s="2" t="s">
        <v>435</v>
      </c>
      <c r="O75" s="2" t="s">
        <v>436</v>
      </c>
      <c r="P75" s="22">
        <v>5</v>
      </c>
      <c r="Q75" s="22">
        <v>5</v>
      </c>
      <c r="R75" s="22">
        <v>4</v>
      </c>
      <c r="S75" s="22">
        <v>2</v>
      </c>
      <c r="T75" s="22">
        <v>3</v>
      </c>
      <c r="U75" s="22">
        <v>5</v>
      </c>
      <c r="V75" s="22">
        <v>3</v>
      </c>
      <c r="W75" s="22">
        <v>3</v>
      </c>
      <c r="X75" s="22">
        <v>4</v>
      </c>
      <c r="Y75" s="22">
        <v>4</v>
      </c>
      <c r="Z75" s="22">
        <v>5</v>
      </c>
      <c r="AA75" s="22">
        <v>3</v>
      </c>
      <c r="AB75" s="22">
        <v>4</v>
      </c>
      <c r="AC75" s="22">
        <v>4</v>
      </c>
      <c r="AD75" s="22">
        <v>2</v>
      </c>
      <c r="AE75" s="22">
        <v>1</v>
      </c>
      <c r="AF75" s="22">
        <v>1</v>
      </c>
      <c r="AG75" s="22">
        <v>3</v>
      </c>
      <c r="AH75" s="22">
        <v>2</v>
      </c>
      <c r="AI75" s="22">
        <v>1</v>
      </c>
      <c r="AJ75" s="22">
        <v>1</v>
      </c>
      <c r="AK75" s="22">
        <v>3</v>
      </c>
      <c r="AL75" s="22">
        <v>4</v>
      </c>
      <c r="AM75" s="22">
        <v>2</v>
      </c>
      <c r="AN75" s="22">
        <v>5</v>
      </c>
      <c r="AO75" s="22">
        <v>2</v>
      </c>
      <c r="AP75" s="22">
        <v>5</v>
      </c>
      <c r="AQ75" s="22">
        <v>4</v>
      </c>
      <c r="AR75" s="22">
        <v>2</v>
      </c>
      <c r="AS75" s="22">
        <v>4</v>
      </c>
      <c r="AT75" s="22">
        <v>3</v>
      </c>
      <c r="AU75" s="22">
        <v>5</v>
      </c>
      <c r="AV75" s="22">
        <v>3</v>
      </c>
      <c r="AW75" s="22">
        <v>4</v>
      </c>
      <c r="AX75" s="22">
        <v>4</v>
      </c>
      <c r="AY75" s="22">
        <v>5</v>
      </c>
      <c r="AZ75" s="22">
        <v>3</v>
      </c>
      <c r="BA75" s="22">
        <v>3</v>
      </c>
      <c r="BB75" s="22">
        <v>4</v>
      </c>
      <c r="BC75" s="22">
        <v>2</v>
      </c>
      <c r="BD75" s="22">
        <v>3</v>
      </c>
      <c r="BE75" s="22">
        <v>3</v>
      </c>
      <c r="BF75" s="22">
        <v>5</v>
      </c>
      <c r="BG75" s="22">
        <v>2</v>
      </c>
      <c r="BH75" s="22">
        <v>4</v>
      </c>
      <c r="BI75" s="22">
        <v>1</v>
      </c>
      <c r="BJ75" s="22">
        <v>5</v>
      </c>
      <c r="BK75" s="22">
        <v>4</v>
      </c>
      <c r="BL75" s="22">
        <v>2</v>
      </c>
      <c r="BM75" s="22">
        <v>5</v>
      </c>
      <c r="BN75" s="22">
        <v>4</v>
      </c>
      <c r="BO75" s="22">
        <v>5</v>
      </c>
      <c r="BP75" s="22">
        <v>3</v>
      </c>
      <c r="BQ75" s="22">
        <v>2</v>
      </c>
      <c r="BR75" s="22">
        <v>4</v>
      </c>
      <c r="BS75" s="22">
        <v>3</v>
      </c>
      <c r="BT75" s="22">
        <v>4</v>
      </c>
      <c r="BU75" s="22">
        <v>2</v>
      </c>
      <c r="BV75" s="22">
        <v>5</v>
      </c>
      <c r="BW75" s="22">
        <v>3</v>
      </c>
      <c r="BX75" s="2" t="s">
        <v>437</v>
      </c>
      <c r="BY75" s="2" t="s">
        <v>32</v>
      </c>
      <c r="BZ75" s="2" t="s">
        <v>34</v>
      </c>
      <c r="CA75" s="2" t="s">
        <v>35</v>
      </c>
      <c r="CB75" s="24">
        <v>0</v>
      </c>
      <c r="CC75" s="2" t="s">
        <v>36</v>
      </c>
      <c r="CD75" s="2" t="s">
        <v>71</v>
      </c>
      <c r="CE75" s="2" t="s">
        <v>32</v>
      </c>
      <c r="CF75" s="24">
        <v>0</v>
      </c>
      <c r="CG75" s="24">
        <v>2</v>
      </c>
      <c r="CH75" s="2" t="s">
        <v>37</v>
      </c>
      <c r="CI75" s="2" t="s">
        <v>32</v>
      </c>
      <c r="CJ75" s="2" t="s">
        <v>32</v>
      </c>
      <c r="CK75" s="2" t="s">
        <v>38</v>
      </c>
      <c r="CL75" s="24">
        <v>1</v>
      </c>
      <c r="CM75" s="2" t="s">
        <v>45</v>
      </c>
      <c r="CN75" s="2" t="s">
        <v>32</v>
      </c>
    </row>
    <row r="76" spans="1:92" ht="14" customHeight="1" x14ac:dyDescent="0.35">
      <c r="A76" s="2" t="s">
        <v>447</v>
      </c>
      <c r="B76" t="str">
        <f t="shared" si="2"/>
        <v>p74</v>
      </c>
      <c r="C76" s="38">
        <v>45842.896273148152</v>
      </c>
      <c r="D76" s="38">
        <v>45842.91615740741</v>
      </c>
      <c r="E76" s="2" t="s">
        <v>443</v>
      </c>
      <c r="F76" s="24">
        <v>100</v>
      </c>
      <c r="G76" s="24">
        <v>1717</v>
      </c>
      <c r="H76" s="2" t="s">
        <v>31</v>
      </c>
      <c r="I76" s="38">
        <v>45842.916169050928</v>
      </c>
      <c r="J76" s="2" t="s">
        <v>444</v>
      </c>
      <c r="K76" s="24">
        <v>38.720999999999997</v>
      </c>
      <c r="L76" s="24">
        <v>-75.075199999999995</v>
      </c>
      <c r="M76" s="2" t="s">
        <v>33</v>
      </c>
      <c r="N76" s="2" t="s">
        <v>445</v>
      </c>
      <c r="O76" s="2" t="s">
        <v>446</v>
      </c>
      <c r="P76" s="22">
        <v>5</v>
      </c>
      <c r="Q76" s="22">
        <v>5</v>
      </c>
      <c r="R76" s="22">
        <v>2</v>
      </c>
      <c r="S76" s="22">
        <v>4</v>
      </c>
      <c r="T76" s="22">
        <v>4</v>
      </c>
      <c r="U76" s="22">
        <v>5</v>
      </c>
      <c r="V76" s="22">
        <v>4</v>
      </c>
      <c r="W76" s="22">
        <v>1</v>
      </c>
      <c r="X76" s="22">
        <v>3</v>
      </c>
      <c r="Y76" s="22">
        <v>5</v>
      </c>
      <c r="Z76" s="22">
        <v>4</v>
      </c>
      <c r="AA76" s="22">
        <v>5</v>
      </c>
      <c r="AB76" s="22">
        <v>4</v>
      </c>
      <c r="AC76" s="22">
        <v>3</v>
      </c>
      <c r="AD76" s="22">
        <v>3</v>
      </c>
      <c r="AE76" s="22">
        <v>4</v>
      </c>
      <c r="AF76" s="22">
        <v>1</v>
      </c>
      <c r="AG76" s="22">
        <v>1</v>
      </c>
      <c r="AH76" s="22">
        <v>3</v>
      </c>
      <c r="AI76" s="22">
        <v>4</v>
      </c>
      <c r="AJ76" s="22">
        <v>1</v>
      </c>
      <c r="AK76" s="22">
        <v>5</v>
      </c>
      <c r="AL76" s="22">
        <v>1</v>
      </c>
      <c r="AM76" s="22">
        <v>3</v>
      </c>
      <c r="AN76" s="22">
        <v>4</v>
      </c>
      <c r="AO76" s="22">
        <v>4</v>
      </c>
      <c r="AP76" s="22">
        <v>5</v>
      </c>
      <c r="AQ76" s="22">
        <v>5</v>
      </c>
      <c r="AR76" s="22">
        <v>2</v>
      </c>
      <c r="AS76" s="22">
        <v>5</v>
      </c>
      <c r="AT76" s="22">
        <v>1</v>
      </c>
      <c r="AU76" s="22">
        <v>2</v>
      </c>
      <c r="AV76" s="22">
        <v>1</v>
      </c>
      <c r="AW76" s="22">
        <v>2</v>
      </c>
      <c r="AX76" s="22">
        <v>5</v>
      </c>
      <c r="AY76" s="22">
        <v>2</v>
      </c>
      <c r="AZ76" s="22">
        <v>5</v>
      </c>
      <c r="BA76" s="22">
        <v>5</v>
      </c>
      <c r="BB76" s="22">
        <v>4</v>
      </c>
      <c r="BC76" s="22">
        <v>5</v>
      </c>
      <c r="BD76" s="22">
        <v>1</v>
      </c>
      <c r="BE76" s="22">
        <v>5</v>
      </c>
      <c r="BF76" s="22">
        <v>5</v>
      </c>
      <c r="BG76" s="22">
        <v>3</v>
      </c>
      <c r="BH76" s="22">
        <v>5</v>
      </c>
      <c r="BI76" s="22">
        <v>1</v>
      </c>
      <c r="BJ76" s="22">
        <v>2</v>
      </c>
      <c r="BK76" s="22">
        <v>4</v>
      </c>
      <c r="BL76" s="22">
        <v>4</v>
      </c>
      <c r="BM76" s="22">
        <v>5</v>
      </c>
      <c r="BN76" s="22">
        <v>1</v>
      </c>
      <c r="BO76" s="22">
        <v>5</v>
      </c>
      <c r="BP76" s="22">
        <v>1</v>
      </c>
      <c r="BQ76" s="22">
        <v>4</v>
      </c>
      <c r="BR76" s="22">
        <v>4</v>
      </c>
      <c r="BS76" s="22">
        <v>1</v>
      </c>
      <c r="BT76" s="22">
        <v>1</v>
      </c>
      <c r="BU76" s="22">
        <v>4</v>
      </c>
      <c r="BV76" s="22">
        <v>5</v>
      </c>
      <c r="BW76" s="22">
        <v>5</v>
      </c>
      <c r="BX76" s="2" t="s">
        <v>447</v>
      </c>
      <c r="BY76" s="2" t="s">
        <v>32</v>
      </c>
      <c r="BZ76" s="2" t="s">
        <v>34</v>
      </c>
      <c r="CA76" s="2" t="s">
        <v>35</v>
      </c>
      <c r="CB76" s="24">
        <v>0</v>
      </c>
      <c r="CC76" s="2" t="s">
        <v>36</v>
      </c>
      <c r="CD76" s="2" t="s">
        <v>53</v>
      </c>
      <c r="CE76" s="2" t="s">
        <v>32</v>
      </c>
      <c r="CF76" s="24">
        <v>0</v>
      </c>
      <c r="CG76" s="24">
        <v>2</v>
      </c>
      <c r="CH76" s="2" t="s">
        <v>37</v>
      </c>
      <c r="CI76" s="2" t="s">
        <v>32</v>
      </c>
      <c r="CJ76" s="2" t="s">
        <v>32</v>
      </c>
      <c r="CK76" s="2" t="s">
        <v>38</v>
      </c>
      <c r="CL76" s="24">
        <v>1</v>
      </c>
      <c r="CM76" s="2" t="s">
        <v>45</v>
      </c>
      <c r="CN76" s="2" t="s">
        <v>32</v>
      </c>
    </row>
    <row r="77" spans="1:92" ht="14" customHeight="1" x14ac:dyDescent="0.35">
      <c r="A77" s="2" t="s">
        <v>422</v>
      </c>
      <c r="B77" t="str">
        <f t="shared" si="2"/>
        <v>p75</v>
      </c>
      <c r="C77" s="38">
        <v>45842.896979166668</v>
      </c>
      <c r="D77" s="38">
        <v>45842.903854166667</v>
      </c>
      <c r="E77" s="2" t="s">
        <v>418</v>
      </c>
      <c r="F77" s="24">
        <v>100</v>
      </c>
      <c r="G77" s="24">
        <v>594</v>
      </c>
      <c r="H77" s="2" t="s">
        <v>31</v>
      </c>
      <c r="I77" s="38">
        <v>45842.903869409725</v>
      </c>
      <c r="J77" s="2" t="s">
        <v>419</v>
      </c>
      <c r="K77" s="24">
        <v>28.597799999999999</v>
      </c>
      <c r="L77" s="24">
        <v>-81.302400000000006</v>
      </c>
      <c r="M77" s="2" t="s">
        <v>33</v>
      </c>
      <c r="N77" s="2" t="s">
        <v>420</v>
      </c>
      <c r="O77" s="2" t="s">
        <v>421</v>
      </c>
      <c r="P77" s="22">
        <v>4</v>
      </c>
      <c r="Q77" s="22">
        <v>5</v>
      </c>
      <c r="R77" s="22">
        <v>2</v>
      </c>
      <c r="S77" s="22">
        <v>4</v>
      </c>
      <c r="T77" s="22">
        <v>4</v>
      </c>
      <c r="U77" s="22">
        <v>4</v>
      </c>
      <c r="V77" s="22">
        <v>2</v>
      </c>
      <c r="W77" s="22">
        <v>1</v>
      </c>
      <c r="X77" s="22">
        <v>2</v>
      </c>
      <c r="Y77" s="22">
        <v>4</v>
      </c>
      <c r="Z77" s="22">
        <v>4</v>
      </c>
      <c r="AA77" s="22">
        <v>4</v>
      </c>
      <c r="AB77" s="22">
        <v>2</v>
      </c>
      <c r="AC77" s="22">
        <v>3</v>
      </c>
      <c r="AD77" s="22">
        <v>1</v>
      </c>
      <c r="AE77" s="22">
        <v>2</v>
      </c>
      <c r="AF77" s="22">
        <v>1</v>
      </c>
      <c r="AG77" s="22">
        <v>4</v>
      </c>
      <c r="AH77" s="22">
        <v>3</v>
      </c>
      <c r="AI77" s="22">
        <v>4</v>
      </c>
      <c r="AJ77" s="22">
        <v>1</v>
      </c>
      <c r="AK77" s="22">
        <v>4</v>
      </c>
      <c r="AL77" s="22">
        <v>2</v>
      </c>
      <c r="AM77" s="22">
        <v>2</v>
      </c>
      <c r="AN77" s="22">
        <v>3</v>
      </c>
      <c r="AO77" s="22">
        <v>3</v>
      </c>
      <c r="AP77" s="22">
        <v>2</v>
      </c>
      <c r="AQ77" s="22">
        <v>4</v>
      </c>
      <c r="AR77" s="22">
        <v>4</v>
      </c>
      <c r="AS77" s="22">
        <v>4</v>
      </c>
      <c r="AT77" s="22">
        <v>2</v>
      </c>
      <c r="AU77" s="22">
        <v>4</v>
      </c>
      <c r="AV77" s="22">
        <v>2</v>
      </c>
      <c r="AW77" s="22">
        <v>4</v>
      </c>
      <c r="AX77" s="22">
        <v>4</v>
      </c>
      <c r="AY77" s="22">
        <v>2</v>
      </c>
      <c r="AZ77" s="22">
        <v>3</v>
      </c>
      <c r="BA77" s="22">
        <v>3</v>
      </c>
      <c r="BB77" s="22">
        <v>2</v>
      </c>
      <c r="BC77" s="22">
        <v>3</v>
      </c>
      <c r="BD77" s="22">
        <v>1</v>
      </c>
      <c r="BE77" s="22">
        <v>3</v>
      </c>
      <c r="BF77" s="22">
        <v>4</v>
      </c>
      <c r="BG77" s="22">
        <v>2</v>
      </c>
      <c r="BH77" s="22">
        <v>4</v>
      </c>
      <c r="BI77" s="22">
        <v>1</v>
      </c>
      <c r="BJ77" s="22">
        <v>2</v>
      </c>
      <c r="BK77" s="22">
        <v>1</v>
      </c>
      <c r="BL77" s="22">
        <v>4</v>
      </c>
      <c r="BM77" s="22">
        <v>4</v>
      </c>
      <c r="BN77" s="22">
        <v>2</v>
      </c>
      <c r="BO77" s="22">
        <v>4</v>
      </c>
      <c r="BP77" s="22">
        <v>2</v>
      </c>
      <c r="BQ77" s="22">
        <v>2</v>
      </c>
      <c r="BR77" s="22">
        <v>4</v>
      </c>
      <c r="BS77" s="22">
        <v>4</v>
      </c>
      <c r="BT77" s="22">
        <v>2</v>
      </c>
      <c r="BU77" s="22">
        <v>4</v>
      </c>
      <c r="BV77" s="22">
        <v>4</v>
      </c>
      <c r="BW77" s="22">
        <v>4</v>
      </c>
      <c r="BX77" s="2" t="s">
        <v>422</v>
      </c>
      <c r="BY77" s="2" t="s">
        <v>32</v>
      </c>
      <c r="BZ77" s="2" t="s">
        <v>34</v>
      </c>
      <c r="CA77" s="2" t="s">
        <v>35</v>
      </c>
      <c r="CB77" s="24">
        <v>0</v>
      </c>
      <c r="CC77" s="2" t="s">
        <v>36</v>
      </c>
      <c r="CD77" s="2" t="s">
        <v>71</v>
      </c>
      <c r="CE77" s="2" t="s">
        <v>32</v>
      </c>
      <c r="CF77" s="24">
        <v>0</v>
      </c>
      <c r="CG77" s="24">
        <v>2</v>
      </c>
      <c r="CH77" s="2" t="s">
        <v>37</v>
      </c>
      <c r="CI77" s="2" t="s">
        <v>32</v>
      </c>
      <c r="CJ77" s="2" t="s">
        <v>32</v>
      </c>
      <c r="CK77" s="2" t="s">
        <v>38</v>
      </c>
      <c r="CL77" s="24">
        <v>1</v>
      </c>
      <c r="CM77" s="2" t="s">
        <v>45</v>
      </c>
      <c r="CN77" s="2" t="s">
        <v>32</v>
      </c>
    </row>
    <row r="78" spans="1:92" ht="14" customHeight="1" x14ac:dyDescent="0.35">
      <c r="A78" s="2" t="s">
        <v>427</v>
      </c>
      <c r="B78" t="str">
        <f t="shared" si="2"/>
        <v>p76</v>
      </c>
      <c r="C78" s="38">
        <v>45842.89744212963</v>
      </c>
      <c r="D78" s="38">
        <v>45842.904675925929</v>
      </c>
      <c r="E78" s="2" t="s">
        <v>423</v>
      </c>
      <c r="F78" s="24">
        <v>100</v>
      </c>
      <c r="G78" s="24">
        <v>624</v>
      </c>
      <c r="H78" s="2" t="s">
        <v>31</v>
      </c>
      <c r="I78" s="38">
        <v>45842.904687199072</v>
      </c>
      <c r="J78" s="2" t="s">
        <v>424</v>
      </c>
      <c r="K78" s="24">
        <v>37.553199999999997</v>
      </c>
      <c r="L78" s="24">
        <v>-83.383499999999998</v>
      </c>
      <c r="M78" s="2" t="s">
        <v>33</v>
      </c>
      <c r="N78" s="2" t="s">
        <v>425</v>
      </c>
      <c r="O78" s="2" t="s">
        <v>426</v>
      </c>
      <c r="P78" s="22">
        <v>4</v>
      </c>
      <c r="Q78" s="22">
        <v>5</v>
      </c>
      <c r="R78" s="22">
        <v>3</v>
      </c>
      <c r="S78" s="22">
        <v>2</v>
      </c>
      <c r="T78" s="22">
        <v>4</v>
      </c>
      <c r="U78" s="22">
        <v>3</v>
      </c>
      <c r="V78" s="22">
        <v>2</v>
      </c>
      <c r="W78" s="22">
        <v>2</v>
      </c>
      <c r="X78" s="22">
        <v>1</v>
      </c>
      <c r="Y78" s="22">
        <v>5</v>
      </c>
      <c r="Z78" s="22">
        <v>4</v>
      </c>
      <c r="AA78" s="22">
        <v>4</v>
      </c>
      <c r="AB78" s="22">
        <v>3</v>
      </c>
      <c r="AC78" s="22">
        <v>3</v>
      </c>
      <c r="AD78" s="22">
        <v>1</v>
      </c>
      <c r="AE78" s="22">
        <v>4</v>
      </c>
      <c r="AF78" s="22">
        <v>1</v>
      </c>
      <c r="AG78" s="22">
        <v>5</v>
      </c>
      <c r="AH78" s="22">
        <v>3</v>
      </c>
      <c r="AI78" s="22">
        <v>3</v>
      </c>
      <c r="AJ78" s="22">
        <v>1</v>
      </c>
      <c r="AK78" s="22">
        <v>2</v>
      </c>
      <c r="AL78" s="22">
        <v>1</v>
      </c>
      <c r="AM78" s="22">
        <v>2</v>
      </c>
      <c r="AN78" s="22">
        <v>3</v>
      </c>
      <c r="AO78" s="22">
        <v>1</v>
      </c>
      <c r="AP78" s="22">
        <v>4</v>
      </c>
      <c r="AQ78" s="22">
        <v>2</v>
      </c>
      <c r="AR78" s="22">
        <v>5</v>
      </c>
      <c r="AS78" s="22">
        <v>5</v>
      </c>
      <c r="AT78" s="22">
        <v>2</v>
      </c>
      <c r="AU78" s="22">
        <v>3</v>
      </c>
      <c r="AV78" s="22">
        <v>1</v>
      </c>
      <c r="AW78" s="22">
        <v>5</v>
      </c>
      <c r="AX78" s="22">
        <v>4</v>
      </c>
      <c r="AY78" s="22">
        <v>3</v>
      </c>
      <c r="AZ78" s="22">
        <v>5</v>
      </c>
      <c r="BA78" s="22">
        <v>3</v>
      </c>
      <c r="BB78" s="22">
        <v>1</v>
      </c>
      <c r="BC78" s="22">
        <v>3</v>
      </c>
      <c r="BD78" s="22">
        <v>3</v>
      </c>
      <c r="BE78" s="22">
        <v>4</v>
      </c>
      <c r="BF78" s="22">
        <v>3</v>
      </c>
      <c r="BG78" s="22">
        <v>1</v>
      </c>
      <c r="BH78" s="22">
        <v>4</v>
      </c>
      <c r="BI78" s="22">
        <v>2</v>
      </c>
      <c r="BJ78" s="22">
        <v>3</v>
      </c>
      <c r="BK78" s="22">
        <v>3</v>
      </c>
      <c r="BL78" s="22">
        <v>4</v>
      </c>
      <c r="BM78" s="22">
        <v>4</v>
      </c>
      <c r="BN78" s="22">
        <v>2</v>
      </c>
      <c r="BO78" s="22">
        <v>5</v>
      </c>
      <c r="BP78" s="22">
        <v>1</v>
      </c>
      <c r="BQ78" s="22">
        <v>1</v>
      </c>
      <c r="BR78" s="22">
        <v>5</v>
      </c>
      <c r="BS78" s="22">
        <v>1</v>
      </c>
      <c r="BT78" s="22">
        <v>2</v>
      </c>
      <c r="BU78" s="22">
        <v>3</v>
      </c>
      <c r="BV78" s="22">
        <v>3</v>
      </c>
      <c r="BW78" s="22">
        <v>5</v>
      </c>
      <c r="BX78" s="2" t="s">
        <v>427</v>
      </c>
      <c r="BY78" s="2" t="s">
        <v>32</v>
      </c>
      <c r="BZ78" s="2" t="s">
        <v>34</v>
      </c>
      <c r="CA78" s="2" t="s">
        <v>35</v>
      </c>
      <c r="CB78" s="24">
        <v>0</v>
      </c>
      <c r="CC78" s="2" t="s">
        <v>36</v>
      </c>
      <c r="CD78" s="2" t="s">
        <v>53</v>
      </c>
      <c r="CE78" s="2" t="s">
        <v>32</v>
      </c>
      <c r="CF78" s="24">
        <v>0</v>
      </c>
      <c r="CG78" s="24">
        <v>2</v>
      </c>
      <c r="CH78" s="2" t="s">
        <v>37</v>
      </c>
      <c r="CI78" s="2" t="s">
        <v>32</v>
      </c>
      <c r="CJ78" s="2" t="s">
        <v>32</v>
      </c>
      <c r="CK78" s="2" t="s">
        <v>38</v>
      </c>
      <c r="CL78" s="24">
        <v>1</v>
      </c>
      <c r="CM78" s="2" t="s">
        <v>45</v>
      </c>
      <c r="CN78" s="2" t="s">
        <v>32</v>
      </c>
    </row>
    <row r="79" spans="1:92" ht="14" customHeight="1" x14ac:dyDescent="0.35">
      <c r="A79" s="2" t="s">
        <v>432</v>
      </c>
      <c r="B79" t="str">
        <f t="shared" si="2"/>
        <v>p77</v>
      </c>
      <c r="C79" s="38">
        <v>45842.899328703701</v>
      </c>
      <c r="D79" s="38">
        <v>45842.904710648145</v>
      </c>
      <c r="E79" s="2" t="s">
        <v>428</v>
      </c>
      <c r="F79" s="24">
        <v>100</v>
      </c>
      <c r="G79" s="24">
        <v>465</v>
      </c>
      <c r="H79" s="2" t="s">
        <v>31</v>
      </c>
      <c r="I79" s="38">
        <v>45842.904726400462</v>
      </c>
      <c r="J79" s="2" t="s">
        <v>429</v>
      </c>
      <c r="K79" s="24">
        <v>30.373699999999999</v>
      </c>
      <c r="L79" s="24">
        <v>-87.312600000000003</v>
      </c>
      <c r="M79" s="2" t="s">
        <v>33</v>
      </c>
      <c r="N79" s="2" t="s">
        <v>430</v>
      </c>
      <c r="O79" s="2" t="s">
        <v>431</v>
      </c>
      <c r="P79" s="22">
        <v>5</v>
      </c>
      <c r="Q79" s="22">
        <v>3</v>
      </c>
      <c r="R79" s="22">
        <v>2</v>
      </c>
      <c r="S79" s="22">
        <v>5</v>
      </c>
      <c r="T79" s="22">
        <v>5</v>
      </c>
      <c r="U79" s="22">
        <v>5</v>
      </c>
      <c r="V79" s="22">
        <v>1</v>
      </c>
      <c r="W79" s="22">
        <v>2</v>
      </c>
      <c r="X79" s="22">
        <v>1</v>
      </c>
      <c r="Y79" s="22">
        <v>4</v>
      </c>
      <c r="Z79" s="22">
        <v>3</v>
      </c>
      <c r="AA79" s="22">
        <v>4</v>
      </c>
      <c r="AB79" s="22">
        <v>1</v>
      </c>
      <c r="AC79" s="22">
        <v>3</v>
      </c>
      <c r="AD79" s="22">
        <v>1</v>
      </c>
      <c r="AE79" s="22">
        <v>2</v>
      </c>
      <c r="AF79" s="22">
        <v>3</v>
      </c>
      <c r="AG79" s="22">
        <v>5</v>
      </c>
      <c r="AH79" s="22">
        <v>2</v>
      </c>
      <c r="AI79" s="22">
        <v>2</v>
      </c>
      <c r="AJ79" s="22">
        <v>3</v>
      </c>
      <c r="AK79" s="22">
        <v>4</v>
      </c>
      <c r="AL79" s="22">
        <v>2</v>
      </c>
      <c r="AM79" s="22">
        <v>2</v>
      </c>
      <c r="AN79" s="22">
        <v>4</v>
      </c>
      <c r="AO79" s="22">
        <v>1</v>
      </c>
      <c r="AP79" s="22">
        <v>5</v>
      </c>
      <c r="AQ79" s="22">
        <v>3</v>
      </c>
      <c r="AR79" s="22">
        <v>5</v>
      </c>
      <c r="AS79" s="22">
        <v>5</v>
      </c>
      <c r="AT79" s="22">
        <v>2</v>
      </c>
      <c r="AU79" s="22">
        <v>4</v>
      </c>
      <c r="AV79" s="22">
        <v>3</v>
      </c>
      <c r="AW79" s="22">
        <v>5</v>
      </c>
      <c r="AX79" s="22">
        <v>4</v>
      </c>
      <c r="AY79" s="22">
        <v>1</v>
      </c>
      <c r="AZ79" s="22">
        <v>3</v>
      </c>
      <c r="BA79" s="22">
        <v>3</v>
      </c>
      <c r="BB79" s="22">
        <v>1</v>
      </c>
      <c r="BC79" s="22">
        <v>3</v>
      </c>
      <c r="BD79" s="22">
        <v>1</v>
      </c>
      <c r="BE79" s="22">
        <v>4</v>
      </c>
      <c r="BF79" s="22">
        <v>2</v>
      </c>
      <c r="BG79" s="22">
        <v>1</v>
      </c>
      <c r="BH79" s="22">
        <v>3</v>
      </c>
      <c r="BI79" s="22">
        <v>4</v>
      </c>
      <c r="BJ79" s="22">
        <v>1</v>
      </c>
      <c r="BK79" s="22">
        <v>2</v>
      </c>
      <c r="BL79" s="22">
        <v>2</v>
      </c>
      <c r="BM79" s="22">
        <v>3</v>
      </c>
      <c r="BN79" s="22">
        <v>3</v>
      </c>
      <c r="BO79" s="22">
        <v>5</v>
      </c>
      <c r="BP79" s="22">
        <v>2</v>
      </c>
      <c r="BQ79" s="22">
        <v>4</v>
      </c>
      <c r="BR79" s="22">
        <v>3</v>
      </c>
      <c r="BS79" s="22">
        <v>2</v>
      </c>
      <c r="BT79" s="22">
        <v>2</v>
      </c>
      <c r="BU79" s="22">
        <v>5</v>
      </c>
      <c r="BV79" s="22">
        <v>5</v>
      </c>
      <c r="BW79" s="22">
        <v>3</v>
      </c>
      <c r="BX79" s="2" t="s">
        <v>432</v>
      </c>
      <c r="BY79" s="2" t="s">
        <v>32</v>
      </c>
      <c r="BZ79" s="2" t="s">
        <v>34</v>
      </c>
      <c r="CA79" s="2" t="s">
        <v>35</v>
      </c>
      <c r="CB79" s="24">
        <v>0</v>
      </c>
      <c r="CC79" s="2" t="s">
        <v>36</v>
      </c>
      <c r="CD79" s="2" t="s">
        <v>71</v>
      </c>
      <c r="CE79" s="2" t="s">
        <v>32</v>
      </c>
      <c r="CF79" s="24">
        <v>0</v>
      </c>
      <c r="CG79" s="24">
        <v>2</v>
      </c>
      <c r="CH79" s="2" t="s">
        <v>37</v>
      </c>
      <c r="CI79" s="2" t="s">
        <v>32</v>
      </c>
      <c r="CJ79" s="2" t="s">
        <v>32</v>
      </c>
      <c r="CK79" s="2" t="s">
        <v>38</v>
      </c>
      <c r="CL79" s="24">
        <v>1</v>
      </c>
      <c r="CM79" s="2" t="s">
        <v>45</v>
      </c>
      <c r="CN79" s="2" t="s">
        <v>32</v>
      </c>
    </row>
    <row r="80" spans="1:92" ht="14" customHeight="1" x14ac:dyDescent="0.35">
      <c r="A80" s="2" t="s">
        <v>442</v>
      </c>
      <c r="B80" t="str">
        <f t="shared" si="2"/>
        <v>p78</v>
      </c>
      <c r="C80" s="38">
        <v>45842.900682870371</v>
      </c>
      <c r="D80" s="38">
        <v>45842.90902777778</v>
      </c>
      <c r="E80" s="2" t="s">
        <v>438</v>
      </c>
      <c r="F80" s="24">
        <v>100</v>
      </c>
      <c r="G80" s="24">
        <v>721</v>
      </c>
      <c r="H80" s="2" t="s">
        <v>31</v>
      </c>
      <c r="I80" s="38">
        <v>45842.909039317128</v>
      </c>
      <c r="J80" s="2" t="s">
        <v>439</v>
      </c>
      <c r="K80" s="24">
        <v>47.614400000000003</v>
      </c>
      <c r="L80" s="24">
        <v>-122.3447</v>
      </c>
      <c r="M80" s="2" t="s">
        <v>33</v>
      </c>
      <c r="N80" s="2" t="s">
        <v>440</v>
      </c>
      <c r="O80" s="2" t="s">
        <v>441</v>
      </c>
      <c r="P80" s="22">
        <v>4</v>
      </c>
      <c r="Q80" s="22">
        <v>5</v>
      </c>
      <c r="R80" s="22">
        <v>4</v>
      </c>
      <c r="S80" s="22">
        <v>5</v>
      </c>
      <c r="T80" s="22">
        <v>2</v>
      </c>
      <c r="U80" s="22">
        <v>4</v>
      </c>
      <c r="V80" s="22">
        <v>3</v>
      </c>
      <c r="W80" s="22">
        <v>1</v>
      </c>
      <c r="X80" s="22">
        <v>2</v>
      </c>
      <c r="Y80" s="22">
        <v>3</v>
      </c>
      <c r="Z80" s="22">
        <v>3</v>
      </c>
      <c r="AA80" s="22">
        <v>4</v>
      </c>
      <c r="AB80" s="22">
        <v>3</v>
      </c>
      <c r="AC80" s="22">
        <v>5</v>
      </c>
      <c r="AD80" s="22">
        <v>4</v>
      </c>
      <c r="AE80" s="22">
        <v>3</v>
      </c>
      <c r="AF80" s="22">
        <v>4</v>
      </c>
      <c r="AG80" s="22">
        <v>4</v>
      </c>
      <c r="AH80" s="22">
        <v>3</v>
      </c>
      <c r="AI80" s="22">
        <v>1</v>
      </c>
      <c r="AJ80" s="22">
        <v>2</v>
      </c>
      <c r="AK80" s="22">
        <v>3</v>
      </c>
      <c r="AL80" s="22">
        <v>4</v>
      </c>
      <c r="AM80" s="22">
        <v>3</v>
      </c>
      <c r="AN80" s="22">
        <v>4</v>
      </c>
      <c r="AO80" s="22">
        <v>4</v>
      </c>
      <c r="AP80" s="22">
        <v>4</v>
      </c>
      <c r="AQ80" s="22">
        <v>3</v>
      </c>
      <c r="AR80" s="22">
        <v>4</v>
      </c>
      <c r="AS80" s="22">
        <v>2</v>
      </c>
      <c r="AT80" s="22">
        <v>4</v>
      </c>
      <c r="AU80" s="22">
        <v>3</v>
      </c>
      <c r="AV80" s="22">
        <v>2</v>
      </c>
      <c r="AW80" s="22">
        <v>4</v>
      </c>
      <c r="AX80" s="22">
        <v>3</v>
      </c>
      <c r="AY80" s="22">
        <v>4</v>
      </c>
      <c r="AZ80" s="22">
        <v>2</v>
      </c>
      <c r="BA80" s="22">
        <v>4</v>
      </c>
      <c r="BB80" s="22">
        <v>4</v>
      </c>
      <c r="BC80" s="22">
        <v>5</v>
      </c>
      <c r="BD80" s="22">
        <v>4</v>
      </c>
      <c r="BE80" s="22">
        <v>4</v>
      </c>
      <c r="BF80" s="22">
        <v>2</v>
      </c>
      <c r="BG80" s="22">
        <v>4</v>
      </c>
      <c r="BH80" s="22">
        <v>3</v>
      </c>
      <c r="BI80" s="22">
        <v>4</v>
      </c>
      <c r="BJ80" s="22">
        <v>4</v>
      </c>
      <c r="BK80" s="22">
        <v>3</v>
      </c>
      <c r="BL80" s="22">
        <v>4</v>
      </c>
      <c r="BM80" s="22">
        <v>4</v>
      </c>
      <c r="BN80" s="22">
        <v>2</v>
      </c>
      <c r="BO80" s="22">
        <v>4</v>
      </c>
      <c r="BP80" s="22">
        <v>3</v>
      </c>
      <c r="BQ80" s="22">
        <v>4</v>
      </c>
      <c r="BR80" s="22">
        <v>3</v>
      </c>
      <c r="BS80" s="22">
        <v>5</v>
      </c>
      <c r="BT80" s="22">
        <v>1</v>
      </c>
      <c r="BU80" s="22">
        <v>3</v>
      </c>
      <c r="BV80" s="22">
        <v>3</v>
      </c>
      <c r="BW80" s="22">
        <v>4</v>
      </c>
      <c r="BX80" s="2" t="s">
        <v>442</v>
      </c>
      <c r="BY80" s="2" t="s">
        <v>32</v>
      </c>
      <c r="BZ80" s="2" t="s">
        <v>34</v>
      </c>
      <c r="CA80" s="2" t="s">
        <v>109</v>
      </c>
      <c r="CB80" s="24">
        <v>1</v>
      </c>
      <c r="CC80" s="2" t="s">
        <v>36</v>
      </c>
      <c r="CD80" s="2" t="s">
        <v>71</v>
      </c>
      <c r="CE80" s="2" t="s">
        <v>32</v>
      </c>
      <c r="CF80" s="24">
        <v>0</v>
      </c>
      <c r="CG80" s="24">
        <v>2</v>
      </c>
      <c r="CH80" s="2" t="s">
        <v>37</v>
      </c>
      <c r="CI80" s="2" t="s">
        <v>32</v>
      </c>
      <c r="CJ80" s="2" t="s">
        <v>32</v>
      </c>
      <c r="CK80" s="2" t="s">
        <v>38</v>
      </c>
      <c r="CL80" s="24">
        <v>1</v>
      </c>
      <c r="CM80" s="2" t="s">
        <v>45</v>
      </c>
      <c r="CN80" s="2" t="s">
        <v>32</v>
      </c>
    </row>
    <row r="81" spans="1:92" ht="14" customHeight="1" x14ac:dyDescent="0.35">
      <c r="A81" s="2" t="s">
        <v>452</v>
      </c>
      <c r="B81" t="str">
        <f t="shared" si="2"/>
        <v>p79</v>
      </c>
      <c r="C81" s="38">
        <v>45842.930034722223</v>
      </c>
      <c r="D81" s="38">
        <v>45842.960590277777</v>
      </c>
      <c r="E81" s="2" t="s">
        <v>448</v>
      </c>
      <c r="F81" s="24">
        <v>100</v>
      </c>
      <c r="G81" s="24">
        <v>2639</v>
      </c>
      <c r="H81" s="2" t="s">
        <v>31</v>
      </c>
      <c r="I81" s="38">
        <v>45842.960602638886</v>
      </c>
      <c r="J81" s="2" t="s">
        <v>449</v>
      </c>
      <c r="K81" s="24">
        <v>54.640099999999997</v>
      </c>
      <c r="L81" s="24">
        <v>-1.2336</v>
      </c>
      <c r="M81" s="2" t="s">
        <v>33</v>
      </c>
      <c r="N81" s="2" t="s">
        <v>450</v>
      </c>
      <c r="O81" s="2" t="s">
        <v>451</v>
      </c>
      <c r="P81" s="22">
        <v>4</v>
      </c>
      <c r="Q81" s="22">
        <v>1</v>
      </c>
      <c r="R81" s="22">
        <v>5</v>
      </c>
      <c r="S81" s="22">
        <v>3</v>
      </c>
      <c r="T81" s="22">
        <v>4</v>
      </c>
      <c r="U81" s="22">
        <v>2</v>
      </c>
      <c r="V81" s="22">
        <v>5</v>
      </c>
      <c r="W81" s="22">
        <v>1</v>
      </c>
      <c r="X81" s="22">
        <v>5</v>
      </c>
      <c r="Y81" s="22">
        <v>5</v>
      </c>
      <c r="Z81" s="22">
        <v>2</v>
      </c>
      <c r="AA81" s="22">
        <v>3</v>
      </c>
      <c r="AB81" s="22">
        <v>4</v>
      </c>
      <c r="AC81" s="22">
        <v>5</v>
      </c>
      <c r="AD81" s="22">
        <v>1</v>
      </c>
      <c r="AE81" s="22">
        <v>1</v>
      </c>
      <c r="AF81" s="22">
        <v>1</v>
      </c>
      <c r="AG81" s="22">
        <v>1</v>
      </c>
      <c r="AH81" s="22">
        <v>1</v>
      </c>
      <c r="AI81" s="22">
        <v>1</v>
      </c>
      <c r="AJ81" s="22">
        <v>4</v>
      </c>
      <c r="AK81" s="22">
        <v>3</v>
      </c>
      <c r="AL81" s="22">
        <v>2</v>
      </c>
      <c r="AM81" s="22">
        <v>1</v>
      </c>
      <c r="AN81" s="22">
        <v>5</v>
      </c>
      <c r="AO81" s="22">
        <v>3</v>
      </c>
      <c r="AP81" s="22">
        <v>5</v>
      </c>
      <c r="AQ81" s="22">
        <v>5</v>
      </c>
      <c r="AR81" s="22">
        <v>2</v>
      </c>
      <c r="AS81" s="22">
        <v>2</v>
      </c>
      <c r="AT81" s="22">
        <v>2</v>
      </c>
      <c r="AU81" s="22">
        <v>4</v>
      </c>
      <c r="AV81" s="22">
        <v>3</v>
      </c>
      <c r="AW81" s="22">
        <v>1</v>
      </c>
      <c r="AX81" s="22">
        <v>2</v>
      </c>
      <c r="AY81" s="22">
        <v>2</v>
      </c>
      <c r="AZ81" s="22">
        <v>2</v>
      </c>
      <c r="BA81" s="22">
        <v>5</v>
      </c>
      <c r="BB81" s="22">
        <v>5</v>
      </c>
      <c r="BC81" s="22">
        <v>3</v>
      </c>
      <c r="BD81" s="22">
        <v>2</v>
      </c>
      <c r="BE81" s="22">
        <v>3</v>
      </c>
      <c r="BF81" s="22">
        <v>5</v>
      </c>
      <c r="BG81" s="22">
        <v>5</v>
      </c>
      <c r="BH81" s="22">
        <v>5</v>
      </c>
      <c r="BI81" s="22">
        <v>3</v>
      </c>
      <c r="BJ81" s="22">
        <v>5</v>
      </c>
      <c r="BK81" s="22">
        <v>2</v>
      </c>
      <c r="BL81" s="22">
        <v>5</v>
      </c>
      <c r="BM81" s="22">
        <v>4</v>
      </c>
      <c r="BN81" s="22">
        <v>1</v>
      </c>
      <c r="BO81" s="22">
        <v>1</v>
      </c>
      <c r="BP81" s="22">
        <v>2</v>
      </c>
      <c r="BQ81" s="22">
        <v>5</v>
      </c>
      <c r="BR81" s="22">
        <v>3</v>
      </c>
      <c r="BS81" s="22">
        <v>4</v>
      </c>
      <c r="BT81" s="22">
        <v>2</v>
      </c>
      <c r="BU81" s="22">
        <v>1</v>
      </c>
      <c r="BV81" s="22">
        <v>4</v>
      </c>
      <c r="BW81" s="22">
        <v>5</v>
      </c>
      <c r="BX81" s="2" t="s">
        <v>452</v>
      </c>
      <c r="BY81" s="2" t="s">
        <v>32</v>
      </c>
      <c r="BZ81" s="2" t="s">
        <v>34</v>
      </c>
      <c r="CA81" s="2" t="s">
        <v>109</v>
      </c>
      <c r="CB81" s="24">
        <v>1</v>
      </c>
      <c r="CC81" s="2" t="s">
        <v>36</v>
      </c>
      <c r="CD81" s="2" t="s">
        <v>120</v>
      </c>
      <c r="CE81" s="2" t="s">
        <v>32</v>
      </c>
      <c r="CF81" s="24">
        <v>0</v>
      </c>
      <c r="CG81" s="24">
        <v>2</v>
      </c>
      <c r="CH81" s="2" t="s">
        <v>37</v>
      </c>
      <c r="CI81" s="2" t="s">
        <v>32</v>
      </c>
      <c r="CJ81" s="2" t="s">
        <v>32</v>
      </c>
      <c r="CK81" s="2" t="s">
        <v>38</v>
      </c>
      <c r="CL81" s="24">
        <v>1</v>
      </c>
      <c r="CM81" s="2" t="s">
        <v>45</v>
      </c>
      <c r="CN81" s="2" t="s">
        <v>32</v>
      </c>
    </row>
    <row r="82" spans="1:92" ht="14" customHeight="1" x14ac:dyDescent="0.35">
      <c r="A82" s="2" t="s">
        <v>457</v>
      </c>
      <c r="B82" t="str">
        <f t="shared" si="2"/>
        <v>p80</v>
      </c>
      <c r="C82" s="38">
        <v>45843.00199074074</v>
      </c>
      <c r="D82" s="38">
        <v>45843.00885416667</v>
      </c>
      <c r="E82" s="2" t="s">
        <v>453</v>
      </c>
      <c r="F82" s="24">
        <v>100</v>
      </c>
      <c r="G82" s="24">
        <v>592</v>
      </c>
      <c r="H82" s="2" t="s">
        <v>31</v>
      </c>
      <c r="I82" s="38">
        <v>45843.008860578702</v>
      </c>
      <c r="J82" s="2" t="s">
        <v>454</v>
      </c>
      <c r="K82" s="24">
        <v>36.574199999999998</v>
      </c>
      <c r="L82" s="24">
        <v>-79.442099999999996</v>
      </c>
      <c r="M82" s="2" t="s">
        <v>33</v>
      </c>
      <c r="N82" s="2" t="s">
        <v>455</v>
      </c>
      <c r="O82" s="2" t="s">
        <v>456</v>
      </c>
      <c r="P82" s="22">
        <v>5</v>
      </c>
      <c r="Q82" s="22">
        <v>4</v>
      </c>
      <c r="R82" s="22">
        <v>2</v>
      </c>
      <c r="S82" s="22">
        <v>4</v>
      </c>
      <c r="T82" s="22">
        <v>3</v>
      </c>
      <c r="U82" s="22">
        <v>1</v>
      </c>
      <c r="V82" s="22">
        <v>5</v>
      </c>
      <c r="W82" s="22">
        <v>4</v>
      </c>
      <c r="X82" s="22">
        <v>1</v>
      </c>
      <c r="Y82" s="22">
        <v>5</v>
      </c>
      <c r="Z82" s="22">
        <v>4</v>
      </c>
      <c r="AA82" s="22">
        <v>5</v>
      </c>
      <c r="AB82" s="22">
        <v>4</v>
      </c>
      <c r="AC82" s="22">
        <v>4</v>
      </c>
      <c r="AD82" s="22">
        <v>1</v>
      </c>
      <c r="AE82" s="22">
        <v>4</v>
      </c>
      <c r="AF82" s="22">
        <v>4</v>
      </c>
      <c r="AG82" s="22">
        <v>5</v>
      </c>
      <c r="AH82" s="22">
        <v>2</v>
      </c>
      <c r="AI82" s="22">
        <v>2</v>
      </c>
      <c r="AJ82" s="22">
        <v>3</v>
      </c>
      <c r="AK82" s="22">
        <v>5</v>
      </c>
      <c r="AL82" s="22">
        <v>2</v>
      </c>
      <c r="AM82" s="22">
        <v>2</v>
      </c>
      <c r="AN82" s="22">
        <v>4</v>
      </c>
      <c r="AO82" s="22">
        <v>2</v>
      </c>
      <c r="AP82" s="22">
        <v>2</v>
      </c>
      <c r="AQ82" s="22">
        <v>4</v>
      </c>
      <c r="AR82" s="22">
        <v>3</v>
      </c>
      <c r="AS82" s="22">
        <v>4</v>
      </c>
      <c r="AT82" s="22">
        <v>4</v>
      </c>
      <c r="AU82" s="22">
        <v>4</v>
      </c>
      <c r="AV82" s="22">
        <v>2</v>
      </c>
      <c r="AW82" s="22">
        <v>4</v>
      </c>
      <c r="AX82" s="22">
        <v>4</v>
      </c>
      <c r="AY82" s="22">
        <v>3</v>
      </c>
      <c r="AZ82" s="22">
        <v>1</v>
      </c>
      <c r="BA82" s="22">
        <v>2</v>
      </c>
      <c r="BB82" s="22">
        <v>4</v>
      </c>
      <c r="BC82" s="22">
        <v>4</v>
      </c>
      <c r="BD82" s="22">
        <v>2</v>
      </c>
      <c r="BE82" s="22">
        <v>1</v>
      </c>
      <c r="BF82" s="22">
        <v>4</v>
      </c>
      <c r="BG82" s="22">
        <v>2</v>
      </c>
      <c r="BH82" s="22">
        <v>5</v>
      </c>
      <c r="BI82" s="22">
        <v>2</v>
      </c>
      <c r="BJ82" s="22">
        <v>3</v>
      </c>
      <c r="BK82" s="22">
        <v>5</v>
      </c>
      <c r="BL82" s="22">
        <v>1</v>
      </c>
      <c r="BM82" s="22">
        <v>5</v>
      </c>
      <c r="BN82" s="22">
        <v>3</v>
      </c>
      <c r="BO82" s="22">
        <v>4</v>
      </c>
      <c r="BP82" s="22">
        <v>1</v>
      </c>
      <c r="BQ82" s="22">
        <v>2</v>
      </c>
      <c r="BR82" s="22">
        <v>3</v>
      </c>
      <c r="BS82" s="22">
        <v>2</v>
      </c>
      <c r="BT82" s="22">
        <v>1</v>
      </c>
      <c r="BU82" s="22">
        <v>4</v>
      </c>
      <c r="BV82" s="22">
        <v>5</v>
      </c>
      <c r="BW82" s="22">
        <v>3</v>
      </c>
      <c r="BX82" s="2" t="s">
        <v>457</v>
      </c>
      <c r="BY82" s="2" t="s">
        <v>32</v>
      </c>
      <c r="BZ82" s="2" t="s">
        <v>34</v>
      </c>
      <c r="CA82" s="2" t="s">
        <v>35</v>
      </c>
      <c r="CB82" s="24">
        <v>0</v>
      </c>
      <c r="CC82" s="2" t="s">
        <v>36</v>
      </c>
      <c r="CD82" s="2" t="s">
        <v>51</v>
      </c>
      <c r="CE82" s="2" t="s">
        <v>32</v>
      </c>
      <c r="CF82" s="24">
        <v>0</v>
      </c>
      <c r="CG82" s="24">
        <v>0</v>
      </c>
      <c r="CH82" s="2" t="s">
        <v>51</v>
      </c>
      <c r="CI82" s="2" t="s">
        <v>32</v>
      </c>
      <c r="CJ82" s="2" t="s">
        <v>32</v>
      </c>
      <c r="CK82" s="2" t="s">
        <v>38</v>
      </c>
      <c r="CL82" s="24">
        <v>1</v>
      </c>
      <c r="CM82" s="2" t="s">
        <v>45</v>
      </c>
      <c r="CN82" s="2" t="s">
        <v>32</v>
      </c>
    </row>
    <row r="83" spans="1:92" ht="14" customHeight="1" x14ac:dyDescent="0.35">
      <c r="A83" s="2" t="s">
        <v>462</v>
      </c>
      <c r="B83" t="str">
        <f t="shared" si="2"/>
        <v>p81</v>
      </c>
      <c r="C83" s="38">
        <v>45843.002511574072</v>
      </c>
      <c r="D83" s="38">
        <v>45843.01289351852</v>
      </c>
      <c r="E83" s="2" t="s">
        <v>458</v>
      </c>
      <c r="F83" s="24">
        <v>100</v>
      </c>
      <c r="G83" s="24">
        <v>896</v>
      </c>
      <c r="H83" s="2" t="s">
        <v>31</v>
      </c>
      <c r="I83" s="38">
        <v>45843.012901192131</v>
      </c>
      <c r="J83" s="2" t="s">
        <v>459</v>
      </c>
      <c r="K83" s="24">
        <v>55.9495</v>
      </c>
      <c r="L83" s="24">
        <v>-3.1983000000000001</v>
      </c>
      <c r="M83" s="2" t="s">
        <v>33</v>
      </c>
      <c r="N83" s="2" t="s">
        <v>460</v>
      </c>
      <c r="O83" s="2" t="s">
        <v>461</v>
      </c>
      <c r="P83" s="22">
        <v>4</v>
      </c>
      <c r="Q83" s="22">
        <v>4</v>
      </c>
      <c r="R83" s="22">
        <v>4</v>
      </c>
      <c r="S83" s="22">
        <v>4</v>
      </c>
      <c r="T83" s="22">
        <v>4</v>
      </c>
      <c r="U83" s="22">
        <v>4</v>
      </c>
      <c r="V83" s="22">
        <v>4</v>
      </c>
      <c r="W83" s="22">
        <v>1</v>
      </c>
      <c r="X83" s="22">
        <v>1</v>
      </c>
      <c r="Y83" s="22">
        <v>5</v>
      </c>
      <c r="Z83" s="22">
        <v>4</v>
      </c>
      <c r="AA83" s="22">
        <v>4</v>
      </c>
      <c r="AB83" s="22">
        <v>4</v>
      </c>
      <c r="AC83" s="22">
        <v>3</v>
      </c>
      <c r="AD83" s="22">
        <v>1</v>
      </c>
      <c r="AE83" s="22">
        <v>1</v>
      </c>
      <c r="AF83" s="22">
        <v>1</v>
      </c>
      <c r="AG83" s="22">
        <v>4</v>
      </c>
      <c r="AH83" s="22">
        <v>1</v>
      </c>
      <c r="AI83" s="22">
        <v>4</v>
      </c>
      <c r="AJ83" s="22">
        <v>1</v>
      </c>
      <c r="AK83" s="22">
        <v>4</v>
      </c>
      <c r="AL83" s="22">
        <v>4</v>
      </c>
      <c r="AM83" s="22">
        <v>5</v>
      </c>
      <c r="AN83" s="22">
        <v>4</v>
      </c>
      <c r="AO83" s="22">
        <v>4</v>
      </c>
      <c r="AP83" s="22">
        <v>5</v>
      </c>
      <c r="AQ83" s="22">
        <v>4</v>
      </c>
      <c r="AR83" s="22">
        <v>2</v>
      </c>
      <c r="AS83" s="22">
        <v>5</v>
      </c>
      <c r="AT83" s="22">
        <v>3</v>
      </c>
      <c r="AU83" s="22">
        <v>5</v>
      </c>
      <c r="AV83" s="22">
        <v>3</v>
      </c>
      <c r="AW83" s="22">
        <v>2</v>
      </c>
      <c r="AX83" s="22">
        <v>4</v>
      </c>
      <c r="AY83" s="22">
        <v>2</v>
      </c>
      <c r="AZ83" s="22">
        <v>5</v>
      </c>
      <c r="BA83" s="22">
        <v>5</v>
      </c>
      <c r="BB83" s="22">
        <v>4</v>
      </c>
      <c r="BC83" s="22">
        <v>3</v>
      </c>
      <c r="BD83" s="22">
        <v>2</v>
      </c>
      <c r="BE83" s="22">
        <v>5</v>
      </c>
      <c r="BF83" s="22">
        <v>5</v>
      </c>
      <c r="BG83" s="22">
        <v>3</v>
      </c>
      <c r="BH83" s="22">
        <v>5</v>
      </c>
      <c r="BI83" s="22">
        <v>1</v>
      </c>
      <c r="BJ83" s="22">
        <v>4</v>
      </c>
      <c r="BK83" s="22">
        <v>5</v>
      </c>
      <c r="BL83" s="22">
        <v>5</v>
      </c>
      <c r="BM83" s="22">
        <v>5</v>
      </c>
      <c r="BN83" s="22">
        <v>2</v>
      </c>
      <c r="BO83" s="22">
        <v>5</v>
      </c>
      <c r="BP83" s="22">
        <v>2</v>
      </c>
      <c r="BQ83" s="22">
        <v>4</v>
      </c>
      <c r="BR83" s="22">
        <v>3</v>
      </c>
      <c r="BS83" s="22">
        <v>2</v>
      </c>
      <c r="BT83" s="22">
        <v>3</v>
      </c>
      <c r="BU83" s="22">
        <v>3</v>
      </c>
      <c r="BV83" s="22">
        <v>5</v>
      </c>
      <c r="BW83" s="22">
        <v>5</v>
      </c>
      <c r="BX83" s="2" t="s">
        <v>462</v>
      </c>
      <c r="BY83" s="2" t="s">
        <v>32</v>
      </c>
      <c r="BZ83" s="2" t="s">
        <v>34</v>
      </c>
      <c r="CA83" s="2" t="s">
        <v>35</v>
      </c>
      <c r="CB83" s="24">
        <v>0</v>
      </c>
      <c r="CC83" s="2" t="s">
        <v>52</v>
      </c>
      <c r="CD83" s="2" t="s">
        <v>82</v>
      </c>
      <c r="CE83" s="2" t="s">
        <v>32</v>
      </c>
      <c r="CF83" s="24">
        <v>0</v>
      </c>
      <c r="CG83" s="24">
        <v>2</v>
      </c>
      <c r="CH83" s="2" t="s">
        <v>37</v>
      </c>
      <c r="CI83" s="2" t="s">
        <v>32</v>
      </c>
      <c r="CJ83" s="2" t="s">
        <v>32</v>
      </c>
      <c r="CK83" s="2" t="s">
        <v>38</v>
      </c>
      <c r="CL83" s="24">
        <v>1</v>
      </c>
      <c r="CM83" s="2" t="s">
        <v>45</v>
      </c>
      <c r="CN83" s="2" t="s">
        <v>32</v>
      </c>
    </row>
    <row r="84" spans="1:92" ht="14" customHeight="1" x14ac:dyDescent="0.35">
      <c r="A84" s="2" t="s">
        <v>472</v>
      </c>
      <c r="B84" t="str">
        <f t="shared" si="2"/>
        <v>p82</v>
      </c>
      <c r="C84" s="38">
        <v>45940.705787037034</v>
      </c>
      <c r="D84" s="38">
        <v>45940.711099537039</v>
      </c>
      <c r="E84" s="2" t="s">
        <v>468</v>
      </c>
      <c r="F84" s="24">
        <v>100</v>
      </c>
      <c r="G84" s="24">
        <v>458</v>
      </c>
      <c r="H84" s="2" t="s">
        <v>31</v>
      </c>
      <c r="I84" s="38">
        <v>45940.711107546296</v>
      </c>
      <c r="J84" s="2" t="s">
        <v>469</v>
      </c>
      <c r="K84" s="24">
        <v>53.656799999999997</v>
      </c>
      <c r="L84" s="24">
        <v>-1.4483999999999999</v>
      </c>
      <c r="M84" s="2" t="s">
        <v>33</v>
      </c>
      <c r="N84" s="2" t="s">
        <v>470</v>
      </c>
      <c r="O84" s="2" t="s">
        <v>471</v>
      </c>
      <c r="P84" s="22">
        <v>5</v>
      </c>
      <c r="Q84" s="22">
        <v>5</v>
      </c>
      <c r="R84" s="22">
        <v>1</v>
      </c>
      <c r="S84" s="22">
        <v>2</v>
      </c>
      <c r="T84" s="22">
        <v>5</v>
      </c>
      <c r="U84" s="22">
        <v>1</v>
      </c>
      <c r="V84" s="22">
        <v>4</v>
      </c>
      <c r="W84" s="22">
        <v>1</v>
      </c>
      <c r="X84" s="22">
        <v>2</v>
      </c>
      <c r="Y84" s="22">
        <v>5</v>
      </c>
      <c r="Z84" s="22">
        <v>2</v>
      </c>
      <c r="AA84" s="22">
        <v>3</v>
      </c>
      <c r="AB84" s="22">
        <v>4</v>
      </c>
      <c r="AC84" s="22">
        <v>1</v>
      </c>
      <c r="AD84" s="22">
        <v>1</v>
      </c>
      <c r="AE84" s="22">
        <v>1</v>
      </c>
      <c r="AF84" s="22">
        <v>1</v>
      </c>
      <c r="AG84" s="22">
        <v>4</v>
      </c>
      <c r="AH84" s="22">
        <v>1</v>
      </c>
      <c r="AI84" s="22">
        <v>5</v>
      </c>
      <c r="AJ84" s="22">
        <v>1</v>
      </c>
      <c r="AK84" s="22">
        <v>4</v>
      </c>
      <c r="AL84" s="22">
        <v>1</v>
      </c>
      <c r="AM84" s="22">
        <v>1</v>
      </c>
      <c r="AN84" s="22">
        <v>5</v>
      </c>
      <c r="AO84" s="22">
        <v>3</v>
      </c>
      <c r="AP84" s="22">
        <v>3</v>
      </c>
      <c r="AQ84" s="22">
        <v>5</v>
      </c>
      <c r="AR84" s="22">
        <v>2</v>
      </c>
      <c r="AS84" s="22">
        <v>4</v>
      </c>
      <c r="AT84" s="22">
        <v>1</v>
      </c>
      <c r="AU84" s="22">
        <v>4</v>
      </c>
      <c r="AV84" s="22">
        <v>1</v>
      </c>
      <c r="AW84" s="22">
        <v>4</v>
      </c>
      <c r="AX84" s="22">
        <v>4</v>
      </c>
      <c r="AY84" s="22">
        <v>1</v>
      </c>
      <c r="AZ84" s="22">
        <v>1</v>
      </c>
      <c r="BA84" s="22">
        <v>5</v>
      </c>
      <c r="BB84" s="22">
        <v>3</v>
      </c>
      <c r="BC84" s="22">
        <v>2</v>
      </c>
      <c r="BD84" s="22">
        <v>2</v>
      </c>
      <c r="BE84" s="22">
        <v>1</v>
      </c>
      <c r="BF84" s="22">
        <v>5</v>
      </c>
      <c r="BG84" s="22">
        <v>2</v>
      </c>
      <c r="BH84" s="22">
        <v>5</v>
      </c>
      <c r="BI84" s="22">
        <v>2</v>
      </c>
      <c r="BJ84" s="22">
        <v>3</v>
      </c>
      <c r="BK84" s="22">
        <v>2</v>
      </c>
      <c r="BL84" s="22">
        <v>4</v>
      </c>
      <c r="BM84" s="22">
        <v>4</v>
      </c>
      <c r="BN84" s="22">
        <v>4</v>
      </c>
      <c r="BO84" s="22">
        <v>1</v>
      </c>
      <c r="BP84" s="22">
        <v>1</v>
      </c>
      <c r="BQ84" s="22">
        <v>2</v>
      </c>
      <c r="BR84" s="22">
        <v>5</v>
      </c>
      <c r="BS84" s="22">
        <v>5</v>
      </c>
      <c r="BT84" s="22">
        <v>2</v>
      </c>
      <c r="BU84" s="22">
        <v>3</v>
      </c>
      <c r="BV84" s="22">
        <v>4</v>
      </c>
      <c r="BW84" s="22">
        <v>4</v>
      </c>
      <c r="BX84" s="2" t="s">
        <v>472</v>
      </c>
      <c r="BY84" s="2" t="s">
        <v>32</v>
      </c>
      <c r="BZ84" s="2" t="s">
        <v>34</v>
      </c>
      <c r="CA84" s="2" t="s">
        <v>35</v>
      </c>
      <c r="CB84" s="24">
        <v>0</v>
      </c>
      <c r="CC84" s="2" t="s">
        <v>36</v>
      </c>
      <c r="CD84" s="2" t="s">
        <v>53</v>
      </c>
      <c r="CE84" s="2" t="s">
        <v>32</v>
      </c>
      <c r="CF84" s="24">
        <v>0</v>
      </c>
      <c r="CG84" s="24">
        <v>2</v>
      </c>
      <c r="CH84" s="2" t="s">
        <v>37</v>
      </c>
      <c r="CI84" s="2" t="s">
        <v>32</v>
      </c>
      <c r="CJ84" s="2" t="s">
        <v>32</v>
      </c>
      <c r="CK84" s="2" t="s">
        <v>38</v>
      </c>
      <c r="CL84" s="24">
        <v>1</v>
      </c>
      <c r="CM84" s="2" t="s">
        <v>45</v>
      </c>
      <c r="CN84" s="2" t="s">
        <v>32</v>
      </c>
    </row>
    <row r="85" spans="1:92" ht="14" customHeight="1" x14ac:dyDescent="0.35">
      <c r="A85" s="2" t="s">
        <v>467</v>
      </c>
      <c r="B85" t="str">
        <f t="shared" si="2"/>
        <v>p83</v>
      </c>
      <c r="C85" s="38">
        <v>45940.705960648149</v>
      </c>
      <c r="D85" s="38">
        <v>45940.709710648145</v>
      </c>
      <c r="E85" s="2" t="s">
        <v>463</v>
      </c>
      <c r="F85" s="24">
        <v>100</v>
      </c>
      <c r="G85" s="24">
        <v>323</v>
      </c>
      <c r="H85" s="2" t="s">
        <v>31</v>
      </c>
      <c r="I85" s="38">
        <v>45940.70972190972</v>
      </c>
      <c r="J85" s="2" t="s">
        <v>464</v>
      </c>
      <c r="K85" s="24">
        <v>35.242600000000003</v>
      </c>
      <c r="L85" s="24">
        <v>-80.741</v>
      </c>
      <c r="M85" s="2" t="s">
        <v>33</v>
      </c>
      <c r="N85" s="2" t="s">
        <v>465</v>
      </c>
      <c r="O85" s="2" t="s">
        <v>466</v>
      </c>
      <c r="P85" s="22">
        <v>5</v>
      </c>
      <c r="Q85" s="22">
        <v>3</v>
      </c>
      <c r="R85" s="22">
        <v>1</v>
      </c>
      <c r="S85" s="22">
        <v>3</v>
      </c>
      <c r="T85" s="22">
        <v>5</v>
      </c>
      <c r="U85" s="22">
        <v>4</v>
      </c>
      <c r="V85" s="22">
        <v>5</v>
      </c>
      <c r="W85" s="22">
        <v>1</v>
      </c>
      <c r="X85" s="22">
        <v>2</v>
      </c>
      <c r="Y85" s="22">
        <v>5</v>
      </c>
      <c r="Z85" s="22">
        <v>5</v>
      </c>
      <c r="AA85" s="22">
        <v>5</v>
      </c>
      <c r="AB85" s="22">
        <v>5</v>
      </c>
      <c r="AC85" s="22">
        <v>1</v>
      </c>
      <c r="AD85" s="22">
        <v>1</v>
      </c>
      <c r="AE85" s="22">
        <v>1</v>
      </c>
      <c r="AF85" s="22">
        <v>1</v>
      </c>
      <c r="AG85" s="22">
        <v>3</v>
      </c>
      <c r="AH85" s="22">
        <v>1</v>
      </c>
      <c r="AI85" s="22">
        <v>5</v>
      </c>
      <c r="AJ85" s="22">
        <v>1</v>
      </c>
      <c r="AK85" s="22">
        <v>3</v>
      </c>
      <c r="AL85" s="22">
        <v>1</v>
      </c>
      <c r="AM85" s="22">
        <v>1</v>
      </c>
      <c r="AN85" s="22">
        <v>5</v>
      </c>
      <c r="AO85" s="22">
        <v>1</v>
      </c>
      <c r="AP85" s="22">
        <v>4</v>
      </c>
      <c r="AQ85" s="22">
        <v>3</v>
      </c>
      <c r="AR85" s="22">
        <v>3</v>
      </c>
      <c r="AS85" s="22">
        <v>4</v>
      </c>
      <c r="AT85" s="22">
        <v>1</v>
      </c>
      <c r="AU85" s="22">
        <v>5</v>
      </c>
      <c r="AV85" s="22">
        <v>1</v>
      </c>
      <c r="AW85" s="22">
        <v>3</v>
      </c>
      <c r="AX85" s="22">
        <v>4</v>
      </c>
      <c r="AY85" s="22">
        <v>1</v>
      </c>
      <c r="AZ85" s="22">
        <v>3</v>
      </c>
      <c r="BA85" s="22">
        <v>5</v>
      </c>
      <c r="BB85" s="22">
        <v>4</v>
      </c>
      <c r="BC85" s="22">
        <v>5</v>
      </c>
      <c r="BD85" s="22">
        <v>1</v>
      </c>
      <c r="BE85" s="22">
        <v>4</v>
      </c>
      <c r="BF85" s="22">
        <v>5</v>
      </c>
      <c r="BG85" s="22">
        <v>3</v>
      </c>
      <c r="BH85" s="22">
        <v>5</v>
      </c>
      <c r="BI85" s="22">
        <v>1</v>
      </c>
      <c r="BJ85" s="22">
        <v>4</v>
      </c>
      <c r="BK85" s="22">
        <v>5</v>
      </c>
      <c r="BL85" s="22">
        <v>5</v>
      </c>
      <c r="BM85" s="22">
        <v>5</v>
      </c>
      <c r="BN85" s="22">
        <v>1</v>
      </c>
      <c r="BO85" s="22">
        <v>3</v>
      </c>
      <c r="BP85" s="22">
        <v>1</v>
      </c>
      <c r="BQ85" s="22">
        <v>3</v>
      </c>
      <c r="BR85" s="22">
        <v>5</v>
      </c>
      <c r="BS85" s="22">
        <v>1</v>
      </c>
      <c r="BT85" s="22">
        <v>1</v>
      </c>
      <c r="BU85" s="22">
        <v>1</v>
      </c>
      <c r="BV85" s="22">
        <v>5</v>
      </c>
      <c r="BW85" s="22">
        <v>5</v>
      </c>
      <c r="BX85" s="2" t="s">
        <v>467</v>
      </c>
      <c r="BY85" s="2" t="s">
        <v>32</v>
      </c>
      <c r="BZ85" s="2" t="s">
        <v>34</v>
      </c>
      <c r="CA85" s="2" t="s">
        <v>126</v>
      </c>
      <c r="CB85" s="24">
        <v>-1</v>
      </c>
      <c r="CC85" s="2" t="s">
        <v>36</v>
      </c>
      <c r="CD85" s="2" t="s">
        <v>51</v>
      </c>
      <c r="CE85" s="2" t="s">
        <v>32</v>
      </c>
      <c r="CF85" s="24">
        <v>0</v>
      </c>
      <c r="CG85" s="24">
        <v>2</v>
      </c>
      <c r="CH85" s="2" t="s">
        <v>37</v>
      </c>
      <c r="CI85" s="2" t="s">
        <v>32</v>
      </c>
      <c r="CJ85" s="2" t="s">
        <v>32</v>
      </c>
      <c r="CK85" s="2" t="s">
        <v>38</v>
      </c>
      <c r="CL85" s="24">
        <v>1</v>
      </c>
      <c r="CM85" s="2" t="s">
        <v>45</v>
      </c>
      <c r="CN85" s="2" t="s">
        <v>32</v>
      </c>
    </row>
    <row r="86" spans="1:92" ht="14" customHeight="1" x14ac:dyDescent="0.35">
      <c r="A86" s="2" t="s">
        <v>529</v>
      </c>
      <c r="B86" t="str">
        <f t="shared" si="2"/>
        <v>p84</v>
      </c>
      <c r="C86" s="38">
        <v>45940.706030092595</v>
      </c>
      <c r="D86" s="38">
        <v>45940.71638888889</v>
      </c>
      <c r="E86" s="2" t="s">
        <v>525</v>
      </c>
      <c r="F86" s="24">
        <v>100</v>
      </c>
      <c r="G86" s="24">
        <v>895</v>
      </c>
      <c r="H86" s="2" t="s">
        <v>31</v>
      </c>
      <c r="I86" s="38">
        <v>45940.716402337966</v>
      </c>
      <c r="J86" s="2" t="s">
        <v>526</v>
      </c>
      <c r="K86" s="24">
        <v>40.678699999999999</v>
      </c>
      <c r="L86" s="24">
        <v>-73.3964</v>
      </c>
      <c r="M86" s="2" t="s">
        <v>33</v>
      </c>
      <c r="N86" s="2" t="s">
        <v>527</v>
      </c>
      <c r="O86" s="2" t="s">
        <v>528</v>
      </c>
      <c r="P86" s="22">
        <v>4</v>
      </c>
      <c r="Q86" s="22">
        <v>4</v>
      </c>
      <c r="R86" s="22">
        <v>1</v>
      </c>
      <c r="S86" s="22">
        <v>3</v>
      </c>
      <c r="T86" s="22">
        <v>5</v>
      </c>
      <c r="U86" s="22">
        <v>5</v>
      </c>
      <c r="V86" s="22">
        <v>3</v>
      </c>
      <c r="W86" s="22">
        <v>1</v>
      </c>
      <c r="X86" s="22">
        <v>2</v>
      </c>
      <c r="Y86" s="22">
        <v>4</v>
      </c>
      <c r="Z86" s="22">
        <v>4</v>
      </c>
      <c r="AA86" s="22">
        <v>4</v>
      </c>
      <c r="AB86" s="22">
        <v>3</v>
      </c>
      <c r="AC86" s="22">
        <v>2</v>
      </c>
      <c r="AD86" s="22">
        <v>3</v>
      </c>
      <c r="AE86" s="22">
        <v>4</v>
      </c>
      <c r="AF86" s="22">
        <v>2</v>
      </c>
      <c r="AG86" s="22">
        <v>3</v>
      </c>
      <c r="AH86" s="22">
        <v>2</v>
      </c>
      <c r="AI86" s="22">
        <v>5</v>
      </c>
      <c r="AJ86" s="22">
        <v>1</v>
      </c>
      <c r="AK86" s="22">
        <v>3</v>
      </c>
      <c r="AL86" s="22">
        <v>3</v>
      </c>
      <c r="AM86" s="22">
        <v>1</v>
      </c>
      <c r="AN86" s="22">
        <v>4</v>
      </c>
      <c r="AO86" s="22">
        <v>1</v>
      </c>
      <c r="AP86" s="22">
        <v>5</v>
      </c>
      <c r="AQ86" s="22">
        <v>5</v>
      </c>
      <c r="AR86" s="22">
        <v>3</v>
      </c>
      <c r="AS86" s="22">
        <v>4</v>
      </c>
      <c r="AT86" s="22">
        <v>1</v>
      </c>
      <c r="AU86" s="22">
        <v>5</v>
      </c>
      <c r="AV86" s="22">
        <v>4</v>
      </c>
      <c r="AW86" s="22">
        <v>3</v>
      </c>
      <c r="AX86" s="22">
        <v>4</v>
      </c>
      <c r="AY86" s="22">
        <v>2</v>
      </c>
      <c r="AZ86" s="22">
        <v>5</v>
      </c>
      <c r="BA86" s="22">
        <v>5</v>
      </c>
      <c r="BB86" s="22">
        <v>4</v>
      </c>
      <c r="BC86" s="22">
        <v>4</v>
      </c>
      <c r="BD86" s="22">
        <v>1</v>
      </c>
      <c r="BE86" s="22">
        <v>5</v>
      </c>
      <c r="BF86" s="22">
        <v>5</v>
      </c>
      <c r="BG86" s="22">
        <v>3</v>
      </c>
      <c r="BH86" s="22">
        <v>4</v>
      </c>
      <c r="BI86" s="22">
        <v>1</v>
      </c>
      <c r="BJ86" s="22">
        <v>2</v>
      </c>
      <c r="BK86" s="22">
        <v>3</v>
      </c>
      <c r="BL86" s="22">
        <v>5</v>
      </c>
      <c r="BM86" s="22">
        <v>5</v>
      </c>
      <c r="BN86" s="22">
        <v>2</v>
      </c>
      <c r="BO86" s="22">
        <v>2</v>
      </c>
      <c r="BP86" s="22">
        <v>4</v>
      </c>
      <c r="BQ86" s="22">
        <v>3</v>
      </c>
      <c r="BR86" s="22">
        <v>5</v>
      </c>
      <c r="BS86" s="22">
        <v>1</v>
      </c>
      <c r="BT86" s="22">
        <v>1</v>
      </c>
      <c r="BU86" s="22">
        <v>4</v>
      </c>
      <c r="BV86" s="22">
        <v>4</v>
      </c>
      <c r="BW86" s="22">
        <v>5</v>
      </c>
      <c r="BX86" s="2" t="s">
        <v>529</v>
      </c>
      <c r="BY86" s="2" t="s">
        <v>32</v>
      </c>
      <c r="BZ86" s="2" t="s">
        <v>34</v>
      </c>
      <c r="CA86" s="2" t="s">
        <v>35</v>
      </c>
      <c r="CB86" s="24">
        <v>0</v>
      </c>
      <c r="CC86" s="2" t="s">
        <v>64</v>
      </c>
      <c r="CD86" s="2" t="s">
        <v>530</v>
      </c>
      <c r="CE86" s="2" t="s">
        <v>32</v>
      </c>
      <c r="CF86" s="24">
        <v>0</v>
      </c>
      <c r="CG86" s="24">
        <v>-2</v>
      </c>
      <c r="CH86" s="2" t="s">
        <v>531</v>
      </c>
      <c r="CI86" s="2" t="s">
        <v>32</v>
      </c>
      <c r="CJ86" s="2" t="s">
        <v>32</v>
      </c>
      <c r="CK86" s="2" t="s">
        <v>38</v>
      </c>
      <c r="CL86" s="24">
        <v>1</v>
      </c>
      <c r="CM86" s="2" t="s">
        <v>45</v>
      </c>
      <c r="CN86" s="2" t="s">
        <v>32</v>
      </c>
    </row>
    <row r="87" spans="1:92" ht="14" customHeight="1" x14ac:dyDescent="0.35">
      <c r="A87" s="2" t="s">
        <v>497</v>
      </c>
      <c r="B87" t="str">
        <f t="shared" si="2"/>
        <v>p85</v>
      </c>
      <c r="C87" s="38">
        <v>45940.706076388888</v>
      </c>
      <c r="D87" s="38">
        <v>45940.71298611111</v>
      </c>
      <c r="E87" s="2" t="s">
        <v>493</v>
      </c>
      <c r="F87" s="24">
        <v>100</v>
      </c>
      <c r="G87" s="24">
        <v>597</v>
      </c>
      <c r="H87" s="2" t="s">
        <v>31</v>
      </c>
      <c r="I87" s="38">
        <v>45940.713000914351</v>
      </c>
      <c r="J87" s="2" t="s">
        <v>494</v>
      </c>
      <c r="K87" s="24">
        <v>51.553800000000003</v>
      </c>
      <c r="L87" s="24">
        <v>-0.31019999999999998</v>
      </c>
      <c r="M87" s="2" t="s">
        <v>33</v>
      </c>
      <c r="N87" s="2" t="s">
        <v>495</v>
      </c>
      <c r="O87" s="2" t="s">
        <v>496</v>
      </c>
      <c r="P87" s="22">
        <v>5</v>
      </c>
      <c r="Q87" s="22">
        <v>5</v>
      </c>
      <c r="R87" s="22">
        <v>1</v>
      </c>
      <c r="S87" s="22">
        <v>2</v>
      </c>
      <c r="T87" s="22">
        <v>3</v>
      </c>
      <c r="U87" s="22">
        <v>5</v>
      </c>
      <c r="V87" s="22">
        <v>3</v>
      </c>
      <c r="W87" s="22">
        <v>1</v>
      </c>
      <c r="X87" s="22">
        <v>3</v>
      </c>
      <c r="Y87" s="22">
        <v>5</v>
      </c>
      <c r="Z87" s="22">
        <v>5</v>
      </c>
      <c r="AA87" s="22">
        <v>3</v>
      </c>
      <c r="AB87" s="22">
        <v>4</v>
      </c>
      <c r="AC87" s="22">
        <v>1</v>
      </c>
      <c r="AD87" s="22">
        <v>1</v>
      </c>
      <c r="AE87" s="22">
        <v>1</v>
      </c>
      <c r="AF87" s="22">
        <v>1</v>
      </c>
      <c r="AG87" s="22">
        <v>3</v>
      </c>
      <c r="AH87" s="22">
        <v>1</v>
      </c>
      <c r="AI87" s="22">
        <v>2</v>
      </c>
      <c r="AJ87" s="22">
        <v>1</v>
      </c>
      <c r="AK87" s="22">
        <v>1</v>
      </c>
      <c r="AL87" s="22">
        <v>1</v>
      </c>
      <c r="AM87" s="22">
        <v>1</v>
      </c>
      <c r="AN87" s="22">
        <v>5</v>
      </c>
      <c r="AO87" s="22">
        <v>2</v>
      </c>
      <c r="AP87" s="22">
        <v>3</v>
      </c>
      <c r="AQ87" s="22">
        <v>5</v>
      </c>
      <c r="AR87" s="22">
        <v>2</v>
      </c>
      <c r="AS87" s="22">
        <v>5</v>
      </c>
      <c r="AT87" s="22">
        <v>1</v>
      </c>
      <c r="AU87" s="22">
        <v>4</v>
      </c>
      <c r="AV87" s="22">
        <v>1</v>
      </c>
      <c r="AW87" s="22">
        <v>3</v>
      </c>
      <c r="AX87" s="22">
        <v>3</v>
      </c>
      <c r="AY87" s="22">
        <v>1</v>
      </c>
      <c r="AZ87" s="22">
        <v>4</v>
      </c>
      <c r="BA87" s="22">
        <v>3</v>
      </c>
      <c r="BB87" s="22">
        <v>3</v>
      </c>
      <c r="BC87" s="22">
        <v>4</v>
      </c>
      <c r="BD87" s="22">
        <v>1</v>
      </c>
      <c r="BE87" s="22">
        <v>5</v>
      </c>
      <c r="BF87" s="22">
        <v>5</v>
      </c>
      <c r="BG87" s="22">
        <v>3</v>
      </c>
      <c r="BH87" s="22">
        <v>4</v>
      </c>
      <c r="BI87" s="22">
        <v>1</v>
      </c>
      <c r="BJ87" s="22">
        <v>4</v>
      </c>
      <c r="BK87" s="22">
        <v>5</v>
      </c>
      <c r="BL87" s="22">
        <v>4</v>
      </c>
      <c r="BM87" s="22">
        <v>5</v>
      </c>
      <c r="BN87" s="22">
        <v>2</v>
      </c>
      <c r="BO87" s="22">
        <v>2</v>
      </c>
      <c r="BP87" s="22">
        <v>4</v>
      </c>
      <c r="BQ87" s="22">
        <v>3</v>
      </c>
      <c r="BR87" s="22">
        <v>4</v>
      </c>
      <c r="BS87" s="22">
        <v>2</v>
      </c>
      <c r="BT87" s="22">
        <v>1</v>
      </c>
      <c r="BU87" s="22">
        <v>1</v>
      </c>
      <c r="BV87" s="22">
        <v>4</v>
      </c>
      <c r="BW87" s="22">
        <v>5</v>
      </c>
      <c r="BX87" s="2" t="s">
        <v>497</v>
      </c>
      <c r="BY87" s="2" t="s">
        <v>32</v>
      </c>
      <c r="BZ87" s="2" t="s">
        <v>34</v>
      </c>
      <c r="CA87" s="2" t="s">
        <v>498</v>
      </c>
      <c r="CB87" s="24">
        <v>2</v>
      </c>
      <c r="CC87" s="2" t="s">
        <v>36</v>
      </c>
      <c r="CD87" s="2" t="s">
        <v>53</v>
      </c>
      <c r="CE87" s="2" t="s">
        <v>32</v>
      </c>
      <c r="CF87" s="24">
        <v>0</v>
      </c>
      <c r="CG87" s="24">
        <v>2</v>
      </c>
      <c r="CH87" s="2" t="s">
        <v>37</v>
      </c>
      <c r="CI87" s="2" t="s">
        <v>32</v>
      </c>
      <c r="CJ87" s="2" t="s">
        <v>32</v>
      </c>
      <c r="CK87" s="2" t="s">
        <v>38</v>
      </c>
      <c r="CL87" s="24">
        <v>1</v>
      </c>
      <c r="CM87" s="2" t="s">
        <v>45</v>
      </c>
      <c r="CN87" s="2" t="s">
        <v>32</v>
      </c>
    </row>
    <row r="88" spans="1:92" ht="14" customHeight="1" x14ac:dyDescent="0.35">
      <c r="A88" s="2" t="s">
        <v>492</v>
      </c>
      <c r="B88" t="str">
        <f t="shared" si="2"/>
        <v>p86</v>
      </c>
      <c r="C88" s="38">
        <v>45940.706111111111</v>
      </c>
      <c r="D88" s="38">
        <v>45940.712696759256</v>
      </c>
      <c r="E88" s="2" t="s">
        <v>488</v>
      </c>
      <c r="F88" s="24">
        <v>100</v>
      </c>
      <c r="G88" s="24">
        <v>569</v>
      </c>
      <c r="H88" s="2" t="s">
        <v>31</v>
      </c>
      <c r="I88" s="38">
        <v>45940.712709722226</v>
      </c>
      <c r="J88" s="2" t="s">
        <v>489</v>
      </c>
      <c r="K88" s="24">
        <v>37.750999999999998</v>
      </c>
      <c r="L88" s="24">
        <v>-97.822000000000003</v>
      </c>
      <c r="M88" s="2" t="s">
        <v>33</v>
      </c>
      <c r="N88" s="2" t="s">
        <v>490</v>
      </c>
      <c r="O88" s="2" t="s">
        <v>491</v>
      </c>
      <c r="P88" s="22">
        <v>4</v>
      </c>
      <c r="Q88" s="22">
        <v>5</v>
      </c>
      <c r="R88" s="22">
        <v>1</v>
      </c>
      <c r="S88" s="22">
        <v>4</v>
      </c>
      <c r="T88" s="22">
        <v>5</v>
      </c>
      <c r="U88" s="22">
        <v>5</v>
      </c>
      <c r="V88" s="22">
        <v>5</v>
      </c>
      <c r="W88" s="22">
        <v>1</v>
      </c>
      <c r="X88" s="22">
        <v>5</v>
      </c>
      <c r="Y88" s="22">
        <v>5</v>
      </c>
      <c r="Z88" s="22">
        <v>5</v>
      </c>
      <c r="AA88" s="22">
        <v>5</v>
      </c>
      <c r="AB88" s="22">
        <v>5</v>
      </c>
      <c r="AC88" s="22">
        <v>1</v>
      </c>
      <c r="AD88" s="22">
        <v>1</v>
      </c>
      <c r="AE88" s="22">
        <v>1</v>
      </c>
      <c r="AF88" s="22">
        <v>1</v>
      </c>
      <c r="AG88" s="22">
        <v>1</v>
      </c>
      <c r="AH88" s="22">
        <v>2</v>
      </c>
      <c r="AI88" s="22">
        <v>4</v>
      </c>
      <c r="AJ88" s="22">
        <v>1</v>
      </c>
      <c r="AK88" s="22">
        <v>4</v>
      </c>
      <c r="AL88" s="22">
        <v>4</v>
      </c>
      <c r="AM88" s="22">
        <v>2</v>
      </c>
      <c r="AN88" s="22">
        <v>5</v>
      </c>
      <c r="AO88" s="22">
        <v>1</v>
      </c>
      <c r="AP88" s="22">
        <v>5</v>
      </c>
      <c r="AQ88" s="22">
        <v>5</v>
      </c>
      <c r="AR88" s="22">
        <v>1</v>
      </c>
      <c r="AS88" s="22">
        <v>5</v>
      </c>
      <c r="AT88" s="22">
        <v>0</v>
      </c>
      <c r="AU88" s="22">
        <v>5</v>
      </c>
      <c r="AV88" s="22">
        <v>1</v>
      </c>
      <c r="AW88" s="22">
        <v>4</v>
      </c>
      <c r="AX88" s="22">
        <v>4</v>
      </c>
      <c r="AY88" s="22">
        <v>2</v>
      </c>
      <c r="AZ88" s="22">
        <v>5</v>
      </c>
      <c r="BA88" s="22">
        <v>5</v>
      </c>
      <c r="BB88" s="22">
        <v>5</v>
      </c>
      <c r="BC88" s="22">
        <v>5</v>
      </c>
      <c r="BD88" s="22">
        <v>1</v>
      </c>
      <c r="BE88" s="22">
        <v>3</v>
      </c>
      <c r="BF88" s="22">
        <v>5</v>
      </c>
      <c r="BG88" s="22">
        <v>3</v>
      </c>
      <c r="BH88" s="22">
        <v>5</v>
      </c>
      <c r="BI88" s="22">
        <v>1</v>
      </c>
      <c r="BJ88" s="22">
        <v>5</v>
      </c>
      <c r="BK88" s="22">
        <v>5</v>
      </c>
      <c r="BL88" s="22">
        <v>5</v>
      </c>
      <c r="BM88" s="22">
        <v>5</v>
      </c>
      <c r="BN88" s="22">
        <v>2</v>
      </c>
      <c r="BO88" s="22">
        <v>1</v>
      </c>
      <c r="BP88" s="22">
        <v>4</v>
      </c>
      <c r="BQ88" s="22">
        <v>5</v>
      </c>
      <c r="BR88" s="22">
        <v>4</v>
      </c>
      <c r="BS88" s="22">
        <v>2</v>
      </c>
      <c r="BT88" s="22">
        <v>1</v>
      </c>
      <c r="BU88" s="22">
        <v>1</v>
      </c>
      <c r="BV88" s="22">
        <v>5</v>
      </c>
      <c r="BW88" s="22">
        <v>5</v>
      </c>
      <c r="BX88" s="2" t="s">
        <v>492</v>
      </c>
      <c r="BY88" s="2" t="s">
        <v>32</v>
      </c>
      <c r="BZ88" s="2" t="s">
        <v>34</v>
      </c>
      <c r="CA88" s="2" t="s">
        <v>35</v>
      </c>
      <c r="CB88" s="24">
        <v>0</v>
      </c>
      <c r="CC88" s="2" t="s">
        <v>36</v>
      </c>
      <c r="CD88" s="2" t="s">
        <v>53</v>
      </c>
      <c r="CE88" s="2" t="s">
        <v>32</v>
      </c>
      <c r="CF88" s="24">
        <v>0</v>
      </c>
      <c r="CG88" s="24">
        <v>2</v>
      </c>
      <c r="CH88" s="2" t="s">
        <v>37</v>
      </c>
      <c r="CI88" s="2" t="s">
        <v>32</v>
      </c>
      <c r="CJ88" s="2" t="s">
        <v>32</v>
      </c>
      <c r="CK88" s="2" t="s">
        <v>38</v>
      </c>
      <c r="CL88" s="24">
        <v>1</v>
      </c>
      <c r="CM88" s="2" t="s">
        <v>45</v>
      </c>
      <c r="CN88" s="2" t="s">
        <v>32</v>
      </c>
    </row>
    <row r="89" spans="1:92" ht="14" customHeight="1" x14ac:dyDescent="0.35">
      <c r="A89" s="2" t="s">
        <v>508</v>
      </c>
      <c r="B89" t="str">
        <f t="shared" si="2"/>
        <v>p87</v>
      </c>
      <c r="C89" s="38">
        <v>45940.706111111111</v>
      </c>
      <c r="D89" s="38">
        <v>45940.714699074073</v>
      </c>
      <c r="E89" s="2" t="s">
        <v>504</v>
      </c>
      <c r="F89" s="24">
        <v>100</v>
      </c>
      <c r="G89" s="24">
        <v>741</v>
      </c>
      <c r="H89" s="2" t="s">
        <v>31</v>
      </c>
      <c r="I89" s="38">
        <v>45940.714705613427</v>
      </c>
      <c r="J89" s="2" t="s">
        <v>505</v>
      </c>
      <c r="K89" s="24">
        <v>52.486699999999999</v>
      </c>
      <c r="L89" s="24">
        <v>-1.8989</v>
      </c>
      <c r="M89" s="2" t="s">
        <v>33</v>
      </c>
      <c r="N89" s="2" t="s">
        <v>506</v>
      </c>
      <c r="O89" s="2" t="s">
        <v>507</v>
      </c>
      <c r="P89" s="22">
        <v>5</v>
      </c>
      <c r="Q89" s="22">
        <v>5</v>
      </c>
      <c r="R89" s="22">
        <v>3</v>
      </c>
      <c r="S89" s="22">
        <v>5</v>
      </c>
      <c r="T89" s="22">
        <v>3</v>
      </c>
      <c r="U89" s="22">
        <v>4</v>
      </c>
      <c r="V89" s="22">
        <v>4</v>
      </c>
      <c r="W89" s="22">
        <v>2</v>
      </c>
      <c r="X89" s="22">
        <v>5</v>
      </c>
      <c r="Y89" s="22">
        <v>5</v>
      </c>
      <c r="Z89" s="22">
        <v>4</v>
      </c>
      <c r="AA89" s="22">
        <v>3</v>
      </c>
      <c r="AB89" s="22">
        <v>3</v>
      </c>
      <c r="AC89" s="22">
        <v>4</v>
      </c>
      <c r="AD89" s="22">
        <v>1</v>
      </c>
      <c r="AE89" s="22">
        <v>1</v>
      </c>
      <c r="AF89" s="22">
        <v>1</v>
      </c>
      <c r="AG89" s="22">
        <v>2</v>
      </c>
      <c r="AH89" s="22">
        <v>3</v>
      </c>
      <c r="AI89" s="22">
        <v>1</v>
      </c>
      <c r="AJ89" s="22">
        <v>1</v>
      </c>
      <c r="AK89" s="22">
        <v>3</v>
      </c>
      <c r="AL89" s="22">
        <v>3</v>
      </c>
      <c r="AM89" s="22">
        <v>1</v>
      </c>
      <c r="AN89" s="22">
        <v>4</v>
      </c>
      <c r="AO89" s="22">
        <v>3</v>
      </c>
      <c r="AP89" s="22">
        <v>4</v>
      </c>
      <c r="AQ89" s="22">
        <v>4</v>
      </c>
      <c r="AR89" s="22">
        <v>2</v>
      </c>
      <c r="AS89" s="22">
        <v>4</v>
      </c>
      <c r="AT89" s="22">
        <v>2</v>
      </c>
      <c r="AU89" s="22">
        <v>5</v>
      </c>
      <c r="AV89" s="22">
        <v>3</v>
      </c>
      <c r="AW89" s="22">
        <v>4</v>
      </c>
      <c r="AX89" s="22">
        <v>4</v>
      </c>
      <c r="AY89" s="22">
        <v>2</v>
      </c>
      <c r="AZ89" s="22">
        <v>3</v>
      </c>
      <c r="BA89" s="22">
        <v>3</v>
      </c>
      <c r="BB89" s="22">
        <v>5</v>
      </c>
      <c r="BC89" s="22">
        <v>3</v>
      </c>
      <c r="BD89" s="22">
        <v>2</v>
      </c>
      <c r="BE89" s="22">
        <v>4</v>
      </c>
      <c r="BF89" s="22">
        <v>4</v>
      </c>
      <c r="BG89" s="22">
        <v>3</v>
      </c>
      <c r="BH89" s="22">
        <v>3</v>
      </c>
      <c r="BI89" s="22">
        <v>4</v>
      </c>
      <c r="BJ89" s="22">
        <v>2</v>
      </c>
      <c r="BK89" s="22">
        <v>4</v>
      </c>
      <c r="BL89" s="22">
        <v>3</v>
      </c>
      <c r="BM89" s="22">
        <v>4</v>
      </c>
      <c r="BN89" s="22">
        <v>3</v>
      </c>
      <c r="BO89" s="22">
        <v>5</v>
      </c>
      <c r="BP89" s="22">
        <v>1</v>
      </c>
      <c r="BQ89" s="22">
        <v>2</v>
      </c>
      <c r="BR89" s="22">
        <v>4</v>
      </c>
      <c r="BS89" s="22">
        <v>2</v>
      </c>
      <c r="BT89" s="22">
        <v>1</v>
      </c>
      <c r="BU89" s="22">
        <v>1</v>
      </c>
      <c r="BV89" s="22">
        <v>3</v>
      </c>
      <c r="BW89" s="22">
        <v>3</v>
      </c>
      <c r="BX89" s="2" t="s">
        <v>508</v>
      </c>
      <c r="BY89" s="2" t="s">
        <v>32</v>
      </c>
      <c r="BZ89" s="2" t="s">
        <v>34</v>
      </c>
      <c r="CA89" s="2" t="s">
        <v>35</v>
      </c>
      <c r="CB89" s="24">
        <v>0</v>
      </c>
      <c r="CC89" s="2" t="s">
        <v>36</v>
      </c>
      <c r="CD89" s="2" t="s">
        <v>65</v>
      </c>
      <c r="CE89" s="2" t="s">
        <v>32</v>
      </c>
      <c r="CF89" s="24">
        <v>0</v>
      </c>
      <c r="CG89" s="24">
        <v>2</v>
      </c>
      <c r="CH89" s="2" t="s">
        <v>37</v>
      </c>
      <c r="CI89" s="2" t="s">
        <v>32</v>
      </c>
      <c r="CJ89" s="2" t="s">
        <v>32</v>
      </c>
      <c r="CK89" s="2" t="s">
        <v>38</v>
      </c>
      <c r="CL89" s="24">
        <v>1</v>
      </c>
      <c r="CM89" s="2" t="s">
        <v>45</v>
      </c>
      <c r="CN89" s="2" t="s">
        <v>32</v>
      </c>
    </row>
    <row r="90" spans="1:92" ht="14" customHeight="1" x14ac:dyDescent="0.35">
      <c r="A90" s="2" t="s">
        <v>477</v>
      </c>
      <c r="B90" t="str">
        <f t="shared" si="2"/>
        <v>p88</v>
      </c>
      <c r="C90" s="38">
        <v>45940.706250000003</v>
      </c>
      <c r="D90" s="38">
        <v>45940.71197916667</v>
      </c>
      <c r="E90" s="2" t="s">
        <v>473</v>
      </c>
      <c r="F90" s="24">
        <v>100</v>
      </c>
      <c r="G90" s="24">
        <v>494</v>
      </c>
      <c r="H90" s="2" t="s">
        <v>31</v>
      </c>
      <c r="I90" s="38">
        <v>45940.711984907408</v>
      </c>
      <c r="J90" s="2" t="s">
        <v>474</v>
      </c>
      <c r="K90" s="24">
        <v>51.508099999999999</v>
      </c>
      <c r="L90" s="24">
        <v>-0.1278</v>
      </c>
      <c r="M90" s="2" t="s">
        <v>33</v>
      </c>
      <c r="N90" s="2" t="s">
        <v>475</v>
      </c>
      <c r="O90" s="2" t="s">
        <v>476</v>
      </c>
      <c r="P90" s="22">
        <v>4</v>
      </c>
      <c r="Q90" s="22">
        <v>3</v>
      </c>
      <c r="R90" s="22">
        <v>5</v>
      </c>
      <c r="S90" s="22">
        <v>5</v>
      </c>
      <c r="T90" s="22">
        <v>4</v>
      </c>
      <c r="U90" s="22">
        <v>5</v>
      </c>
      <c r="V90" s="22">
        <v>3</v>
      </c>
      <c r="W90" s="22">
        <v>4</v>
      </c>
      <c r="X90" s="22">
        <v>3</v>
      </c>
      <c r="Y90" s="22">
        <v>4</v>
      </c>
      <c r="Z90" s="22">
        <v>1</v>
      </c>
      <c r="AA90" s="22">
        <v>3</v>
      </c>
      <c r="AB90" s="22">
        <v>3</v>
      </c>
      <c r="AC90" s="22">
        <v>5</v>
      </c>
      <c r="AD90" s="22">
        <v>1</v>
      </c>
      <c r="AE90" s="22">
        <v>5</v>
      </c>
      <c r="AF90" s="22">
        <v>3</v>
      </c>
      <c r="AG90" s="22">
        <v>3</v>
      </c>
      <c r="AH90" s="22">
        <v>5</v>
      </c>
      <c r="AI90" s="22">
        <v>2</v>
      </c>
      <c r="AJ90" s="22">
        <v>2</v>
      </c>
      <c r="AK90" s="22">
        <v>3</v>
      </c>
      <c r="AL90" s="22">
        <v>2</v>
      </c>
      <c r="AM90" s="22">
        <v>5</v>
      </c>
      <c r="AN90" s="22">
        <v>2</v>
      </c>
      <c r="AO90" s="22">
        <v>3</v>
      </c>
      <c r="AP90" s="22">
        <v>5</v>
      </c>
      <c r="AQ90" s="22">
        <v>3</v>
      </c>
      <c r="AR90" s="22">
        <v>3</v>
      </c>
      <c r="AS90" s="22">
        <v>3</v>
      </c>
      <c r="AT90" s="22">
        <v>4</v>
      </c>
      <c r="AU90" s="22">
        <v>5</v>
      </c>
      <c r="AV90" s="22">
        <v>3</v>
      </c>
      <c r="AW90" s="22">
        <v>3</v>
      </c>
      <c r="AX90" s="22">
        <v>3</v>
      </c>
      <c r="AY90" s="22">
        <v>4</v>
      </c>
      <c r="AZ90" s="22">
        <v>3</v>
      </c>
      <c r="BA90" s="22">
        <v>2</v>
      </c>
      <c r="BB90" s="22">
        <v>2</v>
      </c>
      <c r="BC90" s="22">
        <v>2</v>
      </c>
      <c r="BD90" s="22">
        <v>2</v>
      </c>
      <c r="BE90" s="22">
        <v>3</v>
      </c>
      <c r="BF90" s="22">
        <v>4</v>
      </c>
      <c r="BG90" s="22">
        <v>3</v>
      </c>
      <c r="BH90" s="22">
        <v>5</v>
      </c>
      <c r="BI90" s="22">
        <v>3</v>
      </c>
      <c r="BJ90" s="22">
        <v>3</v>
      </c>
      <c r="BK90" s="22">
        <v>3</v>
      </c>
      <c r="BL90" s="22">
        <v>4</v>
      </c>
      <c r="BM90" s="22">
        <v>4</v>
      </c>
      <c r="BN90" s="22">
        <v>3</v>
      </c>
      <c r="BO90" s="22">
        <v>4</v>
      </c>
      <c r="BP90" s="22">
        <v>3</v>
      </c>
      <c r="BQ90" s="22">
        <v>3</v>
      </c>
      <c r="BR90" s="22">
        <v>5</v>
      </c>
      <c r="BS90" s="22">
        <v>3</v>
      </c>
      <c r="BT90" s="22">
        <v>3</v>
      </c>
      <c r="BU90" s="22">
        <v>3</v>
      </c>
      <c r="BV90" s="22">
        <v>3</v>
      </c>
      <c r="BW90" s="22">
        <v>5</v>
      </c>
      <c r="BX90" s="2" t="s">
        <v>477</v>
      </c>
      <c r="BY90" s="2" t="s">
        <v>32</v>
      </c>
      <c r="BZ90" s="2" t="s">
        <v>34</v>
      </c>
      <c r="CA90" s="2" t="s">
        <v>35</v>
      </c>
      <c r="CB90" s="24">
        <v>0</v>
      </c>
      <c r="CC90" s="2" t="s">
        <v>36</v>
      </c>
      <c r="CD90" s="2" t="s">
        <v>53</v>
      </c>
      <c r="CE90" s="2" t="s">
        <v>32</v>
      </c>
      <c r="CF90" s="24">
        <v>0</v>
      </c>
      <c r="CG90" s="24">
        <v>2</v>
      </c>
      <c r="CH90" s="2" t="s">
        <v>37</v>
      </c>
      <c r="CI90" s="2" t="s">
        <v>32</v>
      </c>
      <c r="CJ90" s="2" t="s">
        <v>32</v>
      </c>
      <c r="CK90" s="2" t="s">
        <v>38</v>
      </c>
      <c r="CL90" s="24">
        <v>1</v>
      </c>
      <c r="CM90" s="2" t="s">
        <v>45</v>
      </c>
      <c r="CN90" s="2" t="s">
        <v>32</v>
      </c>
    </row>
    <row r="91" spans="1:92" ht="14" customHeight="1" x14ac:dyDescent="0.35">
      <c r="A91" s="2" t="s">
        <v>546</v>
      </c>
      <c r="B91" t="str">
        <f t="shared" si="2"/>
        <v>p89</v>
      </c>
      <c r="C91" s="38">
        <v>45940.706284722219</v>
      </c>
      <c r="D91" s="38">
        <v>45940.719826388886</v>
      </c>
      <c r="E91" s="2" t="s">
        <v>542</v>
      </c>
      <c r="F91" s="24">
        <v>100</v>
      </c>
      <c r="G91" s="24">
        <v>1169</v>
      </c>
      <c r="H91" s="2" t="s">
        <v>31</v>
      </c>
      <c r="I91" s="38">
        <v>45940.719833530093</v>
      </c>
      <c r="J91" s="2" t="s">
        <v>543</v>
      </c>
      <c r="K91" s="24">
        <v>37.750999999999998</v>
      </c>
      <c r="L91" s="24">
        <v>-97.822000000000003</v>
      </c>
      <c r="M91" s="2" t="s">
        <v>33</v>
      </c>
      <c r="N91" s="2" t="s">
        <v>544</v>
      </c>
      <c r="O91" s="2" t="s">
        <v>545</v>
      </c>
      <c r="P91" s="22">
        <v>4</v>
      </c>
      <c r="Q91" s="22">
        <v>4</v>
      </c>
      <c r="R91" s="22">
        <v>1</v>
      </c>
      <c r="S91" s="22">
        <v>4</v>
      </c>
      <c r="T91" s="22">
        <v>3</v>
      </c>
      <c r="U91" s="22">
        <v>5</v>
      </c>
      <c r="V91" s="22">
        <v>4</v>
      </c>
      <c r="W91" s="22">
        <v>2</v>
      </c>
      <c r="X91" s="22">
        <v>3</v>
      </c>
      <c r="Y91" s="22">
        <v>4</v>
      </c>
      <c r="Z91" s="22">
        <v>5</v>
      </c>
      <c r="AA91" s="22">
        <v>4</v>
      </c>
      <c r="AB91" s="22">
        <v>3</v>
      </c>
      <c r="AC91" s="22">
        <v>2</v>
      </c>
      <c r="AD91" s="22">
        <v>3</v>
      </c>
      <c r="AE91" s="22">
        <v>3</v>
      </c>
      <c r="AF91" s="22">
        <v>1</v>
      </c>
      <c r="AG91" s="22">
        <v>2</v>
      </c>
      <c r="AH91" s="22">
        <v>1</v>
      </c>
      <c r="AI91" s="22">
        <v>3</v>
      </c>
      <c r="AJ91" s="22">
        <v>1</v>
      </c>
      <c r="AK91" s="22">
        <v>4</v>
      </c>
      <c r="AL91" s="22">
        <v>2</v>
      </c>
      <c r="AM91" s="22">
        <v>2</v>
      </c>
      <c r="AN91" s="22">
        <v>4</v>
      </c>
      <c r="AO91" s="22">
        <v>3</v>
      </c>
      <c r="AP91" s="22">
        <v>4</v>
      </c>
      <c r="AQ91" s="22">
        <v>5</v>
      </c>
      <c r="AR91" s="22">
        <v>1</v>
      </c>
      <c r="AS91" s="22">
        <v>4</v>
      </c>
      <c r="AT91" s="22">
        <v>1</v>
      </c>
      <c r="AU91" s="22">
        <v>2</v>
      </c>
      <c r="AV91" s="22">
        <v>1</v>
      </c>
      <c r="AW91" s="22">
        <v>2</v>
      </c>
      <c r="AX91" s="22">
        <v>3</v>
      </c>
      <c r="AY91" s="22">
        <v>1</v>
      </c>
      <c r="AZ91" s="22">
        <v>5</v>
      </c>
      <c r="BA91" s="22">
        <v>4</v>
      </c>
      <c r="BB91" s="22">
        <v>3</v>
      </c>
      <c r="BC91" s="22">
        <v>5</v>
      </c>
      <c r="BD91" s="22">
        <v>1</v>
      </c>
      <c r="BE91" s="22">
        <v>5</v>
      </c>
      <c r="BF91" s="22">
        <v>5</v>
      </c>
      <c r="BG91" s="22">
        <v>3</v>
      </c>
      <c r="BH91" s="22">
        <v>4</v>
      </c>
      <c r="BI91" s="22">
        <v>1</v>
      </c>
      <c r="BJ91" s="22">
        <v>3</v>
      </c>
      <c r="BK91" s="22">
        <v>4</v>
      </c>
      <c r="BL91" s="22">
        <v>5</v>
      </c>
      <c r="BM91" s="22">
        <v>4</v>
      </c>
      <c r="BN91" s="22">
        <v>1</v>
      </c>
      <c r="BO91" s="22">
        <v>3</v>
      </c>
      <c r="BP91" s="22">
        <v>3</v>
      </c>
      <c r="BQ91" s="22">
        <v>3</v>
      </c>
      <c r="BR91" s="22">
        <v>5</v>
      </c>
      <c r="BS91" s="22">
        <v>3</v>
      </c>
      <c r="BT91" s="22">
        <v>1</v>
      </c>
      <c r="BU91" s="22">
        <v>2</v>
      </c>
      <c r="BV91" s="22">
        <v>5</v>
      </c>
      <c r="BW91" s="22">
        <v>5</v>
      </c>
      <c r="BX91" s="2" t="s">
        <v>546</v>
      </c>
      <c r="BY91" s="2" t="s">
        <v>32</v>
      </c>
      <c r="BZ91" s="2" t="s">
        <v>34</v>
      </c>
      <c r="CA91" s="2" t="s">
        <v>35</v>
      </c>
      <c r="CB91" s="24">
        <v>0</v>
      </c>
      <c r="CC91" s="2" t="s">
        <v>36</v>
      </c>
      <c r="CD91" s="2" t="s">
        <v>82</v>
      </c>
      <c r="CE91" s="2" t="s">
        <v>32</v>
      </c>
      <c r="CF91" s="24">
        <v>0</v>
      </c>
      <c r="CG91" s="24">
        <v>2</v>
      </c>
      <c r="CH91" s="2" t="s">
        <v>37</v>
      </c>
      <c r="CI91" s="2" t="s">
        <v>32</v>
      </c>
      <c r="CJ91" s="2" t="s">
        <v>32</v>
      </c>
      <c r="CK91" s="2" t="s">
        <v>38</v>
      </c>
      <c r="CL91" s="24">
        <v>0</v>
      </c>
      <c r="CM91" s="2" t="s">
        <v>32</v>
      </c>
      <c r="CN91" s="2" t="s">
        <v>32</v>
      </c>
    </row>
    <row r="92" spans="1:92" ht="14" customHeight="1" x14ac:dyDescent="0.35">
      <c r="A92" s="2" t="s">
        <v>524</v>
      </c>
      <c r="B92" t="str">
        <f t="shared" si="2"/>
        <v>p90</v>
      </c>
      <c r="C92" s="38">
        <v>45940.706354166665</v>
      </c>
      <c r="D92" s="38">
        <v>45940.715891203705</v>
      </c>
      <c r="E92" s="2" t="s">
        <v>520</v>
      </c>
      <c r="F92" s="24">
        <v>100</v>
      </c>
      <c r="G92" s="24">
        <v>824</v>
      </c>
      <c r="H92" s="2" t="s">
        <v>31</v>
      </c>
      <c r="I92" s="38">
        <v>45940.715906400466</v>
      </c>
      <c r="J92" s="2" t="s">
        <v>521</v>
      </c>
      <c r="K92" s="24">
        <v>29.8323</v>
      </c>
      <c r="L92" s="24">
        <v>-95.736000000000004</v>
      </c>
      <c r="M92" s="2" t="s">
        <v>33</v>
      </c>
      <c r="N92" s="2" t="s">
        <v>522</v>
      </c>
      <c r="O92" s="2" t="s">
        <v>523</v>
      </c>
      <c r="P92" s="22">
        <v>4</v>
      </c>
      <c r="Q92" s="22">
        <v>5</v>
      </c>
      <c r="R92" s="22">
        <v>3</v>
      </c>
      <c r="S92" s="22">
        <v>1</v>
      </c>
      <c r="T92" s="22">
        <v>1</v>
      </c>
      <c r="U92" s="22">
        <v>4</v>
      </c>
      <c r="V92" s="22">
        <v>1</v>
      </c>
      <c r="W92" s="22">
        <v>4</v>
      </c>
      <c r="X92" s="22">
        <v>5</v>
      </c>
      <c r="Y92" s="22">
        <v>3</v>
      </c>
      <c r="Z92" s="22">
        <v>3</v>
      </c>
      <c r="AA92" s="22">
        <v>4</v>
      </c>
      <c r="AB92" s="22">
        <v>4</v>
      </c>
      <c r="AC92" s="22">
        <v>1</v>
      </c>
      <c r="AD92" s="22">
        <v>1</v>
      </c>
      <c r="AE92" s="22">
        <v>2</v>
      </c>
      <c r="AF92" s="22">
        <v>1</v>
      </c>
      <c r="AG92" s="22">
        <v>1</v>
      </c>
      <c r="AH92" s="22">
        <v>1</v>
      </c>
      <c r="AI92" s="22">
        <v>2</v>
      </c>
      <c r="AJ92" s="22">
        <v>1</v>
      </c>
      <c r="AK92" s="22">
        <v>1</v>
      </c>
      <c r="AL92" s="22">
        <v>3</v>
      </c>
      <c r="AM92" s="22">
        <v>3</v>
      </c>
      <c r="AN92" s="22">
        <v>4</v>
      </c>
      <c r="AO92" s="22">
        <v>1</v>
      </c>
      <c r="AP92" s="22">
        <v>5</v>
      </c>
      <c r="AQ92" s="22">
        <v>1</v>
      </c>
      <c r="AR92" s="22">
        <v>3</v>
      </c>
      <c r="AS92" s="22">
        <v>4</v>
      </c>
      <c r="AT92" s="22">
        <v>2</v>
      </c>
      <c r="AU92" s="22">
        <v>1</v>
      </c>
      <c r="AV92" s="22">
        <v>1</v>
      </c>
      <c r="AW92" s="22">
        <v>1</v>
      </c>
      <c r="AX92" s="22">
        <v>4</v>
      </c>
      <c r="AY92" s="22">
        <v>2</v>
      </c>
      <c r="AZ92" s="22">
        <v>3</v>
      </c>
      <c r="BA92" s="22">
        <v>4</v>
      </c>
      <c r="BB92" s="22">
        <v>4</v>
      </c>
      <c r="BC92" s="22">
        <v>4</v>
      </c>
      <c r="BD92" s="22">
        <v>4</v>
      </c>
      <c r="BE92" s="22">
        <v>4</v>
      </c>
      <c r="BF92" s="22">
        <v>4</v>
      </c>
      <c r="BG92" s="22">
        <v>2</v>
      </c>
      <c r="BH92" s="22">
        <v>1</v>
      </c>
      <c r="BI92" s="22">
        <v>4</v>
      </c>
      <c r="BJ92" s="22">
        <v>3</v>
      </c>
      <c r="BK92" s="22">
        <v>2</v>
      </c>
      <c r="BL92" s="22">
        <v>4</v>
      </c>
      <c r="BM92" s="22">
        <v>5</v>
      </c>
      <c r="BN92" s="22">
        <v>2</v>
      </c>
      <c r="BO92" s="22">
        <v>4</v>
      </c>
      <c r="BP92" s="22">
        <v>4</v>
      </c>
      <c r="BQ92" s="22">
        <v>3</v>
      </c>
      <c r="BR92" s="22">
        <v>2</v>
      </c>
      <c r="BS92" s="22">
        <v>1</v>
      </c>
      <c r="BT92" s="22">
        <v>4</v>
      </c>
      <c r="BU92" s="22">
        <v>1</v>
      </c>
      <c r="BV92" s="22">
        <v>3</v>
      </c>
      <c r="BW92" s="22">
        <v>4</v>
      </c>
      <c r="BX92" s="2" t="s">
        <v>524</v>
      </c>
      <c r="BY92" s="2" t="s">
        <v>32</v>
      </c>
      <c r="BZ92" s="2" t="s">
        <v>34</v>
      </c>
      <c r="CA92" s="2" t="s">
        <v>35</v>
      </c>
      <c r="CB92" s="24">
        <v>0</v>
      </c>
      <c r="CC92" s="2" t="s">
        <v>36</v>
      </c>
      <c r="CD92" s="2" t="s">
        <v>53</v>
      </c>
      <c r="CE92" s="2" t="s">
        <v>32</v>
      </c>
      <c r="CF92" s="24">
        <v>0</v>
      </c>
      <c r="CG92" s="24">
        <v>2</v>
      </c>
      <c r="CH92" s="2" t="s">
        <v>37</v>
      </c>
      <c r="CI92" s="2" t="s">
        <v>32</v>
      </c>
      <c r="CJ92" s="2" t="s">
        <v>32</v>
      </c>
      <c r="CK92" s="2" t="s">
        <v>38</v>
      </c>
      <c r="CL92" s="24">
        <v>1</v>
      </c>
      <c r="CM92" s="2" t="s">
        <v>45</v>
      </c>
      <c r="CN92" s="2" t="s">
        <v>32</v>
      </c>
    </row>
    <row r="93" spans="1:92" ht="14" customHeight="1" x14ac:dyDescent="0.35">
      <c r="A93" s="2" t="s">
        <v>482</v>
      </c>
      <c r="B93" t="str">
        <f t="shared" si="2"/>
        <v>p91</v>
      </c>
      <c r="C93" s="38">
        <v>45940.706493055557</v>
      </c>
      <c r="D93" s="38">
        <v>45940.712199074071</v>
      </c>
      <c r="E93" s="2" t="s">
        <v>478</v>
      </c>
      <c r="F93" s="24">
        <v>100</v>
      </c>
      <c r="G93" s="24">
        <v>492</v>
      </c>
      <c r="H93" s="2" t="s">
        <v>31</v>
      </c>
      <c r="I93" s="38">
        <v>45940.712214837964</v>
      </c>
      <c r="J93" s="2" t="s">
        <v>479</v>
      </c>
      <c r="K93" s="24">
        <v>51.508099999999999</v>
      </c>
      <c r="L93" s="24">
        <v>-0.1278</v>
      </c>
      <c r="M93" s="2" t="s">
        <v>33</v>
      </c>
      <c r="N93" s="2" t="s">
        <v>480</v>
      </c>
      <c r="O93" s="2" t="s">
        <v>481</v>
      </c>
      <c r="P93" s="22">
        <v>4</v>
      </c>
      <c r="Q93" s="22">
        <v>4</v>
      </c>
      <c r="R93" s="22">
        <v>2</v>
      </c>
      <c r="S93" s="22">
        <v>4</v>
      </c>
      <c r="T93" s="22">
        <v>5</v>
      </c>
      <c r="U93" s="22">
        <v>3</v>
      </c>
      <c r="V93" s="22">
        <v>3</v>
      </c>
      <c r="W93" s="22">
        <v>4</v>
      </c>
      <c r="X93" s="22">
        <v>4</v>
      </c>
      <c r="Y93" s="22">
        <v>3</v>
      </c>
      <c r="Z93" s="22">
        <v>3</v>
      </c>
      <c r="AA93" s="22">
        <v>3</v>
      </c>
      <c r="AB93" s="22">
        <v>4</v>
      </c>
      <c r="AC93" s="22">
        <v>4</v>
      </c>
      <c r="AD93" s="22">
        <v>3</v>
      </c>
      <c r="AE93" s="22">
        <v>3</v>
      </c>
      <c r="AF93" s="22">
        <v>3</v>
      </c>
      <c r="AG93" s="22">
        <v>4</v>
      </c>
      <c r="AH93" s="22">
        <v>4</v>
      </c>
      <c r="AI93" s="22">
        <v>3</v>
      </c>
      <c r="AJ93" s="22">
        <v>3</v>
      </c>
      <c r="AK93" s="22">
        <v>3</v>
      </c>
      <c r="AL93" s="22">
        <v>2</v>
      </c>
      <c r="AM93" s="22">
        <v>3</v>
      </c>
      <c r="AN93" s="22">
        <v>4</v>
      </c>
      <c r="AO93" s="22">
        <v>4</v>
      </c>
      <c r="AP93" s="22">
        <v>5</v>
      </c>
      <c r="AQ93" s="22">
        <v>4</v>
      </c>
      <c r="AR93" s="22">
        <v>2</v>
      </c>
      <c r="AS93" s="22">
        <v>5</v>
      </c>
      <c r="AT93" s="22">
        <v>3</v>
      </c>
      <c r="AU93" s="22">
        <v>3</v>
      </c>
      <c r="AV93" s="22">
        <v>1</v>
      </c>
      <c r="AW93" s="22">
        <v>2</v>
      </c>
      <c r="AX93" s="22">
        <v>2</v>
      </c>
      <c r="AY93" s="22">
        <v>2</v>
      </c>
      <c r="AZ93" s="22">
        <v>5</v>
      </c>
      <c r="BA93" s="22">
        <v>5</v>
      </c>
      <c r="BB93" s="22">
        <v>2</v>
      </c>
      <c r="BC93" s="22">
        <v>3</v>
      </c>
      <c r="BD93" s="22">
        <v>1</v>
      </c>
      <c r="BE93" s="22">
        <v>2</v>
      </c>
      <c r="BF93" s="22">
        <v>5</v>
      </c>
      <c r="BG93" s="22">
        <v>1</v>
      </c>
      <c r="BH93" s="22">
        <v>5</v>
      </c>
      <c r="BI93" s="22">
        <v>2</v>
      </c>
      <c r="BJ93" s="22">
        <v>4</v>
      </c>
      <c r="BK93" s="22">
        <v>5</v>
      </c>
      <c r="BL93" s="22">
        <v>5</v>
      </c>
      <c r="BM93" s="22">
        <v>5</v>
      </c>
      <c r="BN93" s="22">
        <v>4</v>
      </c>
      <c r="BO93" s="22">
        <v>5</v>
      </c>
      <c r="BP93" s="22">
        <v>4</v>
      </c>
      <c r="BQ93" s="22">
        <v>4</v>
      </c>
      <c r="BR93" s="22">
        <v>3</v>
      </c>
      <c r="BS93" s="22">
        <v>4</v>
      </c>
      <c r="BT93" s="22">
        <v>4</v>
      </c>
      <c r="BU93" s="22">
        <v>3</v>
      </c>
      <c r="BV93" s="22">
        <v>3</v>
      </c>
      <c r="BW93" s="22">
        <v>4</v>
      </c>
      <c r="BX93" s="2" t="s">
        <v>482</v>
      </c>
      <c r="BY93" s="2" t="s">
        <v>32</v>
      </c>
      <c r="BZ93" s="2" t="s">
        <v>34</v>
      </c>
      <c r="CA93" s="2" t="s">
        <v>35</v>
      </c>
      <c r="CB93" s="24">
        <v>0</v>
      </c>
      <c r="CC93" s="2" t="s">
        <v>36</v>
      </c>
      <c r="CD93" s="2" t="s">
        <v>71</v>
      </c>
      <c r="CE93" s="2" t="s">
        <v>32</v>
      </c>
      <c r="CF93" s="24">
        <v>0</v>
      </c>
      <c r="CG93" s="24">
        <v>2</v>
      </c>
      <c r="CH93" s="2" t="s">
        <v>37</v>
      </c>
      <c r="CI93" s="2" t="s">
        <v>32</v>
      </c>
      <c r="CJ93" s="2" t="s">
        <v>32</v>
      </c>
      <c r="CK93" s="2" t="s">
        <v>38</v>
      </c>
      <c r="CL93" s="24">
        <v>1</v>
      </c>
      <c r="CM93" s="2" t="s">
        <v>45</v>
      </c>
      <c r="CN93" s="2" t="s">
        <v>32</v>
      </c>
    </row>
    <row r="94" spans="1:92" ht="14" customHeight="1" x14ac:dyDescent="0.35">
      <c r="A94" s="2" t="s">
        <v>487</v>
      </c>
      <c r="B94" t="str">
        <f t="shared" si="2"/>
        <v>p92</v>
      </c>
      <c r="C94" s="38">
        <v>45940.706574074073</v>
      </c>
      <c r="D94" s="38">
        <v>45940.712314814817</v>
      </c>
      <c r="E94" s="2" t="s">
        <v>483</v>
      </c>
      <c r="F94" s="24">
        <v>100</v>
      </c>
      <c r="G94" s="24">
        <v>496</v>
      </c>
      <c r="H94" s="2" t="s">
        <v>31</v>
      </c>
      <c r="I94" s="38">
        <v>45940.712343645835</v>
      </c>
      <c r="J94" s="2" t="s">
        <v>484</v>
      </c>
      <c r="K94" s="24">
        <v>53.500500000000002</v>
      </c>
      <c r="L94" s="24">
        <v>-1.4832000000000001</v>
      </c>
      <c r="M94" s="2" t="s">
        <v>33</v>
      </c>
      <c r="N94" s="2" t="s">
        <v>485</v>
      </c>
      <c r="O94" s="2" t="s">
        <v>486</v>
      </c>
      <c r="P94" s="22">
        <v>5</v>
      </c>
      <c r="Q94" s="22">
        <v>5</v>
      </c>
      <c r="R94" s="22">
        <v>4</v>
      </c>
      <c r="S94" s="22">
        <v>5</v>
      </c>
      <c r="T94" s="22">
        <v>3</v>
      </c>
      <c r="U94" s="22">
        <v>5</v>
      </c>
      <c r="V94" s="22">
        <v>3</v>
      </c>
      <c r="W94" s="22">
        <v>4</v>
      </c>
      <c r="X94" s="22">
        <v>3</v>
      </c>
      <c r="Y94" s="22">
        <v>5</v>
      </c>
      <c r="Z94" s="22">
        <v>2</v>
      </c>
      <c r="AA94" s="22">
        <v>4</v>
      </c>
      <c r="AB94" s="22">
        <v>3</v>
      </c>
      <c r="AC94" s="22">
        <v>5</v>
      </c>
      <c r="AD94" s="22">
        <v>1</v>
      </c>
      <c r="AE94" s="22">
        <v>4</v>
      </c>
      <c r="AF94" s="22">
        <v>3</v>
      </c>
      <c r="AG94" s="22">
        <v>3</v>
      </c>
      <c r="AH94" s="22">
        <v>4</v>
      </c>
      <c r="AI94" s="22">
        <v>2</v>
      </c>
      <c r="AJ94" s="22">
        <v>1</v>
      </c>
      <c r="AK94" s="22">
        <v>4</v>
      </c>
      <c r="AL94" s="22">
        <v>3</v>
      </c>
      <c r="AM94" s="22">
        <v>4</v>
      </c>
      <c r="AN94" s="22">
        <v>2</v>
      </c>
      <c r="AO94" s="22">
        <v>1</v>
      </c>
      <c r="AP94" s="22">
        <v>5</v>
      </c>
      <c r="AQ94" s="22">
        <v>2</v>
      </c>
      <c r="AR94" s="22">
        <v>3</v>
      </c>
      <c r="AS94" s="22">
        <v>5</v>
      </c>
      <c r="AT94" s="22">
        <v>2</v>
      </c>
      <c r="AU94" s="22">
        <v>3</v>
      </c>
      <c r="AV94" s="22">
        <v>3</v>
      </c>
      <c r="AW94" s="22">
        <v>3</v>
      </c>
      <c r="AX94" s="22">
        <v>4</v>
      </c>
      <c r="AY94" s="22">
        <v>4</v>
      </c>
      <c r="AZ94" s="22">
        <v>5</v>
      </c>
      <c r="BA94" s="22">
        <v>2</v>
      </c>
      <c r="BB94" s="22">
        <v>3</v>
      </c>
      <c r="BC94" s="22">
        <v>4</v>
      </c>
      <c r="BD94" s="22">
        <v>2</v>
      </c>
      <c r="BE94" s="22">
        <v>5</v>
      </c>
      <c r="BF94" s="22">
        <v>2</v>
      </c>
      <c r="BG94" s="22">
        <v>3</v>
      </c>
      <c r="BH94" s="22">
        <v>4</v>
      </c>
      <c r="BI94" s="22">
        <v>5</v>
      </c>
      <c r="BJ94" s="22">
        <v>4</v>
      </c>
      <c r="BK94" s="22">
        <v>4</v>
      </c>
      <c r="BL94" s="22">
        <v>2</v>
      </c>
      <c r="BM94" s="22">
        <v>5</v>
      </c>
      <c r="BN94" s="22">
        <v>3</v>
      </c>
      <c r="BO94" s="22">
        <v>4</v>
      </c>
      <c r="BP94" s="22">
        <v>1</v>
      </c>
      <c r="BQ94" s="22">
        <v>2</v>
      </c>
      <c r="BR94" s="22">
        <v>2</v>
      </c>
      <c r="BS94" s="22">
        <v>1</v>
      </c>
      <c r="BT94" s="22">
        <v>1</v>
      </c>
      <c r="BU94" s="22">
        <v>2</v>
      </c>
      <c r="BV94" s="22">
        <v>5</v>
      </c>
      <c r="BW94" s="22">
        <v>2</v>
      </c>
      <c r="BX94" s="2" t="s">
        <v>487</v>
      </c>
      <c r="BY94" s="2" t="s">
        <v>32</v>
      </c>
      <c r="BZ94" s="2" t="s">
        <v>34</v>
      </c>
      <c r="CA94" s="2" t="s">
        <v>109</v>
      </c>
      <c r="CB94" s="24">
        <v>1</v>
      </c>
      <c r="CC94" s="2" t="s">
        <v>36</v>
      </c>
      <c r="CD94" s="2" t="s">
        <v>65</v>
      </c>
      <c r="CE94" s="2" t="s">
        <v>32</v>
      </c>
      <c r="CF94" s="24">
        <v>0</v>
      </c>
      <c r="CG94" s="24">
        <v>2</v>
      </c>
      <c r="CH94" s="2" t="s">
        <v>37</v>
      </c>
      <c r="CI94" s="2" t="s">
        <v>32</v>
      </c>
      <c r="CJ94" s="2" t="s">
        <v>32</v>
      </c>
      <c r="CK94" s="2" t="s">
        <v>38</v>
      </c>
      <c r="CL94" s="24">
        <v>1</v>
      </c>
      <c r="CM94" s="2" t="s">
        <v>45</v>
      </c>
      <c r="CN94" s="2" t="s">
        <v>32</v>
      </c>
    </row>
    <row r="95" spans="1:92" ht="14" customHeight="1" x14ac:dyDescent="0.35">
      <c r="A95" s="2" t="s">
        <v>536</v>
      </c>
      <c r="B95" t="str">
        <f t="shared" si="2"/>
        <v>p93</v>
      </c>
      <c r="C95" s="38">
        <v>45940.706701388888</v>
      </c>
      <c r="D95" s="38">
        <v>45940.71707175926</v>
      </c>
      <c r="E95" s="2" t="s">
        <v>532</v>
      </c>
      <c r="F95" s="24">
        <v>100</v>
      </c>
      <c r="G95" s="24">
        <v>895</v>
      </c>
      <c r="H95" s="2" t="s">
        <v>31</v>
      </c>
      <c r="I95" s="38">
        <v>45940.717079814814</v>
      </c>
      <c r="J95" s="2" t="s">
        <v>533</v>
      </c>
      <c r="K95" s="24">
        <v>52.666699999999999</v>
      </c>
      <c r="L95" s="24">
        <v>0.16669999999999999</v>
      </c>
      <c r="M95" s="2" t="s">
        <v>33</v>
      </c>
      <c r="N95" s="2" t="s">
        <v>534</v>
      </c>
      <c r="O95" s="2" t="s">
        <v>535</v>
      </c>
      <c r="P95" s="22">
        <v>5</v>
      </c>
      <c r="Q95" s="22">
        <v>5</v>
      </c>
      <c r="R95" s="22">
        <v>3</v>
      </c>
      <c r="S95" s="22">
        <v>4</v>
      </c>
      <c r="T95" s="22">
        <v>4</v>
      </c>
      <c r="U95" s="22">
        <v>5</v>
      </c>
      <c r="V95" s="22">
        <v>5</v>
      </c>
      <c r="W95" s="22">
        <v>3</v>
      </c>
      <c r="X95" s="22">
        <v>4</v>
      </c>
      <c r="Y95" s="22">
        <v>5</v>
      </c>
      <c r="Z95" s="22">
        <v>4</v>
      </c>
      <c r="AA95" s="22">
        <v>5</v>
      </c>
      <c r="AB95" s="22">
        <v>5</v>
      </c>
      <c r="AC95" s="22">
        <v>3</v>
      </c>
      <c r="AD95" s="22">
        <v>1</v>
      </c>
      <c r="AE95" s="22">
        <v>3</v>
      </c>
      <c r="AF95" s="22">
        <v>2</v>
      </c>
      <c r="AG95" s="22">
        <v>2</v>
      </c>
      <c r="AH95" s="22">
        <v>3</v>
      </c>
      <c r="AI95" s="22">
        <v>2</v>
      </c>
      <c r="AJ95" s="22">
        <v>1</v>
      </c>
      <c r="AK95" s="22">
        <v>5</v>
      </c>
      <c r="AL95" s="22">
        <v>2</v>
      </c>
      <c r="AM95" s="22">
        <v>2</v>
      </c>
      <c r="AN95" s="22">
        <v>4</v>
      </c>
      <c r="AO95" s="22">
        <v>1</v>
      </c>
      <c r="AP95" s="22">
        <v>5</v>
      </c>
      <c r="AQ95" s="22">
        <v>2</v>
      </c>
      <c r="AR95" s="22">
        <v>2</v>
      </c>
      <c r="AS95" s="22">
        <v>4</v>
      </c>
      <c r="AT95" s="22">
        <v>2</v>
      </c>
      <c r="AU95" s="22">
        <v>5</v>
      </c>
      <c r="AV95" s="22">
        <v>1</v>
      </c>
      <c r="AW95" s="22">
        <v>3</v>
      </c>
      <c r="AX95" s="22">
        <v>3</v>
      </c>
      <c r="AY95" s="22">
        <v>2</v>
      </c>
      <c r="AZ95" s="22">
        <v>5</v>
      </c>
      <c r="BA95" s="22">
        <v>5</v>
      </c>
      <c r="BB95" s="22">
        <v>5</v>
      </c>
      <c r="BC95" s="22">
        <v>4</v>
      </c>
      <c r="BD95" s="22">
        <v>2</v>
      </c>
      <c r="BE95" s="22">
        <v>5</v>
      </c>
      <c r="BF95" s="22">
        <v>5</v>
      </c>
      <c r="BG95" s="22">
        <v>5</v>
      </c>
      <c r="BH95" s="22">
        <v>3</v>
      </c>
      <c r="BI95" s="22">
        <v>4</v>
      </c>
      <c r="BJ95" s="22">
        <v>5</v>
      </c>
      <c r="BK95" s="22">
        <v>5</v>
      </c>
      <c r="BL95" s="22">
        <v>3</v>
      </c>
      <c r="BM95" s="22">
        <v>5</v>
      </c>
      <c r="BN95" s="22">
        <v>3</v>
      </c>
      <c r="BO95" s="22">
        <v>2</v>
      </c>
      <c r="BP95" s="22">
        <v>1</v>
      </c>
      <c r="BQ95" s="22">
        <v>5</v>
      </c>
      <c r="BR95" s="22">
        <v>4</v>
      </c>
      <c r="BS95" s="22">
        <v>1</v>
      </c>
      <c r="BT95" s="22">
        <v>1</v>
      </c>
      <c r="BU95" s="22">
        <v>1</v>
      </c>
      <c r="BV95" s="22">
        <v>5</v>
      </c>
      <c r="BW95" s="22">
        <v>5</v>
      </c>
      <c r="BX95" s="2" t="s">
        <v>536</v>
      </c>
      <c r="BY95" s="2" t="s">
        <v>32</v>
      </c>
      <c r="BZ95" s="2" t="s">
        <v>34</v>
      </c>
      <c r="CA95" s="2" t="s">
        <v>35</v>
      </c>
      <c r="CB95" s="24">
        <v>0</v>
      </c>
      <c r="CC95" s="2" t="s">
        <v>36</v>
      </c>
      <c r="CD95" s="2" t="s">
        <v>53</v>
      </c>
      <c r="CE95" s="2" t="s">
        <v>32</v>
      </c>
      <c r="CF95" s="24">
        <v>0</v>
      </c>
      <c r="CG95" s="24">
        <v>2</v>
      </c>
      <c r="CH95" s="2" t="s">
        <v>37</v>
      </c>
      <c r="CI95" s="2" t="s">
        <v>32</v>
      </c>
      <c r="CJ95" s="2" t="s">
        <v>32</v>
      </c>
      <c r="CK95" s="2" t="s">
        <v>38</v>
      </c>
      <c r="CL95" s="24">
        <v>1</v>
      </c>
      <c r="CM95" s="2" t="s">
        <v>45</v>
      </c>
      <c r="CN95" s="2" t="s">
        <v>32</v>
      </c>
    </row>
    <row r="96" spans="1:92" ht="14" customHeight="1" x14ac:dyDescent="0.35">
      <c r="A96" s="2" t="s">
        <v>513</v>
      </c>
      <c r="B96" t="str">
        <f t="shared" si="2"/>
        <v>p94</v>
      </c>
      <c r="C96" s="38">
        <v>45940.707037037035</v>
      </c>
      <c r="D96" s="38">
        <v>45940.715289351851</v>
      </c>
      <c r="E96" s="2" t="s">
        <v>509</v>
      </c>
      <c r="F96" s="24">
        <v>100</v>
      </c>
      <c r="G96" s="24">
        <v>712</v>
      </c>
      <c r="H96" s="2" t="s">
        <v>31</v>
      </c>
      <c r="I96" s="38">
        <v>45940.715296736111</v>
      </c>
      <c r="J96" s="2" t="s">
        <v>510</v>
      </c>
      <c r="K96" s="24">
        <v>52.502600000000001</v>
      </c>
      <c r="L96" s="24">
        <v>-1.7815000000000001</v>
      </c>
      <c r="M96" s="2" t="s">
        <v>33</v>
      </c>
      <c r="N96" s="2" t="s">
        <v>511</v>
      </c>
      <c r="O96" s="2" t="s">
        <v>512</v>
      </c>
      <c r="P96" s="22">
        <v>5</v>
      </c>
      <c r="Q96" s="22">
        <v>5</v>
      </c>
      <c r="R96" s="22">
        <v>3</v>
      </c>
      <c r="S96" s="22">
        <v>1</v>
      </c>
      <c r="T96" s="22">
        <v>5</v>
      </c>
      <c r="U96" s="22">
        <v>5</v>
      </c>
      <c r="V96" s="22">
        <v>5</v>
      </c>
      <c r="W96" s="22">
        <v>1</v>
      </c>
      <c r="X96" s="22">
        <v>4</v>
      </c>
      <c r="Y96" s="22">
        <v>5</v>
      </c>
      <c r="Z96" s="22">
        <v>5</v>
      </c>
      <c r="AA96" s="22">
        <v>5</v>
      </c>
      <c r="AB96" s="22">
        <v>5</v>
      </c>
      <c r="AC96" s="22">
        <v>2</v>
      </c>
      <c r="AD96" s="22">
        <v>2</v>
      </c>
      <c r="AE96" s="22">
        <v>1</v>
      </c>
      <c r="AF96" s="22">
        <v>1</v>
      </c>
      <c r="AG96" s="22">
        <v>1</v>
      </c>
      <c r="AH96" s="22">
        <v>1</v>
      </c>
      <c r="AI96" s="22">
        <v>1</v>
      </c>
      <c r="AJ96" s="22">
        <v>1</v>
      </c>
      <c r="AK96" s="22">
        <v>1</v>
      </c>
      <c r="AL96" s="22">
        <v>1</v>
      </c>
      <c r="AM96" s="22">
        <v>1</v>
      </c>
      <c r="AN96" s="22">
        <v>5</v>
      </c>
      <c r="AO96" s="22">
        <v>1</v>
      </c>
      <c r="AP96" s="22">
        <v>5</v>
      </c>
      <c r="AQ96" s="22">
        <v>5</v>
      </c>
      <c r="AR96" s="22">
        <v>2</v>
      </c>
      <c r="AS96" s="22">
        <v>5</v>
      </c>
      <c r="AT96" s="22">
        <v>1</v>
      </c>
      <c r="AU96" s="22">
        <v>5</v>
      </c>
      <c r="AV96" s="22">
        <v>1</v>
      </c>
      <c r="AW96" s="22">
        <v>5</v>
      </c>
      <c r="AX96" s="22">
        <v>5</v>
      </c>
      <c r="AY96" s="22">
        <v>1</v>
      </c>
      <c r="AZ96" s="22">
        <v>5</v>
      </c>
      <c r="BA96" s="22">
        <v>5</v>
      </c>
      <c r="BB96" s="22">
        <v>5</v>
      </c>
      <c r="BC96" s="22">
        <v>5</v>
      </c>
      <c r="BD96" s="22">
        <v>1</v>
      </c>
      <c r="BE96" s="22">
        <v>5</v>
      </c>
      <c r="BF96" s="22">
        <v>5</v>
      </c>
      <c r="BG96" s="22">
        <v>3</v>
      </c>
      <c r="BH96" s="22">
        <v>5</v>
      </c>
      <c r="BI96" s="22">
        <v>1</v>
      </c>
      <c r="BJ96" s="22">
        <v>5</v>
      </c>
      <c r="BK96" s="22">
        <v>5</v>
      </c>
      <c r="BL96" s="22">
        <v>5</v>
      </c>
      <c r="BM96" s="22">
        <v>5</v>
      </c>
      <c r="BN96" s="22">
        <v>1</v>
      </c>
      <c r="BO96" s="22">
        <v>2</v>
      </c>
      <c r="BP96" s="22">
        <v>3</v>
      </c>
      <c r="BQ96" s="22">
        <v>5</v>
      </c>
      <c r="BR96" s="22">
        <v>5</v>
      </c>
      <c r="BS96" s="22">
        <v>1</v>
      </c>
      <c r="BT96" s="22">
        <v>1</v>
      </c>
      <c r="BU96" s="22">
        <v>1</v>
      </c>
      <c r="BV96" s="22">
        <v>5</v>
      </c>
      <c r="BW96" s="22">
        <v>5</v>
      </c>
      <c r="BX96" s="2" t="s">
        <v>513</v>
      </c>
      <c r="BY96" s="2" t="s">
        <v>32</v>
      </c>
      <c r="BZ96" s="2" t="s">
        <v>34</v>
      </c>
      <c r="CA96" s="2" t="s">
        <v>35</v>
      </c>
      <c r="CB96" s="24">
        <v>0</v>
      </c>
      <c r="CC96" s="2" t="s">
        <v>36</v>
      </c>
      <c r="CD96" s="2" t="s">
        <v>53</v>
      </c>
      <c r="CE96" s="2" t="s">
        <v>32</v>
      </c>
      <c r="CF96" s="24">
        <v>0</v>
      </c>
      <c r="CG96" s="24">
        <v>2</v>
      </c>
      <c r="CH96" s="2" t="s">
        <v>37</v>
      </c>
      <c r="CI96" s="2" t="s">
        <v>32</v>
      </c>
      <c r="CJ96" s="2" t="s">
        <v>32</v>
      </c>
      <c r="CK96" s="2" t="s">
        <v>38</v>
      </c>
      <c r="CL96" s="24">
        <v>1</v>
      </c>
      <c r="CM96" s="2" t="s">
        <v>45</v>
      </c>
      <c r="CN96" s="2" t="s">
        <v>32</v>
      </c>
    </row>
    <row r="97" spans="1:92" ht="14" customHeight="1" x14ac:dyDescent="0.35">
      <c r="A97" s="2" t="s">
        <v>556</v>
      </c>
      <c r="B97" t="str">
        <f t="shared" si="2"/>
        <v>p95</v>
      </c>
      <c r="C97" s="38">
        <v>45940.707465277781</v>
      </c>
      <c r="D97" s="38">
        <v>45940.721770833334</v>
      </c>
      <c r="E97" s="2" t="s">
        <v>552</v>
      </c>
      <c r="F97" s="24">
        <v>100</v>
      </c>
      <c r="G97" s="24">
        <v>1236</v>
      </c>
      <c r="H97" s="2" t="s">
        <v>31</v>
      </c>
      <c r="I97" s="38">
        <v>45940.721783032408</v>
      </c>
      <c r="J97" s="2" t="s">
        <v>553</v>
      </c>
      <c r="K97" s="24">
        <v>51.914200000000001</v>
      </c>
      <c r="L97" s="24">
        <v>-0.37159999999999999</v>
      </c>
      <c r="M97" s="2" t="s">
        <v>33</v>
      </c>
      <c r="N97" s="2" t="s">
        <v>554</v>
      </c>
      <c r="O97" s="2" t="s">
        <v>555</v>
      </c>
      <c r="P97" s="22">
        <v>5</v>
      </c>
      <c r="Q97" s="22">
        <v>4</v>
      </c>
      <c r="R97" s="22">
        <v>2</v>
      </c>
      <c r="S97" s="22">
        <v>3</v>
      </c>
      <c r="T97" s="22">
        <v>4</v>
      </c>
      <c r="U97" s="22">
        <v>5</v>
      </c>
      <c r="V97" s="22">
        <v>5</v>
      </c>
      <c r="W97" s="22">
        <v>2</v>
      </c>
      <c r="X97" s="22">
        <v>4</v>
      </c>
      <c r="Y97" s="22">
        <v>5</v>
      </c>
      <c r="Z97" s="22">
        <v>4</v>
      </c>
      <c r="AA97" s="22">
        <v>5</v>
      </c>
      <c r="AB97" s="22">
        <v>4</v>
      </c>
      <c r="AC97" s="22">
        <v>2</v>
      </c>
      <c r="AD97" s="22">
        <v>1</v>
      </c>
      <c r="AE97" s="22">
        <v>1</v>
      </c>
      <c r="AF97" s="22">
        <v>1</v>
      </c>
      <c r="AG97" s="22">
        <v>1</v>
      </c>
      <c r="AH97" s="22">
        <v>1</v>
      </c>
      <c r="AI97" s="22">
        <v>2</v>
      </c>
      <c r="AJ97" s="22">
        <v>1</v>
      </c>
      <c r="AK97" s="22">
        <v>3</v>
      </c>
      <c r="AL97" s="22">
        <v>2</v>
      </c>
      <c r="AM97" s="22">
        <v>2</v>
      </c>
      <c r="AN97" s="22">
        <v>5</v>
      </c>
      <c r="AO97" s="22">
        <v>1</v>
      </c>
      <c r="AP97" s="22">
        <v>5</v>
      </c>
      <c r="AQ97" s="22">
        <v>5</v>
      </c>
      <c r="AR97" s="22">
        <v>2</v>
      </c>
      <c r="AS97" s="22">
        <v>5</v>
      </c>
      <c r="AT97" s="22">
        <v>1</v>
      </c>
      <c r="AU97" s="22">
        <v>4</v>
      </c>
      <c r="AV97" s="22">
        <v>1</v>
      </c>
      <c r="AW97" s="22">
        <v>3</v>
      </c>
      <c r="AX97" s="22">
        <v>4</v>
      </c>
      <c r="AY97" s="22">
        <v>2</v>
      </c>
      <c r="AZ97" s="22">
        <v>5</v>
      </c>
      <c r="BA97" s="22">
        <v>5</v>
      </c>
      <c r="BB97" s="22">
        <v>5</v>
      </c>
      <c r="BC97" s="22">
        <v>5</v>
      </c>
      <c r="BD97" s="22">
        <v>1</v>
      </c>
      <c r="BE97" s="22">
        <v>5</v>
      </c>
      <c r="BF97" s="22">
        <v>5</v>
      </c>
      <c r="BG97" s="22">
        <v>3</v>
      </c>
      <c r="BH97" s="22">
        <v>5</v>
      </c>
      <c r="BI97" s="22">
        <v>1</v>
      </c>
      <c r="BJ97" s="22">
        <v>4</v>
      </c>
      <c r="BK97" s="22">
        <v>4</v>
      </c>
      <c r="BL97" s="22">
        <v>5</v>
      </c>
      <c r="BM97" s="22">
        <v>5</v>
      </c>
      <c r="BN97" s="22">
        <v>1</v>
      </c>
      <c r="BO97" s="22">
        <v>3</v>
      </c>
      <c r="BP97" s="22">
        <v>1</v>
      </c>
      <c r="BQ97" s="22">
        <v>4</v>
      </c>
      <c r="BR97" s="22">
        <v>4</v>
      </c>
      <c r="BS97" s="22">
        <v>1</v>
      </c>
      <c r="BT97" s="22">
        <v>1</v>
      </c>
      <c r="BU97" s="22">
        <v>3</v>
      </c>
      <c r="BV97" s="22">
        <v>5</v>
      </c>
      <c r="BW97" s="22">
        <v>5</v>
      </c>
      <c r="BX97" s="2" t="s">
        <v>556</v>
      </c>
      <c r="BY97" s="2" t="s">
        <v>32</v>
      </c>
      <c r="BZ97" s="2" t="s">
        <v>34</v>
      </c>
      <c r="CA97" s="2" t="s">
        <v>35</v>
      </c>
      <c r="CB97" s="24">
        <v>0</v>
      </c>
      <c r="CC97" s="2" t="s">
        <v>36</v>
      </c>
      <c r="CD97" s="2" t="s">
        <v>53</v>
      </c>
      <c r="CE97" s="2" t="s">
        <v>32</v>
      </c>
      <c r="CF97" s="24">
        <v>0</v>
      </c>
      <c r="CG97" s="24">
        <v>2</v>
      </c>
      <c r="CH97" s="2" t="s">
        <v>37</v>
      </c>
      <c r="CI97" s="2" t="s">
        <v>32</v>
      </c>
      <c r="CJ97" s="2" t="s">
        <v>32</v>
      </c>
      <c r="CK97" s="2" t="s">
        <v>38</v>
      </c>
      <c r="CL97" s="24">
        <v>1</v>
      </c>
      <c r="CM97" s="2" t="s">
        <v>45</v>
      </c>
      <c r="CN97" s="2" t="s">
        <v>32</v>
      </c>
    </row>
    <row r="98" spans="1:92" ht="14" customHeight="1" x14ac:dyDescent="0.35">
      <c r="A98" s="2" t="s">
        <v>503</v>
      </c>
      <c r="B98" t="str">
        <f t="shared" si="2"/>
        <v>p96</v>
      </c>
      <c r="C98" s="38">
        <v>45940.708182870374</v>
      </c>
      <c r="D98" s="38">
        <v>45940.713391203702</v>
      </c>
      <c r="E98" s="2" t="s">
        <v>499</v>
      </c>
      <c r="F98" s="24">
        <v>100</v>
      </c>
      <c r="G98" s="24">
        <v>450</v>
      </c>
      <c r="H98" s="2" t="s">
        <v>31</v>
      </c>
      <c r="I98" s="38">
        <v>45940.713402662041</v>
      </c>
      <c r="J98" s="2" t="s">
        <v>500</v>
      </c>
      <c r="K98" s="24">
        <v>52.546999999999997</v>
      </c>
      <c r="L98" s="24">
        <v>-1.9396</v>
      </c>
      <c r="M98" s="2" t="s">
        <v>33</v>
      </c>
      <c r="N98" s="2" t="s">
        <v>501</v>
      </c>
      <c r="O98" s="2" t="s">
        <v>502</v>
      </c>
      <c r="P98" s="22">
        <v>4</v>
      </c>
      <c r="Q98" s="22">
        <v>5</v>
      </c>
      <c r="R98" s="22">
        <v>4</v>
      </c>
      <c r="S98" s="22">
        <v>5</v>
      </c>
      <c r="T98" s="22">
        <v>5</v>
      </c>
      <c r="U98" s="22">
        <v>3</v>
      </c>
      <c r="V98" s="22">
        <v>3</v>
      </c>
      <c r="W98" s="22">
        <v>1</v>
      </c>
      <c r="X98" s="22">
        <v>2</v>
      </c>
      <c r="Y98" s="22">
        <v>5</v>
      </c>
      <c r="Z98" s="22">
        <v>3</v>
      </c>
      <c r="AA98" s="22">
        <v>4</v>
      </c>
      <c r="AB98" s="22">
        <v>3</v>
      </c>
      <c r="AC98" s="22">
        <v>5</v>
      </c>
      <c r="AD98" s="22">
        <v>1</v>
      </c>
      <c r="AE98" s="22">
        <v>1</v>
      </c>
      <c r="AF98" s="22">
        <v>1</v>
      </c>
      <c r="AG98" s="22">
        <v>2</v>
      </c>
      <c r="AH98" s="22">
        <v>1</v>
      </c>
      <c r="AI98" s="22">
        <v>5</v>
      </c>
      <c r="AJ98" s="22">
        <v>1</v>
      </c>
      <c r="AK98" s="22">
        <v>5</v>
      </c>
      <c r="AL98" s="22">
        <v>3</v>
      </c>
      <c r="AM98" s="22">
        <v>2</v>
      </c>
      <c r="AN98" s="22">
        <v>5</v>
      </c>
      <c r="AO98" s="22">
        <v>1</v>
      </c>
      <c r="AP98" s="22">
        <v>3</v>
      </c>
      <c r="AQ98" s="22">
        <v>5</v>
      </c>
      <c r="AR98" s="22">
        <v>2</v>
      </c>
      <c r="AS98" s="22">
        <v>5</v>
      </c>
      <c r="AT98" s="22">
        <v>2</v>
      </c>
      <c r="AU98" s="22">
        <v>5</v>
      </c>
      <c r="AV98" s="22">
        <v>1</v>
      </c>
      <c r="AW98" s="22">
        <v>2</v>
      </c>
      <c r="AX98" s="22">
        <v>4</v>
      </c>
      <c r="AY98" s="22">
        <v>3</v>
      </c>
      <c r="AZ98" s="22">
        <v>5</v>
      </c>
      <c r="BA98" s="22">
        <v>5</v>
      </c>
      <c r="BB98" s="22">
        <v>4</v>
      </c>
      <c r="BC98" s="22">
        <v>4</v>
      </c>
      <c r="BD98" s="22">
        <v>2</v>
      </c>
      <c r="BE98" s="22">
        <v>5</v>
      </c>
      <c r="BF98" s="22">
        <v>5</v>
      </c>
      <c r="BG98" s="22">
        <v>2</v>
      </c>
      <c r="BH98" s="22">
        <v>5</v>
      </c>
      <c r="BI98" s="22">
        <v>1</v>
      </c>
      <c r="BJ98" s="22">
        <v>2</v>
      </c>
      <c r="BK98" s="22">
        <v>5</v>
      </c>
      <c r="BL98" s="22">
        <v>4</v>
      </c>
      <c r="BM98" s="22">
        <v>5</v>
      </c>
      <c r="BN98" s="22">
        <v>1</v>
      </c>
      <c r="BO98" s="22">
        <v>2</v>
      </c>
      <c r="BP98" s="22">
        <v>1</v>
      </c>
      <c r="BQ98" s="22">
        <v>2</v>
      </c>
      <c r="BR98" s="22">
        <v>5</v>
      </c>
      <c r="BS98" s="22">
        <v>1</v>
      </c>
      <c r="BT98" s="22">
        <v>1</v>
      </c>
      <c r="BU98" s="22">
        <v>2</v>
      </c>
      <c r="BV98" s="22">
        <v>5</v>
      </c>
      <c r="BW98" s="22">
        <v>5</v>
      </c>
      <c r="BX98" s="2" t="s">
        <v>503</v>
      </c>
      <c r="BY98" s="2" t="s">
        <v>32</v>
      </c>
      <c r="BZ98" s="2" t="s">
        <v>34</v>
      </c>
      <c r="CA98" s="2" t="s">
        <v>35</v>
      </c>
      <c r="CB98" s="24">
        <v>0</v>
      </c>
      <c r="CC98" s="2" t="s">
        <v>36</v>
      </c>
      <c r="CD98" s="2" t="s">
        <v>51</v>
      </c>
      <c r="CE98" s="2" t="s">
        <v>32</v>
      </c>
      <c r="CF98" s="24">
        <v>0</v>
      </c>
      <c r="CG98" s="24">
        <v>2</v>
      </c>
      <c r="CH98" s="2" t="s">
        <v>37</v>
      </c>
      <c r="CI98" s="2" t="s">
        <v>32</v>
      </c>
      <c r="CJ98" s="2" t="s">
        <v>32</v>
      </c>
      <c r="CK98" s="2" t="s">
        <v>38</v>
      </c>
      <c r="CL98" s="24">
        <v>1</v>
      </c>
      <c r="CM98" s="2" t="s">
        <v>45</v>
      </c>
      <c r="CN98" s="2" t="s">
        <v>32</v>
      </c>
    </row>
    <row r="99" spans="1:92" ht="14" customHeight="1" x14ac:dyDescent="0.35">
      <c r="A99" s="2" t="s">
        <v>561</v>
      </c>
      <c r="B99" t="str">
        <f t="shared" si="2"/>
        <v>p97</v>
      </c>
      <c r="C99" s="38">
        <v>45940.708368055559</v>
      </c>
      <c r="D99" s="38">
        <v>45940.72252314815</v>
      </c>
      <c r="E99" s="2" t="s">
        <v>557</v>
      </c>
      <c r="F99" s="24">
        <v>100</v>
      </c>
      <c r="G99" s="24">
        <v>1222</v>
      </c>
      <c r="H99" s="2" t="s">
        <v>31</v>
      </c>
      <c r="I99" s="38">
        <v>45940.722527777776</v>
      </c>
      <c r="J99" s="2" t="s">
        <v>558</v>
      </c>
      <c r="K99" s="24">
        <v>50.833100000000002</v>
      </c>
      <c r="L99" s="24">
        <v>-1.2341</v>
      </c>
      <c r="M99" s="2" t="s">
        <v>33</v>
      </c>
      <c r="N99" s="2" t="s">
        <v>559</v>
      </c>
      <c r="O99" s="2" t="s">
        <v>560</v>
      </c>
      <c r="P99" s="22">
        <v>4</v>
      </c>
      <c r="Q99" s="22">
        <v>3</v>
      </c>
      <c r="R99" s="22">
        <v>2</v>
      </c>
      <c r="S99" s="22">
        <v>2</v>
      </c>
      <c r="T99" s="22">
        <v>3</v>
      </c>
      <c r="U99" s="22">
        <v>4</v>
      </c>
      <c r="V99" s="22">
        <v>3</v>
      </c>
      <c r="W99" s="22">
        <v>1</v>
      </c>
      <c r="X99" s="22">
        <v>2</v>
      </c>
      <c r="Y99" s="22">
        <v>3</v>
      </c>
      <c r="Z99" s="22">
        <v>4</v>
      </c>
      <c r="AA99" s="22">
        <v>4</v>
      </c>
      <c r="AB99" s="22">
        <v>3</v>
      </c>
      <c r="AC99" s="22">
        <v>3</v>
      </c>
      <c r="AD99" s="22">
        <v>1</v>
      </c>
      <c r="AE99" s="22">
        <v>2</v>
      </c>
      <c r="AF99" s="22">
        <v>2</v>
      </c>
      <c r="AG99" s="22">
        <v>3</v>
      </c>
      <c r="AH99" s="22">
        <v>2</v>
      </c>
      <c r="AI99" s="22">
        <v>4</v>
      </c>
      <c r="AJ99" s="22">
        <v>3</v>
      </c>
      <c r="AK99" s="22">
        <v>2</v>
      </c>
      <c r="AL99" s="22">
        <v>3</v>
      </c>
      <c r="AM99" s="22">
        <v>2</v>
      </c>
      <c r="AN99" s="22">
        <v>4</v>
      </c>
      <c r="AO99" s="22">
        <v>3</v>
      </c>
      <c r="AP99" s="22">
        <v>4</v>
      </c>
      <c r="AQ99" s="22">
        <v>3</v>
      </c>
      <c r="AR99" s="22">
        <v>2</v>
      </c>
      <c r="AS99" s="22">
        <v>3</v>
      </c>
      <c r="AT99" s="22">
        <v>2</v>
      </c>
      <c r="AU99" s="22">
        <v>5</v>
      </c>
      <c r="AV99" s="22">
        <v>2</v>
      </c>
      <c r="AW99" s="22">
        <v>4</v>
      </c>
      <c r="AX99" s="22">
        <v>3</v>
      </c>
      <c r="AY99" s="22">
        <v>3</v>
      </c>
      <c r="AZ99" s="22">
        <v>3</v>
      </c>
      <c r="BA99" s="22">
        <v>3</v>
      </c>
      <c r="BB99" s="22">
        <v>3</v>
      </c>
      <c r="BC99" s="22">
        <v>3</v>
      </c>
      <c r="BD99" s="22">
        <v>2</v>
      </c>
      <c r="BE99" s="22">
        <v>4</v>
      </c>
      <c r="BF99" s="22">
        <v>3</v>
      </c>
      <c r="BG99" s="22">
        <v>2</v>
      </c>
      <c r="BH99" s="22">
        <v>3</v>
      </c>
      <c r="BI99" s="22">
        <v>2</v>
      </c>
      <c r="BJ99" s="22">
        <v>3</v>
      </c>
      <c r="BK99" s="22">
        <v>3</v>
      </c>
      <c r="BL99" s="22">
        <v>3</v>
      </c>
      <c r="BM99" s="22">
        <v>4</v>
      </c>
      <c r="BN99" s="22">
        <v>3</v>
      </c>
      <c r="BO99" s="22">
        <v>4</v>
      </c>
      <c r="BP99" s="22">
        <v>3</v>
      </c>
      <c r="BQ99" s="22">
        <v>2</v>
      </c>
      <c r="BR99" s="22">
        <v>3</v>
      </c>
      <c r="BS99" s="22">
        <v>2</v>
      </c>
      <c r="BT99" s="22">
        <v>3</v>
      </c>
      <c r="BU99" s="22">
        <v>3</v>
      </c>
      <c r="BV99" s="22">
        <v>4</v>
      </c>
      <c r="BW99" s="22">
        <v>4</v>
      </c>
      <c r="BX99" s="2" t="s">
        <v>561</v>
      </c>
      <c r="BY99" s="2" t="s">
        <v>32</v>
      </c>
      <c r="BZ99" s="2" t="s">
        <v>34</v>
      </c>
      <c r="CA99" s="2" t="s">
        <v>35</v>
      </c>
      <c r="CB99" s="24">
        <v>0</v>
      </c>
      <c r="CC99" s="2" t="s">
        <v>52</v>
      </c>
      <c r="CD99" s="2" t="s">
        <v>82</v>
      </c>
      <c r="CE99" s="2" t="s">
        <v>32</v>
      </c>
      <c r="CF99" s="24">
        <v>0</v>
      </c>
      <c r="CG99" s="24">
        <v>2</v>
      </c>
      <c r="CH99" s="2" t="s">
        <v>37</v>
      </c>
      <c r="CI99" s="2" t="s">
        <v>32</v>
      </c>
      <c r="CJ99" s="2" t="s">
        <v>32</v>
      </c>
      <c r="CK99" s="2" t="s">
        <v>38</v>
      </c>
      <c r="CL99" s="24">
        <v>1</v>
      </c>
      <c r="CM99" s="2" t="s">
        <v>45</v>
      </c>
      <c r="CN99" s="2" t="s">
        <v>32</v>
      </c>
    </row>
    <row r="100" spans="1:92" ht="14" customHeight="1" x14ac:dyDescent="0.35">
      <c r="A100" s="2" t="s">
        <v>518</v>
      </c>
      <c r="B100" t="str">
        <f t="shared" si="2"/>
        <v>p98</v>
      </c>
      <c r="C100" s="38">
        <v>45940.710694444446</v>
      </c>
      <c r="D100" s="38">
        <v>45940.715833333335</v>
      </c>
      <c r="E100" s="2" t="s">
        <v>514</v>
      </c>
      <c r="F100" s="24">
        <v>100</v>
      </c>
      <c r="G100" s="24">
        <v>443</v>
      </c>
      <c r="H100" s="2" t="s">
        <v>31</v>
      </c>
      <c r="I100" s="38">
        <v>45940.715843726852</v>
      </c>
      <c r="J100" s="2" t="s">
        <v>515</v>
      </c>
      <c r="K100" s="24">
        <v>37.6736</v>
      </c>
      <c r="L100" s="24">
        <v>-122.09439999999999</v>
      </c>
      <c r="M100" s="2" t="s">
        <v>33</v>
      </c>
      <c r="N100" s="2" t="s">
        <v>516</v>
      </c>
      <c r="O100" s="2" t="s">
        <v>517</v>
      </c>
      <c r="P100" s="22">
        <v>5</v>
      </c>
      <c r="Q100" s="22">
        <v>5</v>
      </c>
      <c r="R100" s="22">
        <v>1</v>
      </c>
      <c r="S100" s="22">
        <v>4</v>
      </c>
      <c r="T100" s="22">
        <v>3</v>
      </c>
      <c r="U100" s="22">
        <v>4</v>
      </c>
      <c r="V100" s="22">
        <v>5</v>
      </c>
      <c r="W100" s="22">
        <v>2</v>
      </c>
      <c r="X100" s="22">
        <v>2</v>
      </c>
      <c r="Y100" s="22">
        <v>5</v>
      </c>
      <c r="Z100" s="22">
        <v>4</v>
      </c>
      <c r="AA100" s="22">
        <v>4</v>
      </c>
      <c r="AB100" s="22">
        <v>4</v>
      </c>
      <c r="AC100" s="22">
        <v>3</v>
      </c>
      <c r="AD100" s="22">
        <v>1</v>
      </c>
      <c r="AE100" s="22">
        <v>1</v>
      </c>
      <c r="AF100" s="22">
        <v>2</v>
      </c>
      <c r="AG100" s="22">
        <v>3</v>
      </c>
      <c r="AH100" s="22">
        <v>2</v>
      </c>
      <c r="AI100" s="22">
        <v>4</v>
      </c>
      <c r="AJ100" s="22">
        <v>1</v>
      </c>
      <c r="AK100" s="22">
        <v>3</v>
      </c>
      <c r="AL100" s="22">
        <v>2</v>
      </c>
      <c r="AM100" s="22">
        <v>2</v>
      </c>
      <c r="AN100" s="22">
        <v>4</v>
      </c>
      <c r="AO100" s="22">
        <v>1</v>
      </c>
      <c r="AP100" s="22">
        <v>4</v>
      </c>
      <c r="AQ100" s="22">
        <v>3</v>
      </c>
      <c r="AR100" s="22">
        <v>2</v>
      </c>
      <c r="AS100" s="22">
        <v>4</v>
      </c>
      <c r="AT100" s="22">
        <v>1</v>
      </c>
      <c r="AU100" s="22">
        <v>3</v>
      </c>
      <c r="AV100" s="22">
        <v>1</v>
      </c>
      <c r="AW100" s="22">
        <v>3</v>
      </c>
      <c r="AX100" s="22">
        <v>3</v>
      </c>
      <c r="AY100" s="22">
        <v>2</v>
      </c>
      <c r="AZ100" s="22">
        <v>4</v>
      </c>
      <c r="BA100" s="22">
        <v>3</v>
      </c>
      <c r="BB100" s="22">
        <v>3</v>
      </c>
      <c r="BC100" s="22">
        <v>3</v>
      </c>
      <c r="BD100" s="22">
        <v>1</v>
      </c>
      <c r="BE100" s="22">
        <v>4</v>
      </c>
      <c r="BF100" s="22">
        <v>4</v>
      </c>
      <c r="BG100" s="22">
        <v>3</v>
      </c>
      <c r="BH100" s="22">
        <v>4</v>
      </c>
      <c r="BI100" s="22">
        <v>1</v>
      </c>
      <c r="BJ100" s="22">
        <v>3</v>
      </c>
      <c r="BK100" s="22">
        <v>3</v>
      </c>
      <c r="BL100" s="22">
        <v>3</v>
      </c>
      <c r="BM100" s="22">
        <v>3</v>
      </c>
      <c r="BN100" s="22">
        <v>1</v>
      </c>
      <c r="BO100" s="22">
        <v>3</v>
      </c>
      <c r="BP100" s="22">
        <v>1</v>
      </c>
      <c r="BQ100" s="22">
        <v>5</v>
      </c>
      <c r="BR100" s="22">
        <v>4</v>
      </c>
      <c r="BS100" s="22">
        <v>2</v>
      </c>
      <c r="BT100" s="22">
        <v>1</v>
      </c>
      <c r="BU100" s="22">
        <v>3</v>
      </c>
      <c r="BV100" s="22">
        <v>3</v>
      </c>
      <c r="BW100" s="22">
        <v>3</v>
      </c>
      <c r="BX100" s="2" t="s">
        <v>518</v>
      </c>
      <c r="BY100" s="2" t="s">
        <v>32</v>
      </c>
      <c r="BZ100" s="2" t="s">
        <v>34</v>
      </c>
      <c r="CA100" s="2" t="s">
        <v>35</v>
      </c>
      <c r="CB100" s="24">
        <v>0</v>
      </c>
      <c r="CC100" s="2" t="s">
        <v>36</v>
      </c>
      <c r="CD100" s="2" t="s">
        <v>519</v>
      </c>
      <c r="CE100" s="2" t="s">
        <v>32</v>
      </c>
      <c r="CF100" s="24">
        <v>0</v>
      </c>
      <c r="CG100" s="24">
        <v>2</v>
      </c>
      <c r="CH100" s="2" t="s">
        <v>37</v>
      </c>
      <c r="CI100" s="2" t="s">
        <v>32</v>
      </c>
      <c r="CJ100" s="2" t="s">
        <v>32</v>
      </c>
      <c r="CK100" s="2" t="s">
        <v>38</v>
      </c>
      <c r="CL100" s="24">
        <v>1</v>
      </c>
      <c r="CM100" s="2" t="s">
        <v>45</v>
      </c>
      <c r="CN100" s="2" t="s">
        <v>32</v>
      </c>
    </row>
    <row r="101" spans="1:92" ht="14" customHeight="1" x14ac:dyDescent="0.35">
      <c r="A101" s="2" t="s">
        <v>541</v>
      </c>
      <c r="B101" t="str">
        <f t="shared" si="2"/>
        <v>p99</v>
      </c>
      <c r="C101" s="38">
        <v>45940.712638888886</v>
      </c>
      <c r="D101" s="38">
        <v>45940.717650462961</v>
      </c>
      <c r="E101" s="2" t="s">
        <v>537</v>
      </c>
      <c r="F101" s="24">
        <v>100</v>
      </c>
      <c r="G101" s="24">
        <v>432</v>
      </c>
      <c r="H101" s="2" t="s">
        <v>31</v>
      </c>
      <c r="I101" s="38">
        <v>45940.717665659722</v>
      </c>
      <c r="J101" s="2" t="s">
        <v>538</v>
      </c>
      <c r="K101" s="24">
        <v>51.474600000000002</v>
      </c>
      <c r="L101" s="24">
        <v>-0.25169999999999998</v>
      </c>
      <c r="M101" s="2" t="s">
        <v>33</v>
      </c>
      <c r="N101" s="2" t="s">
        <v>539</v>
      </c>
      <c r="O101" s="2" t="s">
        <v>540</v>
      </c>
      <c r="P101" s="22">
        <v>4</v>
      </c>
      <c r="Q101" s="22">
        <v>3</v>
      </c>
      <c r="R101" s="22">
        <v>4</v>
      </c>
      <c r="S101" s="22">
        <v>3</v>
      </c>
      <c r="T101" s="22">
        <v>5</v>
      </c>
      <c r="U101" s="22">
        <v>2</v>
      </c>
      <c r="V101" s="22">
        <v>4</v>
      </c>
      <c r="W101" s="22">
        <v>1</v>
      </c>
      <c r="X101" s="22">
        <v>4</v>
      </c>
      <c r="Y101" s="22">
        <v>5</v>
      </c>
      <c r="Z101" s="22">
        <v>4</v>
      </c>
      <c r="AA101" s="22">
        <v>2</v>
      </c>
      <c r="AB101" s="22">
        <v>5</v>
      </c>
      <c r="AC101" s="22">
        <v>1</v>
      </c>
      <c r="AD101" s="22">
        <v>2</v>
      </c>
      <c r="AE101" s="22">
        <v>1</v>
      </c>
      <c r="AF101" s="22">
        <v>1</v>
      </c>
      <c r="AG101" s="22">
        <v>2</v>
      </c>
      <c r="AH101" s="22">
        <v>1</v>
      </c>
      <c r="AI101" s="22">
        <v>5</v>
      </c>
      <c r="AJ101" s="22">
        <v>2</v>
      </c>
      <c r="AK101" s="22">
        <v>4</v>
      </c>
      <c r="AL101" s="22">
        <v>1</v>
      </c>
      <c r="AM101" s="22">
        <v>1</v>
      </c>
      <c r="AN101" s="22">
        <v>5</v>
      </c>
      <c r="AO101" s="22">
        <v>1</v>
      </c>
      <c r="AP101" s="22">
        <v>4</v>
      </c>
      <c r="AQ101" s="22">
        <v>4</v>
      </c>
      <c r="AR101" s="22">
        <v>3</v>
      </c>
      <c r="AS101" s="22">
        <v>2</v>
      </c>
      <c r="AT101" s="22">
        <v>1</v>
      </c>
      <c r="AU101" s="22">
        <v>5</v>
      </c>
      <c r="AV101" s="22">
        <v>1</v>
      </c>
      <c r="AW101" s="22">
        <v>2</v>
      </c>
      <c r="AX101" s="22">
        <v>2</v>
      </c>
      <c r="AY101" s="22">
        <v>1</v>
      </c>
      <c r="AZ101" s="22">
        <v>3</v>
      </c>
      <c r="BA101" s="22">
        <v>5</v>
      </c>
      <c r="BB101" s="22">
        <v>5</v>
      </c>
      <c r="BC101" s="22">
        <v>4</v>
      </c>
      <c r="BD101" s="22">
        <v>3</v>
      </c>
      <c r="BE101" s="22">
        <v>2</v>
      </c>
      <c r="BF101" s="22">
        <v>5</v>
      </c>
      <c r="BG101" s="22">
        <v>4</v>
      </c>
      <c r="BH101" s="22">
        <v>4</v>
      </c>
      <c r="BI101" s="22">
        <v>1</v>
      </c>
      <c r="BJ101" s="22">
        <v>4</v>
      </c>
      <c r="BK101" s="22">
        <v>3</v>
      </c>
      <c r="BL101" s="22">
        <v>3</v>
      </c>
      <c r="BM101" s="22">
        <v>5</v>
      </c>
      <c r="BN101" s="22">
        <v>1</v>
      </c>
      <c r="BO101" s="22">
        <v>3</v>
      </c>
      <c r="BP101" s="22">
        <v>4</v>
      </c>
      <c r="BQ101" s="22">
        <v>5</v>
      </c>
      <c r="BR101" s="22">
        <v>5</v>
      </c>
      <c r="BS101" s="22">
        <v>1</v>
      </c>
      <c r="BT101" s="22">
        <v>3</v>
      </c>
      <c r="BU101" s="22">
        <v>3</v>
      </c>
      <c r="BV101" s="22">
        <v>5</v>
      </c>
      <c r="BW101" s="22">
        <v>5</v>
      </c>
      <c r="BX101" s="2" t="s">
        <v>541</v>
      </c>
      <c r="BY101" s="2" t="s">
        <v>32</v>
      </c>
      <c r="BZ101" s="2" t="s">
        <v>34</v>
      </c>
      <c r="CA101" s="2" t="s">
        <v>35</v>
      </c>
      <c r="CB101" s="24">
        <v>0</v>
      </c>
      <c r="CC101" s="2" t="s">
        <v>64</v>
      </c>
      <c r="CD101" s="2" t="s">
        <v>51</v>
      </c>
      <c r="CE101" s="2" t="s">
        <v>32</v>
      </c>
      <c r="CF101" s="24">
        <v>0</v>
      </c>
      <c r="CG101" s="24">
        <v>2</v>
      </c>
      <c r="CH101" s="2" t="s">
        <v>37</v>
      </c>
      <c r="CI101" s="2" t="s">
        <v>32</v>
      </c>
      <c r="CJ101" s="2" t="s">
        <v>32</v>
      </c>
      <c r="CK101" s="2" t="s">
        <v>38</v>
      </c>
      <c r="CL101" s="24">
        <v>1</v>
      </c>
      <c r="CM101" s="2" t="s">
        <v>45</v>
      </c>
      <c r="CN101" s="2" t="s">
        <v>32</v>
      </c>
    </row>
    <row r="102" spans="1:92" ht="14" customHeight="1" x14ac:dyDescent="0.35">
      <c r="A102" s="2" t="s">
        <v>551</v>
      </c>
      <c r="B102" t="str">
        <f t="shared" si="2"/>
        <v>p100</v>
      </c>
      <c r="C102" s="38">
        <v>45940.713449074072</v>
      </c>
      <c r="D102" s="38">
        <v>45940.720567129632</v>
      </c>
      <c r="E102" s="2" t="s">
        <v>547</v>
      </c>
      <c r="F102" s="24">
        <v>100</v>
      </c>
      <c r="G102" s="24">
        <v>615</v>
      </c>
      <c r="H102" s="2" t="s">
        <v>31</v>
      </c>
      <c r="I102" s="38">
        <v>45940.720580185189</v>
      </c>
      <c r="J102" s="2" t="s">
        <v>548</v>
      </c>
      <c r="K102" s="24">
        <v>51.508099999999999</v>
      </c>
      <c r="L102" s="24">
        <v>-0.1278</v>
      </c>
      <c r="M102" s="2" t="s">
        <v>33</v>
      </c>
      <c r="N102" s="2" t="s">
        <v>549</v>
      </c>
      <c r="O102" s="2" t="s">
        <v>550</v>
      </c>
      <c r="P102" s="22">
        <v>4</v>
      </c>
      <c r="Q102" s="22">
        <v>2</v>
      </c>
      <c r="R102" s="22">
        <v>3</v>
      </c>
      <c r="S102" s="22">
        <v>5</v>
      </c>
      <c r="T102" s="22">
        <v>5</v>
      </c>
      <c r="U102" s="22">
        <v>2</v>
      </c>
      <c r="V102" s="22">
        <v>4</v>
      </c>
      <c r="W102" s="22">
        <v>1</v>
      </c>
      <c r="X102" s="22">
        <v>3</v>
      </c>
      <c r="Y102" s="22">
        <v>5</v>
      </c>
      <c r="Z102" s="22">
        <v>5</v>
      </c>
      <c r="AA102" s="22">
        <v>3</v>
      </c>
      <c r="AB102" s="22">
        <v>5</v>
      </c>
      <c r="AC102" s="22">
        <v>4</v>
      </c>
      <c r="AD102" s="22">
        <v>1</v>
      </c>
      <c r="AE102" s="22">
        <v>3</v>
      </c>
      <c r="AF102" s="22">
        <v>1</v>
      </c>
      <c r="AG102" s="22">
        <v>2</v>
      </c>
      <c r="AH102" s="22">
        <v>1</v>
      </c>
      <c r="AI102" s="22">
        <v>4</v>
      </c>
      <c r="AJ102" s="22">
        <v>4</v>
      </c>
      <c r="AK102" s="22">
        <v>5</v>
      </c>
      <c r="AL102" s="22">
        <v>5</v>
      </c>
      <c r="AM102" s="22">
        <v>2</v>
      </c>
      <c r="AN102" s="22">
        <v>4</v>
      </c>
      <c r="AO102" s="22">
        <v>2</v>
      </c>
      <c r="AP102" s="22">
        <v>5</v>
      </c>
      <c r="AQ102" s="22">
        <v>5</v>
      </c>
      <c r="AR102" s="22">
        <v>3</v>
      </c>
      <c r="AS102" s="22">
        <v>5</v>
      </c>
      <c r="AT102" s="22">
        <v>2</v>
      </c>
      <c r="AU102" s="22">
        <v>4</v>
      </c>
      <c r="AV102" s="22">
        <v>1</v>
      </c>
      <c r="AW102" s="22">
        <v>3</v>
      </c>
      <c r="AX102" s="22">
        <v>3</v>
      </c>
      <c r="AY102" s="22">
        <v>3</v>
      </c>
      <c r="AZ102" s="22">
        <v>1</v>
      </c>
      <c r="BA102" s="22">
        <v>2</v>
      </c>
      <c r="BB102" s="22">
        <v>3</v>
      </c>
      <c r="BC102" s="22">
        <v>2</v>
      </c>
      <c r="BD102" s="22">
        <v>2</v>
      </c>
      <c r="BE102" s="22">
        <v>2</v>
      </c>
      <c r="BF102" s="22">
        <v>5</v>
      </c>
      <c r="BG102" s="22">
        <v>3</v>
      </c>
      <c r="BH102" s="22">
        <v>4</v>
      </c>
      <c r="BI102" s="22">
        <v>5</v>
      </c>
      <c r="BJ102" s="22">
        <v>4</v>
      </c>
      <c r="BK102" s="22">
        <v>3</v>
      </c>
      <c r="BL102" s="22">
        <v>4</v>
      </c>
      <c r="BM102" s="22">
        <v>4</v>
      </c>
      <c r="BN102" s="22">
        <v>1</v>
      </c>
      <c r="BO102" s="22">
        <v>4</v>
      </c>
      <c r="BP102" s="22">
        <v>2</v>
      </c>
      <c r="BQ102" s="22">
        <v>2</v>
      </c>
      <c r="BR102" s="22">
        <v>1</v>
      </c>
      <c r="BS102" s="22">
        <v>4</v>
      </c>
      <c r="BT102" s="22">
        <v>3</v>
      </c>
      <c r="BU102" s="22">
        <v>2</v>
      </c>
      <c r="BV102" s="22">
        <v>4</v>
      </c>
      <c r="BW102" s="22">
        <v>5</v>
      </c>
      <c r="BX102" s="2" t="s">
        <v>551</v>
      </c>
      <c r="BY102" s="2" t="s">
        <v>32</v>
      </c>
      <c r="BZ102" s="2" t="s">
        <v>34</v>
      </c>
      <c r="CA102" s="2" t="s">
        <v>35</v>
      </c>
      <c r="CB102" s="24">
        <v>0</v>
      </c>
      <c r="CC102" s="2" t="s">
        <v>36</v>
      </c>
      <c r="CD102" s="2" t="s">
        <v>82</v>
      </c>
      <c r="CE102" s="2" t="s">
        <v>32</v>
      </c>
      <c r="CF102" s="24">
        <v>0</v>
      </c>
      <c r="CG102" s="24">
        <v>2</v>
      </c>
      <c r="CH102" s="2" t="s">
        <v>37</v>
      </c>
      <c r="CI102" s="2" t="s">
        <v>32</v>
      </c>
      <c r="CJ102" s="2" t="s">
        <v>32</v>
      </c>
      <c r="CK102" s="2" t="s">
        <v>38</v>
      </c>
      <c r="CL102" s="24">
        <v>1</v>
      </c>
      <c r="CM102" s="2" t="s">
        <v>45</v>
      </c>
      <c r="CN102" s="2" t="s">
        <v>32</v>
      </c>
    </row>
    <row r="103" spans="1:92" ht="14" customHeight="1" x14ac:dyDescent="0.35">
      <c r="A103" s="2" t="s">
        <v>576</v>
      </c>
      <c r="B103" t="str">
        <f t="shared" si="2"/>
        <v>p101</v>
      </c>
      <c r="C103" s="38">
        <v>45941.500613425924</v>
      </c>
      <c r="D103" s="38">
        <v>45941.507905092592</v>
      </c>
      <c r="E103" s="2" t="s">
        <v>572</v>
      </c>
      <c r="F103" s="24">
        <v>100</v>
      </c>
      <c r="G103" s="24">
        <v>629</v>
      </c>
      <c r="H103" s="2" t="s">
        <v>31</v>
      </c>
      <c r="I103" s="38">
        <v>45941.507916215276</v>
      </c>
      <c r="J103" s="2" t="s">
        <v>573</v>
      </c>
      <c r="K103" s="24">
        <v>51.516399999999997</v>
      </c>
      <c r="L103" s="24">
        <v>-9.2999999999999999E-2</v>
      </c>
      <c r="M103" s="2" t="s">
        <v>33</v>
      </c>
      <c r="N103" s="2" t="s">
        <v>574</v>
      </c>
      <c r="O103" s="2" t="s">
        <v>575</v>
      </c>
      <c r="P103" s="22">
        <v>5</v>
      </c>
      <c r="Q103" s="22">
        <v>3</v>
      </c>
      <c r="R103" s="22">
        <v>3</v>
      </c>
      <c r="S103" s="22">
        <v>4</v>
      </c>
      <c r="T103" s="22">
        <v>2</v>
      </c>
      <c r="U103" s="22">
        <v>5</v>
      </c>
      <c r="V103" s="22">
        <v>4</v>
      </c>
      <c r="W103" s="22">
        <v>3</v>
      </c>
      <c r="X103" s="22">
        <v>4</v>
      </c>
      <c r="Y103" s="22">
        <v>4</v>
      </c>
      <c r="Z103" s="22">
        <v>1</v>
      </c>
      <c r="AA103" s="22">
        <v>4</v>
      </c>
      <c r="AB103" s="22">
        <v>5</v>
      </c>
      <c r="AC103" s="22">
        <v>5</v>
      </c>
      <c r="AD103" s="22">
        <v>1</v>
      </c>
      <c r="AE103" s="22">
        <v>4</v>
      </c>
      <c r="AF103" s="22">
        <v>2</v>
      </c>
      <c r="AG103" s="22">
        <v>3</v>
      </c>
      <c r="AH103" s="22">
        <v>3</v>
      </c>
      <c r="AI103" s="22">
        <v>4</v>
      </c>
      <c r="AJ103" s="22">
        <v>3</v>
      </c>
      <c r="AK103" s="22">
        <v>4</v>
      </c>
      <c r="AL103" s="22">
        <v>5</v>
      </c>
      <c r="AM103" s="22">
        <v>3</v>
      </c>
      <c r="AN103" s="22">
        <v>4</v>
      </c>
      <c r="AO103" s="22">
        <v>5</v>
      </c>
      <c r="AP103" s="22">
        <v>3</v>
      </c>
      <c r="AQ103" s="22">
        <v>2</v>
      </c>
      <c r="AR103" s="22">
        <v>1</v>
      </c>
      <c r="AS103" s="22">
        <v>4</v>
      </c>
      <c r="AT103" s="22">
        <v>2</v>
      </c>
      <c r="AU103" s="22">
        <v>2</v>
      </c>
      <c r="AV103" s="22">
        <v>5</v>
      </c>
      <c r="AW103" s="22">
        <v>2</v>
      </c>
      <c r="AX103" s="22">
        <v>4</v>
      </c>
      <c r="AY103" s="22">
        <v>4</v>
      </c>
      <c r="AZ103" s="22">
        <v>5</v>
      </c>
      <c r="BA103" s="22">
        <v>3</v>
      </c>
      <c r="BB103" s="22">
        <v>5</v>
      </c>
      <c r="BC103" s="22">
        <v>3</v>
      </c>
      <c r="BD103" s="22">
        <v>2</v>
      </c>
      <c r="BE103" s="22">
        <v>5</v>
      </c>
      <c r="BF103" s="22">
        <v>2</v>
      </c>
      <c r="BG103" s="22">
        <v>4</v>
      </c>
      <c r="BH103" s="22">
        <v>3</v>
      </c>
      <c r="BI103" s="22">
        <v>2</v>
      </c>
      <c r="BJ103" s="22">
        <v>3</v>
      </c>
      <c r="BK103" s="22">
        <v>2</v>
      </c>
      <c r="BL103" s="22">
        <v>3</v>
      </c>
      <c r="BM103" s="22">
        <v>3</v>
      </c>
      <c r="BN103" s="22">
        <v>2</v>
      </c>
      <c r="BO103" s="22">
        <v>4</v>
      </c>
      <c r="BP103" s="22">
        <v>1</v>
      </c>
      <c r="BQ103" s="22">
        <v>5</v>
      </c>
      <c r="BR103" s="22">
        <v>2</v>
      </c>
      <c r="BS103" s="22">
        <v>3</v>
      </c>
      <c r="BT103" s="22">
        <v>2</v>
      </c>
      <c r="BU103" s="22">
        <v>2</v>
      </c>
      <c r="BV103" s="22">
        <v>4</v>
      </c>
      <c r="BW103" s="22">
        <v>4</v>
      </c>
      <c r="BX103" s="2" t="s">
        <v>576</v>
      </c>
      <c r="BY103" s="2" t="s">
        <v>32</v>
      </c>
      <c r="BZ103" s="2" t="s">
        <v>34</v>
      </c>
      <c r="CA103" s="2" t="s">
        <v>109</v>
      </c>
      <c r="CB103" s="24">
        <v>1</v>
      </c>
      <c r="CC103" s="2" t="s">
        <v>36</v>
      </c>
      <c r="CD103" s="2" t="s">
        <v>71</v>
      </c>
      <c r="CE103" s="2" t="s">
        <v>32</v>
      </c>
      <c r="CF103" s="24">
        <v>0</v>
      </c>
      <c r="CG103" s="24">
        <v>2</v>
      </c>
      <c r="CH103" s="2" t="s">
        <v>37</v>
      </c>
      <c r="CI103" s="2" t="s">
        <v>32</v>
      </c>
      <c r="CJ103" s="2" t="s">
        <v>32</v>
      </c>
      <c r="CK103" s="2" t="s">
        <v>38</v>
      </c>
      <c r="CL103" s="24">
        <v>1</v>
      </c>
      <c r="CM103" s="2" t="s">
        <v>45</v>
      </c>
      <c r="CN103" s="2" t="s">
        <v>32</v>
      </c>
    </row>
    <row r="104" spans="1:92" ht="14" customHeight="1" x14ac:dyDescent="0.35">
      <c r="A104" s="2" t="s">
        <v>571</v>
      </c>
      <c r="B104" t="str">
        <f t="shared" si="2"/>
        <v>p102</v>
      </c>
      <c r="C104" s="38">
        <v>45941.500659722224</v>
      </c>
      <c r="D104" s="38">
        <v>45941.507581018515</v>
      </c>
      <c r="E104" s="2" t="s">
        <v>567</v>
      </c>
      <c r="F104" s="24">
        <v>100</v>
      </c>
      <c r="G104" s="24">
        <v>597</v>
      </c>
      <c r="H104" s="2" t="s">
        <v>31</v>
      </c>
      <c r="I104" s="38">
        <v>45941.507592268521</v>
      </c>
      <c r="J104" s="2" t="s">
        <v>568</v>
      </c>
      <c r="K104" s="24">
        <v>52.192900000000002</v>
      </c>
      <c r="L104" s="24">
        <v>0.12559999999999999</v>
      </c>
      <c r="M104" s="2" t="s">
        <v>33</v>
      </c>
      <c r="N104" s="2" t="s">
        <v>569</v>
      </c>
      <c r="O104" s="2" t="s">
        <v>570</v>
      </c>
      <c r="P104" s="22">
        <v>4</v>
      </c>
      <c r="Q104" s="22">
        <v>3</v>
      </c>
      <c r="R104" s="22">
        <v>4</v>
      </c>
      <c r="S104" s="22">
        <v>3</v>
      </c>
      <c r="T104" s="22">
        <v>2</v>
      </c>
      <c r="U104" s="22">
        <v>3</v>
      </c>
      <c r="V104" s="22">
        <v>4</v>
      </c>
      <c r="W104" s="22">
        <v>4</v>
      </c>
      <c r="X104" s="22">
        <v>2</v>
      </c>
      <c r="Y104" s="22">
        <v>3</v>
      </c>
      <c r="Z104" s="22">
        <v>2</v>
      </c>
      <c r="AA104" s="22">
        <v>3</v>
      </c>
      <c r="AB104" s="22">
        <v>3</v>
      </c>
      <c r="AC104" s="22">
        <v>4</v>
      </c>
      <c r="AD104" s="22">
        <v>2</v>
      </c>
      <c r="AE104" s="22">
        <v>4</v>
      </c>
      <c r="AF104" s="22">
        <v>1</v>
      </c>
      <c r="AG104" s="22">
        <v>2</v>
      </c>
      <c r="AH104" s="22">
        <v>3</v>
      </c>
      <c r="AI104" s="22">
        <v>2</v>
      </c>
      <c r="AJ104" s="22">
        <v>4</v>
      </c>
      <c r="AK104" s="22">
        <v>3</v>
      </c>
      <c r="AL104" s="22">
        <v>4</v>
      </c>
      <c r="AM104" s="22">
        <v>4</v>
      </c>
      <c r="AN104" s="22">
        <v>3</v>
      </c>
      <c r="AO104" s="22">
        <v>5</v>
      </c>
      <c r="AP104" s="22">
        <v>3</v>
      </c>
      <c r="AQ104" s="22">
        <v>3</v>
      </c>
      <c r="AR104" s="22">
        <v>2</v>
      </c>
      <c r="AS104" s="22">
        <v>4</v>
      </c>
      <c r="AT104" s="22">
        <v>4</v>
      </c>
      <c r="AU104" s="22">
        <v>3</v>
      </c>
      <c r="AV104" s="22">
        <v>3</v>
      </c>
      <c r="AW104" s="22">
        <v>3</v>
      </c>
      <c r="AX104" s="22">
        <v>4</v>
      </c>
      <c r="AY104" s="22">
        <v>3</v>
      </c>
      <c r="AZ104" s="22">
        <v>3</v>
      </c>
      <c r="BA104" s="22">
        <v>2</v>
      </c>
      <c r="BB104" s="22">
        <v>3</v>
      </c>
      <c r="BC104" s="22">
        <v>3</v>
      </c>
      <c r="BD104" s="22">
        <v>3</v>
      </c>
      <c r="BE104" s="22">
        <v>4</v>
      </c>
      <c r="BF104" s="22">
        <v>2</v>
      </c>
      <c r="BG104" s="22">
        <v>3</v>
      </c>
      <c r="BH104" s="22">
        <v>3</v>
      </c>
      <c r="BI104" s="22">
        <v>3</v>
      </c>
      <c r="BJ104" s="22">
        <v>2</v>
      </c>
      <c r="BK104" s="22">
        <v>1</v>
      </c>
      <c r="BL104" s="22">
        <v>3</v>
      </c>
      <c r="BM104" s="22">
        <v>2</v>
      </c>
      <c r="BN104" s="22">
        <v>4</v>
      </c>
      <c r="BO104" s="22">
        <v>3</v>
      </c>
      <c r="BP104" s="22">
        <v>2</v>
      </c>
      <c r="BQ104" s="22">
        <v>4</v>
      </c>
      <c r="BR104" s="22">
        <v>2</v>
      </c>
      <c r="BS104" s="22">
        <v>3</v>
      </c>
      <c r="BT104" s="22">
        <v>2</v>
      </c>
      <c r="BU104" s="22">
        <v>3</v>
      </c>
      <c r="BV104" s="22">
        <v>3</v>
      </c>
      <c r="BW104" s="22">
        <v>2</v>
      </c>
      <c r="BX104" s="2" t="s">
        <v>571</v>
      </c>
      <c r="BY104" s="2" t="s">
        <v>32</v>
      </c>
      <c r="BZ104" s="2" t="s">
        <v>193</v>
      </c>
      <c r="CA104" s="2" t="s">
        <v>126</v>
      </c>
      <c r="CB104" s="24">
        <v>-1</v>
      </c>
      <c r="CC104" s="2" t="s">
        <v>52</v>
      </c>
      <c r="CD104" s="2" t="s">
        <v>65</v>
      </c>
      <c r="CE104" s="2" t="s">
        <v>32</v>
      </c>
      <c r="CF104" s="24">
        <v>0</v>
      </c>
      <c r="CG104" s="24">
        <v>0</v>
      </c>
      <c r="CH104" s="2" t="s">
        <v>51</v>
      </c>
      <c r="CI104" s="2" t="s">
        <v>32</v>
      </c>
      <c r="CJ104" s="2" t="s">
        <v>32</v>
      </c>
      <c r="CK104" s="2" t="s">
        <v>38</v>
      </c>
      <c r="CL104" s="24">
        <v>1</v>
      </c>
      <c r="CM104" s="2" t="s">
        <v>45</v>
      </c>
      <c r="CN104" s="2" t="s">
        <v>32</v>
      </c>
    </row>
    <row r="105" spans="1:92" ht="14" customHeight="1" x14ac:dyDescent="0.35">
      <c r="A105" s="2" t="s">
        <v>587</v>
      </c>
      <c r="B105" t="str">
        <f t="shared" si="2"/>
        <v>p103</v>
      </c>
      <c r="C105" s="38">
        <v>45941.500659722224</v>
      </c>
      <c r="D105" s="38">
        <v>45941.517685185187</v>
      </c>
      <c r="E105" s="2" t="s">
        <v>583</v>
      </c>
      <c r="F105" s="24">
        <v>100</v>
      </c>
      <c r="G105" s="24">
        <v>1470</v>
      </c>
      <c r="H105" s="2" t="s">
        <v>31</v>
      </c>
      <c r="I105" s="38">
        <v>45941.51769252315</v>
      </c>
      <c r="J105" s="2" t="s">
        <v>584</v>
      </c>
      <c r="K105" s="24">
        <v>52.477800000000002</v>
      </c>
      <c r="L105" s="24">
        <v>-1.9326000000000001</v>
      </c>
      <c r="M105" s="2" t="s">
        <v>33</v>
      </c>
      <c r="N105" s="2" t="s">
        <v>585</v>
      </c>
      <c r="O105" s="2" t="s">
        <v>586</v>
      </c>
      <c r="P105" s="22">
        <v>5</v>
      </c>
      <c r="Q105" s="22">
        <v>5</v>
      </c>
      <c r="R105" s="22">
        <v>3</v>
      </c>
      <c r="S105" s="22">
        <v>5</v>
      </c>
      <c r="T105" s="22">
        <v>5</v>
      </c>
      <c r="U105" s="22">
        <v>5</v>
      </c>
      <c r="V105" s="22">
        <v>5</v>
      </c>
      <c r="W105" s="22">
        <v>1</v>
      </c>
      <c r="X105" s="22">
        <v>4</v>
      </c>
      <c r="Y105" s="22">
        <v>5</v>
      </c>
      <c r="Z105" s="22">
        <v>5</v>
      </c>
      <c r="AA105" s="22">
        <v>5</v>
      </c>
      <c r="AB105" s="22">
        <v>5</v>
      </c>
      <c r="AC105" s="22">
        <v>1</v>
      </c>
      <c r="AD105" s="22">
        <v>1</v>
      </c>
      <c r="AE105" s="22">
        <v>1</v>
      </c>
      <c r="AF105" s="22">
        <v>1</v>
      </c>
      <c r="AG105" s="22">
        <v>1</v>
      </c>
      <c r="AH105" s="22">
        <v>1</v>
      </c>
      <c r="AI105" s="22">
        <v>5</v>
      </c>
      <c r="AJ105" s="22">
        <v>1</v>
      </c>
      <c r="AK105" s="22">
        <v>5</v>
      </c>
      <c r="AL105" s="22">
        <v>1</v>
      </c>
      <c r="AM105" s="22">
        <v>1</v>
      </c>
      <c r="AN105" s="22">
        <v>5</v>
      </c>
      <c r="AO105" s="22">
        <v>1</v>
      </c>
      <c r="AP105" s="22">
        <v>5</v>
      </c>
      <c r="AQ105" s="22">
        <v>5</v>
      </c>
      <c r="AR105" s="22">
        <v>1</v>
      </c>
      <c r="AS105" s="22">
        <v>5</v>
      </c>
      <c r="AT105" s="22">
        <v>1</v>
      </c>
      <c r="AU105" s="22">
        <v>5</v>
      </c>
      <c r="AV105" s="22">
        <v>1</v>
      </c>
      <c r="AW105" s="22">
        <v>1</v>
      </c>
      <c r="AX105" s="22">
        <v>2</v>
      </c>
      <c r="AY105" s="22">
        <v>1</v>
      </c>
      <c r="AZ105" s="22">
        <v>5</v>
      </c>
      <c r="BA105" s="22">
        <v>5</v>
      </c>
      <c r="BB105" s="22">
        <v>5</v>
      </c>
      <c r="BC105" s="22">
        <v>5</v>
      </c>
      <c r="BD105" s="22">
        <v>1</v>
      </c>
      <c r="BE105" s="22">
        <v>5</v>
      </c>
      <c r="BF105" s="22">
        <v>5</v>
      </c>
      <c r="BG105" s="22">
        <v>5</v>
      </c>
      <c r="BH105" s="22">
        <v>5</v>
      </c>
      <c r="BI105" s="22">
        <v>1</v>
      </c>
      <c r="BJ105" s="22">
        <v>5</v>
      </c>
      <c r="BK105" s="22">
        <v>5</v>
      </c>
      <c r="BL105" s="22">
        <v>5</v>
      </c>
      <c r="BM105" s="22">
        <v>5</v>
      </c>
      <c r="BN105" s="22">
        <v>1</v>
      </c>
      <c r="BO105" s="22">
        <v>1</v>
      </c>
      <c r="BP105" s="22">
        <v>1</v>
      </c>
      <c r="BQ105" s="22">
        <v>5</v>
      </c>
      <c r="BR105" s="22">
        <v>5</v>
      </c>
      <c r="BS105" s="22">
        <v>1</v>
      </c>
      <c r="BT105" s="22">
        <v>1</v>
      </c>
      <c r="BU105" s="22">
        <v>1</v>
      </c>
      <c r="BV105" s="22">
        <v>5</v>
      </c>
      <c r="BW105" s="22">
        <v>5</v>
      </c>
      <c r="BX105" s="2" t="s">
        <v>587</v>
      </c>
      <c r="BY105" s="2" t="s">
        <v>32</v>
      </c>
      <c r="BZ105" s="2" t="s">
        <v>34</v>
      </c>
      <c r="CA105" s="2" t="s">
        <v>35</v>
      </c>
      <c r="CB105" s="24">
        <v>0</v>
      </c>
      <c r="CC105" s="2" t="s">
        <v>36</v>
      </c>
      <c r="CD105" s="2" t="s">
        <v>53</v>
      </c>
      <c r="CE105" s="2" t="s">
        <v>32</v>
      </c>
      <c r="CF105" s="24">
        <v>0</v>
      </c>
      <c r="CG105" s="24">
        <v>2</v>
      </c>
      <c r="CH105" s="2" t="s">
        <v>37</v>
      </c>
      <c r="CI105" s="2" t="s">
        <v>32</v>
      </c>
      <c r="CJ105" s="2" t="s">
        <v>32</v>
      </c>
      <c r="CK105" s="2" t="s">
        <v>38</v>
      </c>
      <c r="CL105" s="24">
        <v>1</v>
      </c>
      <c r="CM105" s="2" t="s">
        <v>45</v>
      </c>
      <c r="CN105" s="2" t="s">
        <v>32</v>
      </c>
    </row>
    <row r="106" spans="1:92" ht="14" customHeight="1" x14ac:dyDescent="0.35">
      <c r="A106" s="2" t="s">
        <v>566</v>
      </c>
      <c r="B106" t="str">
        <f t="shared" si="2"/>
        <v>p104</v>
      </c>
      <c r="C106" s="38">
        <v>45941.500810185185</v>
      </c>
      <c r="D106" s="38">
        <v>45941.506898148145</v>
      </c>
      <c r="E106" s="2" t="s">
        <v>562</v>
      </c>
      <c r="F106" s="24">
        <v>100</v>
      </c>
      <c r="G106" s="24">
        <v>526</v>
      </c>
      <c r="H106" s="2" t="s">
        <v>31</v>
      </c>
      <c r="I106" s="38">
        <v>45941.506911412034</v>
      </c>
      <c r="J106" s="2" t="s">
        <v>563</v>
      </c>
      <c r="K106" s="24">
        <v>51.6158</v>
      </c>
      <c r="L106" s="24">
        <v>-1.2367999999999999</v>
      </c>
      <c r="M106" s="2" t="s">
        <v>33</v>
      </c>
      <c r="N106" s="2" t="s">
        <v>564</v>
      </c>
      <c r="O106" s="2" t="s">
        <v>565</v>
      </c>
      <c r="P106" s="22">
        <v>5</v>
      </c>
      <c r="Q106" s="22">
        <v>1</v>
      </c>
      <c r="R106" s="22">
        <v>3</v>
      </c>
      <c r="S106" s="22">
        <v>3</v>
      </c>
      <c r="T106" s="22">
        <v>4</v>
      </c>
      <c r="U106" s="22">
        <v>3</v>
      </c>
      <c r="V106" s="22">
        <v>5</v>
      </c>
      <c r="W106" s="22">
        <v>1</v>
      </c>
      <c r="X106" s="22">
        <v>4</v>
      </c>
      <c r="Y106" s="22">
        <v>4</v>
      </c>
      <c r="Z106" s="22">
        <v>5</v>
      </c>
      <c r="AA106" s="22">
        <v>3</v>
      </c>
      <c r="AB106" s="22">
        <v>5</v>
      </c>
      <c r="AC106" s="22">
        <v>2</v>
      </c>
      <c r="AD106" s="22">
        <v>1</v>
      </c>
      <c r="AE106" s="22">
        <v>1</v>
      </c>
      <c r="AF106" s="22">
        <v>1</v>
      </c>
      <c r="AG106" s="22">
        <v>1</v>
      </c>
      <c r="AH106" s="22">
        <v>1</v>
      </c>
      <c r="AI106" s="22">
        <v>5</v>
      </c>
      <c r="AJ106" s="22">
        <v>4</v>
      </c>
      <c r="AK106" s="22">
        <v>3</v>
      </c>
      <c r="AL106" s="22">
        <v>1</v>
      </c>
      <c r="AM106" s="22">
        <v>2</v>
      </c>
      <c r="AN106" s="22">
        <v>5</v>
      </c>
      <c r="AO106" s="22">
        <v>2</v>
      </c>
      <c r="AP106" s="22">
        <v>3</v>
      </c>
      <c r="AQ106" s="22">
        <v>4</v>
      </c>
      <c r="AR106" s="22">
        <v>1</v>
      </c>
      <c r="AS106" s="22">
        <v>3</v>
      </c>
      <c r="AT106" s="22">
        <v>1</v>
      </c>
      <c r="AU106" s="22">
        <v>4</v>
      </c>
      <c r="AV106" s="22">
        <v>1</v>
      </c>
      <c r="AW106" s="22">
        <v>1</v>
      </c>
      <c r="AX106" s="22">
        <v>3</v>
      </c>
      <c r="AY106" s="22">
        <v>1</v>
      </c>
      <c r="AZ106" s="22">
        <v>2</v>
      </c>
      <c r="BA106" s="22">
        <v>5</v>
      </c>
      <c r="BB106" s="22">
        <v>5</v>
      </c>
      <c r="BC106" s="22">
        <v>3</v>
      </c>
      <c r="BD106" s="22">
        <v>2</v>
      </c>
      <c r="BE106" s="22">
        <v>3</v>
      </c>
      <c r="BF106" s="22">
        <v>5</v>
      </c>
      <c r="BG106" s="22">
        <v>5</v>
      </c>
      <c r="BH106" s="22">
        <v>3</v>
      </c>
      <c r="BI106" s="22">
        <v>1</v>
      </c>
      <c r="BJ106" s="22">
        <v>5</v>
      </c>
      <c r="BK106" s="22">
        <v>1</v>
      </c>
      <c r="BL106" s="22">
        <v>4</v>
      </c>
      <c r="BM106" s="22">
        <v>4</v>
      </c>
      <c r="BN106" s="22">
        <v>1</v>
      </c>
      <c r="BO106" s="22">
        <v>4</v>
      </c>
      <c r="BP106" s="22">
        <v>2</v>
      </c>
      <c r="BQ106" s="22">
        <v>5</v>
      </c>
      <c r="BR106" s="22">
        <v>5</v>
      </c>
      <c r="BS106" s="22">
        <v>3</v>
      </c>
      <c r="BT106" s="22">
        <v>2</v>
      </c>
      <c r="BU106" s="22">
        <v>1</v>
      </c>
      <c r="BV106" s="22">
        <v>3</v>
      </c>
      <c r="BW106" s="22">
        <v>5</v>
      </c>
      <c r="BX106" s="2" t="s">
        <v>566</v>
      </c>
      <c r="BY106" s="2" t="s">
        <v>32</v>
      </c>
      <c r="BZ106" s="2" t="s">
        <v>34</v>
      </c>
      <c r="CA106" s="2" t="s">
        <v>35</v>
      </c>
      <c r="CB106" s="24">
        <v>0</v>
      </c>
      <c r="CC106" s="2" t="s">
        <v>36</v>
      </c>
      <c r="CD106" s="2" t="s">
        <v>51</v>
      </c>
      <c r="CE106" s="2" t="s">
        <v>32</v>
      </c>
      <c r="CF106" s="24">
        <v>0</v>
      </c>
      <c r="CG106" s="24">
        <v>2</v>
      </c>
      <c r="CH106" s="2" t="s">
        <v>37</v>
      </c>
      <c r="CI106" s="2" t="s">
        <v>32</v>
      </c>
      <c r="CJ106" s="2" t="s">
        <v>32</v>
      </c>
      <c r="CK106" s="2" t="s">
        <v>38</v>
      </c>
      <c r="CL106" s="24">
        <v>1</v>
      </c>
      <c r="CM106" s="2" t="s">
        <v>45</v>
      </c>
      <c r="CN106" s="2" t="s">
        <v>32</v>
      </c>
    </row>
    <row r="107" spans="1:92" ht="14" customHeight="1" x14ac:dyDescent="0.35">
      <c r="A107" s="2" t="s">
        <v>581</v>
      </c>
      <c r="B107" t="str">
        <f t="shared" si="2"/>
        <v>p105</v>
      </c>
      <c r="C107" s="38">
        <v>45941.501087962963</v>
      </c>
      <c r="D107" s="38">
        <v>45941.509004629632</v>
      </c>
      <c r="E107" s="2" t="s">
        <v>577</v>
      </c>
      <c r="F107" s="24">
        <v>100</v>
      </c>
      <c r="G107" s="24">
        <v>684</v>
      </c>
      <c r="H107" s="2" t="s">
        <v>31</v>
      </c>
      <c r="I107" s="38">
        <v>45941.509012881943</v>
      </c>
      <c r="J107" s="2" t="s">
        <v>578</v>
      </c>
      <c r="K107" s="24">
        <v>39.081400000000002</v>
      </c>
      <c r="L107" s="24">
        <v>-77.644300000000001</v>
      </c>
      <c r="M107" s="2" t="s">
        <v>33</v>
      </c>
      <c r="N107" s="2" t="s">
        <v>579</v>
      </c>
      <c r="O107" s="2" t="s">
        <v>580</v>
      </c>
      <c r="P107" s="22">
        <v>5</v>
      </c>
      <c r="Q107" s="22">
        <v>5</v>
      </c>
      <c r="R107" s="22">
        <v>1</v>
      </c>
      <c r="S107" s="22">
        <v>3</v>
      </c>
      <c r="T107" s="22">
        <v>4</v>
      </c>
      <c r="U107" s="22">
        <v>4</v>
      </c>
      <c r="V107" s="22">
        <v>4</v>
      </c>
      <c r="W107" s="22">
        <v>1</v>
      </c>
      <c r="X107" s="22">
        <v>1</v>
      </c>
      <c r="Y107" s="22">
        <v>5</v>
      </c>
      <c r="Z107" s="22">
        <v>5</v>
      </c>
      <c r="AA107" s="22">
        <v>5</v>
      </c>
      <c r="AB107" s="22">
        <v>5</v>
      </c>
      <c r="AC107" s="22">
        <v>5</v>
      </c>
      <c r="AD107" s="22">
        <v>1</v>
      </c>
      <c r="AE107" s="22">
        <v>1</v>
      </c>
      <c r="AF107" s="22">
        <v>1</v>
      </c>
      <c r="AG107" s="22">
        <v>3</v>
      </c>
      <c r="AH107" s="22">
        <v>1</v>
      </c>
      <c r="AI107" s="22">
        <v>1</v>
      </c>
      <c r="AJ107" s="22">
        <v>1</v>
      </c>
      <c r="AK107" s="22">
        <v>4</v>
      </c>
      <c r="AL107" s="22">
        <v>4</v>
      </c>
      <c r="AM107" s="22">
        <v>4</v>
      </c>
      <c r="AN107" s="22">
        <v>4</v>
      </c>
      <c r="AO107" s="22">
        <v>1</v>
      </c>
      <c r="AP107" s="22">
        <v>5</v>
      </c>
      <c r="AQ107" s="22">
        <v>5</v>
      </c>
      <c r="AR107" s="22">
        <v>2</v>
      </c>
      <c r="AS107" s="22">
        <v>5</v>
      </c>
      <c r="AT107" s="22">
        <v>2</v>
      </c>
      <c r="AU107" s="22">
        <v>2</v>
      </c>
      <c r="AV107" s="22">
        <v>1</v>
      </c>
      <c r="AW107" s="22">
        <v>5</v>
      </c>
      <c r="AX107" s="22">
        <v>5</v>
      </c>
      <c r="AY107" s="22">
        <v>1</v>
      </c>
      <c r="AZ107" s="22">
        <v>5</v>
      </c>
      <c r="BA107" s="22">
        <v>5</v>
      </c>
      <c r="BB107" s="22">
        <v>5</v>
      </c>
      <c r="BC107" s="22">
        <v>5</v>
      </c>
      <c r="BD107" s="22">
        <v>1</v>
      </c>
      <c r="BE107" s="22">
        <v>5</v>
      </c>
      <c r="BF107" s="22">
        <v>5</v>
      </c>
      <c r="BG107" s="22">
        <v>5</v>
      </c>
      <c r="BH107" s="22">
        <v>5</v>
      </c>
      <c r="BI107" s="22">
        <v>1</v>
      </c>
      <c r="BJ107" s="22">
        <v>5</v>
      </c>
      <c r="BK107" s="22">
        <v>5</v>
      </c>
      <c r="BL107" s="22">
        <v>5</v>
      </c>
      <c r="BM107" s="22">
        <v>5</v>
      </c>
      <c r="BN107" s="22">
        <v>1</v>
      </c>
      <c r="BO107" s="22">
        <v>4</v>
      </c>
      <c r="BP107" s="22">
        <v>5</v>
      </c>
      <c r="BQ107" s="22">
        <v>1</v>
      </c>
      <c r="BR107" s="22">
        <v>4</v>
      </c>
      <c r="BS107" s="22">
        <v>1</v>
      </c>
      <c r="BT107" s="22">
        <v>1</v>
      </c>
      <c r="BU107" s="22">
        <v>1</v>
      </c>
      <c r="BV107" s="22">
        <v>4</v>
      </c>
      <c r="BW107" s="22">
        <v>4</v>
      </c>
      <c r="BX107" s="2" t="s">
        <v>581</v>
      </c>
      <c r="BY107" s="2" t="s">
        <v>32</v>
      </c>
      <c r="BZ107" s="2" t="s">
        <v>34</v>
      </c>
      <c r="CA107" s="2" t="s">
        <v>35</v>
      </c>
      <c r="CB107" s="24">
        <v>0</v>
      </c>
      <c r="CC107" s="2" t="s">
        <v>36</v>
      </c>
      <c r="CD107" s="2" t="s">
        <v>582</v>
      </c>
      <c r="CE107" s="2" t="s">
        <v>32</v>
      </c>
      <c r="CF107" s="24">
        <v>0</v>
      </c>
      <c r="CG107" s="24">
        <v>2</v>
      </c>
      <c r="CH107" s="2" t="s">
        <v>37</v>
      </c>
      <c r="CI107" s="2" t="s">
        <v>32</v>
      </c>
      <c r="CJ107" s="2" t="s">
        <v>32</v>
      </c>
      <c r="CK107" s="2" t="s">
        <v>38</v>
      </c>
      <c r="CL107" s="24">
        <v>1</v>
      </c>
      <c r="CM107" s="2" t="s">
        <v>45</v>
      </c>
      <c r="CN107" s="2" t="s">
        <v>32</v>
      </c>
    </row>
    <row r="108" spans="1:92" ht="14" customHeight="1" x14ac:dyDescent="0.35">
      <c r="A108" t="s">
        <v>872</v>
      </c>
      <c r="B108" t="str">
        <f t="shared" si="2"/>
        <v>p106</v>
      </c>
      <c r="D108" s="38">
        <v>46002.784513888888</v>
      </c>
      <c r="E108" s="24" t="s">
        <v>900</v>
      </c>
      <c r="F108" s="24">
        <v>100</v>
      </c>
      <c r="G108" s="24">
        <v>343</v>
      </c>
      <c r="H108" s="24" t="b">
        <v>1</v>
      </c>
      <c r="I108" s="38">
        <v>46002.784525462965</v>
      </c>
      <c r="J108" s="24" t="s">
        <v>901</v>
      </c>
      <c r="N108" s="24" t="s">
        <v>902</v>
      </c>
      <c r="O108" s="24" t="s">
        <v>797</v>
      </c>
      <c r="P108" s="22">
        <v>5</v>
      </c>
      <c r="Q108" s="22">
        <v>2</v>
      </c>
      <c r="R108" s="22">
        <v>3</v>
      </c>
      <c r="S108" s="22">
        <v>5</v>
      </c>
      <c r="T108" s="22">
        <v>5</v>
      </c>
      <c r="U108" s="22">
        <v>2</v>
      </c>
      <c r="V108" s="22">
        <v>5</v>
      </c>
      <c r="W108" s="22">
        <v>1</v>
      </c>
      <c r="X108" s="22">
        <v>4</v>
      </c>
      <c r="Y108" s="22">
        <v>5</v>
      </c>
      <c r="Z108" s="22">
        <v>5</v>
      </c>
      <c r="AA108" s="22">
        <v>5</v>
      </c>
      <c r="AB108" s="22">
        <v>4</v>
      </c>
      <c r="AC108" s="22">
        <v>3</v>
      </c>
      <c r="AD108" s="22">
        <v>1</v>
      </c>
      <c r="AE108" s="22">
        <v>4</v>
      </c>
      <c r="AF108" s="22">
        <v>1</v>
      </c>
      <c r="AG108" s="22">
        <v>1</v>
      </c>
      <c r="AH108" s="22">
        <v>3</v>
      </c>
      <c r="AI108" s="22">
        <v>5</v>
      </c>
      <c r="AJ108" s="22">
        <v>3</v>
      </c>
      <c r="AK108" s="22">
        <v>5</v>
      </c>
      <c r="AL108" s="22">
        <v>4</v>
      </c>
      <c r="AM108" s="22">
        <v>1</v>
      </c>
      <c r="AN108" s="22">
        <v>4</v>
      </c>
      <c r="AO108" s="22">
        <v>3</v>
      </c>
      <c r="AP108" s="22">
        <v>3</v>
      </c>
      <c r="AQ108" s="22">
        <v>2</v>
      </c>
      <c r="AR108" s="22">
        <v>1</v>
      </c>
      <c r="AS108" s="22">
        <v>4</v>
      </c>
      <c r="AT108" s="22">
        <v>1</v>
      </c>
      <c r="AU108" s="22">
        <v>5</v>
      </c>
      <c r="AV108" s="22">
        <v>2</v>
      </c>
      <c r="AW108" s="22">
        <v>1</v>
      </c>
      <c r="AX108" s="22">
        <v>2</v>
      </c>
      <c r="AY108" s="22">
        <v>4</v>
      </c>
      <c r="AZ108" s="22">
        <v>2</v>
      </c>
      <c r="BA108" s="22">
        <v>4</v>
      </c>
      <c r="BB108" s="22">
        <v>5</v>
      </c>
      <c r="BC108" s="22">
        <v>4</v>
      </c>
      <c r="BD108" s="22">
        <v>3</v>
      </c>
      <c r="BE108" s="22">
        <v>2</v>
      </c>
      <c r="BF108" s="22">
        <v>5</v>
      </c>
      <c r="BG108" s="22">
        <v>5</v>
      </c>
      <c r="BH108" s="22">
        <v>4</v>
      </c>
      <c r="BI108" s="22">
        <v>2</v>
      </c>
      <c r="BJ108" s="22">
        <v>5</v>
      </c>
      <c r="BK108" s="22">
        <v>2</v>
      </c>
      <c r="BL108" s="22">
        <v>4</v>
      </c>
      <c r="BM108" s="22">
        <v>4</v>
      </c>
      <c r="BN108" s="22">
        <v>2</v>
      </c>
      <c r="BO108" s="22">
        <v>2</v>
      </c>
      <c r="BP108" s="22">
        <v>1</v>
      </c>
      <c r="BQ108" s="22">
        <v>4</v>
      </c>
      <c r="BR108" s="22">
        <v>4</v>
      </c>
      <c r="BS108" s="22">
        <v>4</v>
      </c>
      <c r="BT108" s="22">
        <v>1</v>
      </c>
      <c r="BU108" s="22">
        <v>1</v>
      </c>
      <c r="BV108" s="22">
        <v>4</v>
      </c>
      <c r="BW108" s="22">
        <v>5</v>
      </c>
      <c r="BY108" s="24" t="s">
        <v>34</v>
      </c>
      <c r="BZ108" s="24" t="s">
        <v>35</v>
      </c>
      <c r="CA108" s="24">
        <v>0</v>
      </c>
      <c r="CB108" s="24" t="s">
        <v>36</v>
      </c>
      <c r="CC108" s="24" t="s">
        <v>53</v>
      </c>
      <c r="CF108" s="24">
        <v>0</v>
      </c>
      <c r="CG108" s="24">
        <v>2</v>
      </c>
      <c r="CH108" s="24" t="s">
        <v>37</v>
      </c>
      <c r="CK108" s="24" t="s">
        <v>38</v>
      </c>
      <c r="CL108" s="24">
        <v>1</v>
      </c>
      <c r="CM108" s="24" t="s">
        <v>45</v>
      </c>
    </row>
    <row r="109" spans="1:92" ht="14" customHeight="1" x14ac:dyDescent="0.35">
      <c r="A109" t="s">
        <v>873</v>
      </c>
      <c r="B109" t="str">
        <f t="shared" si="2"/>
        <v>p107</v>
      </c>
      <c r="D109" s="38">
        <v>46002.786666666667</v>
      </c>
      <c r="E109" s="24" t="s">
        <v>903</v>
      </c>
      <c r="F109" s="24">
        <v>100</v>
      </c>
      <c r="G109" s="24">
        <v>411</v>
      </c>
      <c r="H109" s="24" t="b">
        <v>1</v>
      </c>
      <c r="I109" s="38">
        <v>46002.786678240744</v>
      </c>
      <c r="J109" s="24" t="s">
        <v>904</v>
      </c>
      <c r="N109" s="24" t="s">
        <v>798</v>
      </c>
      <c r="O109" s="24" t="s">
        <v>799</v>
      </c>
      <c r="P109" s="22">
        <v>5</v>
      </c>
      <c r="Q109" s="22">
        <v>3</v>
      </c>
      <c r="R109" s="22">
        <v>4</v>
      </c>
      <c r="S109" s="22">
        <v>4</v>
      </c>
      <c r="T109" s="22">
        <v>3</v>
      </c>
      <c r="U109" s="22">
        <v>5</v>
      </c>
      <c r="V109" s="22">
        <v>4</v>
      </c>
      <c r="W109" s="22">
        <v>2</v>
      </c>
      <c r="X109" s="22">
        <v>4</v>
      </c>
      <c r="Y109" s="22">
        <v>4</v>
      </c>
      <c r="Z109" s="22">
        <v>3</v>
      </c>
      <c r="AA109" s="22">
        <v>5</v>
      </c>
      <c r="AB109" s="22">
        <v>5</v>
      </c>
      <c r="AC109" s="22">
        <v>4</v>
      </c>
      <c r="AD109" s="22">
        <v>3</v>
      </c>
      <c r="AE109" s="22">
        <v>2</v>
      </c>
      <c r="AF109" s="22">
        <v>2</v>
      </c>
      <c r="AG109" s="22">
        <v>3</v>
      </c>
      <c r="AH109" s="22">
        <v>2</v>
      </c>
      <c r="AI109" s="22">
        <v>4</v>
      </c>
      <c r="AJ109" s="22">
        <v>3</v>
      </c>
      <c r="AK109" s="22">
        <v>4</v>
      </c>
      <c r="AL109" s="22">
        <v>2</v>
      </c>
      <c r="AM109" s="22">
        <v>3</v>
      </c>
      <c r="AN109" s="22">
        <v>4</v>
      </c>
      <c r="AO109" s="22">
        <v>2</v>
      </c>
      <c r="AP109" s="22">
        <v>5</v>
      </c>
      <c r="AQ109" s="22">
        <v>4</v>
      </c>
      <c r="AR109" s="22">
        <v>2</v>
      </c>
      <c r="AS109" s="22">
        <v>4</v>
      </c>
      <c r="AT109" s="22">
        <v>3</v>
      </c>
      <c r="AU109" s="22">
        <v>4</v>
      </c>
      <c r="AV109" s="22">
        <v>2</v>
      </c>
      <c r="AW109" s="22">
        <v>4</v>
      </c>
      <c r="AX109" s="22">
        <v>4</v>
      </c>
      <c r="AY109" s="22">
        <v>3</v>
      </c>
      <c r="AZ109" s="22">
        <v>4</v>
      </c>
      <c r="BA109" s="22">
        <v>3</v>
      </c>
      <c r="BB109" s="22">
        <v>4</v>
      </c>
      <c r="BC109" s="22">
        <v>4</v>
      </c>
      <c r="BD109" s="22">
        <v>4</v>
      </c>
      <c r="BE109" s="22">
        <v>5</v>
      </c>
      <c r="BF109" s="22">
        <v>4</v>
      </c>
      <c r="BG109" s="22">
        <v>4</v>
      </c>
      <c r="BH109" s="22">
        <v>4</v>
      </c>
      <c r="BI109" s="22">
        <v>2</v>
      </c>
      <c r="BJ109" s="22">
        <v>5</v>
      </c>
      <c r="BK109" s="22">
        <v>2</v>
      </c>
      <c r="BL109" s="22">
        <v>4</v>
      </c>
      <c r="BM109" s="22">
        <v>5</v>
      </c>
      <c r="BN109" s="22">
        <v>2</v>
      </c>
      <c r="BO109" s="22">
        <v>3</v>
      </c>
      <c r="BP109" s="22">
        <v>3</v>
      </c>
      <c r="BQ109" s="22">
        <v>4</v>
      </c>
      <c r="BR109" s="22">
        <v>4</v>
      </c>
      <c r="BS109" s="22">
        <v>4</v>
      </c>
      <c r="BT109" s="22">
        <v>2</v>
      </c>
      <c r="BU109" s="22">
        <v>4</v>
      </c>
      <c r="BV109" s="22">
        <v>4</v>
      </c>
      <c r="BW109" s="22">
        <v>4</v>
      </c>
      <c r="BY109" s="24" t="s">
        <v>34</v>
      </c>
      <c r="BZ109" s="24" t="s">
        <v>35</v>
      </c>
      <c r="CA109" s="24">
        <v>0</v>
      </c>
      <c r="CB109" s="24" t="s">
        <v>52</v>
      </c>
      <c r="CC109" s="24" t="s">
        <v>65</v>
      </c>
      <c r="CF109" s="24">
        <v>0</v>
      </c>
      <c r="CG109" s="24">
        <v>2</v>
      </c>
      <c r="CH109" s="24" t="s">
        <v>37</v>
      </c>
      <c r="CK109" s="24" t="s">
        <v>38</v>
      </c>
      <c r="CL109" s="24">
        <v>1</v>
      </c>
      <c r="CM109" s="24" t="s">
        <v>45</v>
      </c>
    </row>
    <row r="110" spans="1:92" ht="14" customHeight="1" x14ac:dyDescent="0.35">
      <c r="A110" t="s">
        <v>874</v>
      </c>
      <c r="B110" t="str">
        <f t="shared" si="2"/>
        <v>p108</v>
      </c>
      <c r="D110" s="38">
        <v>46002.786956018521</v>
      </c>
      <c r="E110" s="24" t="s">
        <v>905</v>
      </c>
      <c r="F110" s="24">
        <v>100</v>
      </c>
      <c r="G110" s="24">
        <v>489</v>
      </c>
      <c r="H110" s="24" t="b">
        <v>1</v>
      </c>
      <c r="I110" s="38">
        <v>46002.786956018521</v>
      </c>
      <c r="J110" s="24" t="s">
        <v>906</v>
      </c>
      <c r="N110" s="24" t="s">
        <v>800</v>
      </c>
      <c r="O110" s="24" t="s">
        <v>801</v>
      </c>
      <c r="P110" s="22">
        <v>4</v>
      </c>
      <c r="Q110" s="22">
        <v>5</v>
      </c>
      <c r="R110" s="22">
        <v>3</v>
      </c>
      <c r="S110" s="22">
        <v>4</v>
      </c>
      <c r="T110" s="22">
        <v>4</v>
      </c>
      <c r="U110" s="22">
        <v>4</v>
      </c>
      <c r="V110" s="22">
        <v>3</v>
      </c>
      <c r="W110" s="22">
        <v>2</v>
      </c>
      <c r="X110" s="22">
        <v>1</v>
      </c>
      <c r="Y110" s="22">
        <v>4</v>
      </c>
      <c r="Z110" s="22">
        <v>3</v>
      </c>
      <c r="AA110" s="22">
        <v>3</v>
      </c>
      <c r="AB110" s="22">
        <v>3</v>
      </c>
      <c r="AC110" s="22">
        <v>3</v>
      </c>
      <c r="AD110" s="22">
        <v>1</v>
      </c>
      <c r="AE110" s="22">
        <v>1</v>
      </c>
      <c r="AF110" s="22">
        <v>1</v>
      </c>
      <c r="AG110" s="22">
        <v>3</v>
      </c>
      <c r="AH110" s="22">
        <v>1</v>
      </c>
      <c r="AI110" s="22">
        <v>5</v>
      </c>
      <c r="AJ110" s="22">
        <v>2</v>
      </c>
      <c r="AK110" s="22">
        <v>3</v>
      </c>
      <c r="AL110" s="22">
        <v>2</v>
      </c>
      <c r="AM110" s="22">
        <v>2</v>
      </c>
      <c r="AN110" s="22">
        <v>5</v>
      </c>
      <c r="AO110" s="22">
        <v>2</v>
      </c>
      <c r="AP110" s="22">
        <v>4</v>
      </c>
      <c r="AQ110" s="22">
        <v>4</v>
      </c>
      <c r="AR110" s="22">
        <v>2</v>
      </c>
      <c r="AS110" s="22">
        <v>4</v>
      </c>
      <c r="AT110" s="22">
        <v>2</v>
      </c>
      <c r="AU110" s="22">
        <v>3</v>
      </c>
      <c r="AV110" s="22">
        <v>2</v>
      </c>
      <c r="AW110" s="22">
        <v>3</v>
      </c>
      <c r="AX110" s="22">
        <v>4</v>
      </c>
      <c r="AY110" s="22">
        <v>2</v>
      </c>
      <c r="AZ110" s="22">
        <v>4</v>
      </c>
      <c r="BA110" s="22">
        <v>4</v>
      </c>
      <c r="BB110" s="22">
        <v>3</v>
      </c>
      <c r="BC110" s="22">
        <v>3</v>
      </c>
      <c r="BD110" s="22">
        <v>2</v>
      </c>
      <c r="BE110" s="22">
        <v>4</v>
      </c>
      <c r="BF110" s="22">
        <v>4</v>
      </c>
      <c r="BG110" s="22">
        <v>3</v>
      </c>
      <c r="BH110" s="22">
        <v>5</v>
      </c>
      <c r="BI110" s="22">
        <v>2</v>
      </c>
      <c r="BJ110" s="22">
        <v>2</v>
      </c>
      <c r="BK110" s="22">
        <v>1</v>
      </c>
      <c r="BL110" s="22">
        <v>3</v>
      </c>
      <c r="BM110" s="22">
        <v>4</v>
      </c>
      <c r="BN110" s="22">
        <v>2</v>
      </c>
      <c r="BO110" s="22">
        <v>5</v>
      </c>
      <c r="BP110" s="22">
        <v>1</v>
      </c>
      <c r="BQ110" s="22">
        <v>3</v>
      </c>
      <c r="BR110" s="22">
        <v>3</v>
      </c>
      <c r="BS110" s="22">
        <v>1</v>
      </c>
      <c r="BT110" s="22">
        <v>2</v>
      </c>
      <c r="BU110" s="22">
        <v>3</v>
      </c>
      <c r="BV110" s="22">
        <v>3</v>
      </c>
      <c r="BW110" s="22">
        <v>5</v>
      </c>
      <c r="BY110" s="24" t="s">
        <v>34</v>
      </c>
      <c r="BZ110" s="24" t="s">
        <v>35</v>
      </c>
      <c r="CA110" s="24">
        <v>0</v>
      </c>
      <c r="CB110" s="24" t="s">
        <v>36</v>
      </c>
      <c r="CC110" s="24" t="s">
        <v>82</v>
      </c>
      <c r="CF110" s="24">
        <v>0</v>
      </c>
      <c r="CG110" s="24">
        <v>2</v>
      </c>
      <c r="CH110" s="24" t="s">
        <v>37</v>
      </c>
      <c r="CK110" s="24" t="s">
        <v>38</v>
      </c>
      <c r="CL110" s="24">
        <v>1</v>
      </c>
      <c r="CM110" s="24" t="s">
        <v>45</v>
      </c>
    </row>
    <row r="111" spans="1:92" ht="14" customHeight="1" x14ac:dyDescent="0.35">
      <c r="A111" t="s">
        <v>875</v>
      </c>
      <c r="B111" t="str">
        <f t="shared" si="2"/>
        <v>p109</v>
      </c>
      <c r="D111" s="38">
        <v>46002.787129629629</v>
      </c>
      <c r="E111" s="24" t="s">
        <v>907</v>
      </c>
      <c r="F111" s="24">
        <v>100</v>
      </c>
      <c r="G111" s="24">
        <v>407</v>
      </c>
      <c r="H111" s="24" t="b">
        <v>1</v>
      </c>
      <c r="I111" s="38">
        <v>46002.787129629629</v>
      </c>
      <c r="J111" s="24" t="s">
        <v>908</v>
      </c>
      <c r="N111" s="24" t="s">
        <v>802</v>
      </c>
      <c r="O111" s="24" t="s">
        <v>803</v>
      </c>
      <c r="P111" s="22">
        <v>4</v>
      </c>
      <c r="Q111" s="22">
        <v>5</v>
      </c>
      <c r="R111" s="22">
        <v>5</v>
      </c>
      <c r="S111" s="22">
        <v>2</v>
      </c>
      <c r="T111" s="22">
        <v>2</v>
      </c>
      <c r="U111" s="22">
        <v>5</v>
      </c>
      <c r="V111" s="22">
        <v>5</v>
      </c>
      <c r="W111" s="22">
        <v>4</v>
      </c>
      <c r="X111" s="22">
        <v>1</v>
      </c>
      <c r="Y111" s="22">
        <v>2</v>
      </c>
      <c r="Z111" s="22">
        <v>5</v>
      </c>
      <c r="AA111" s="22">
        <v>5</v>
      </c>
      <c r="AB111" s="22">
        <v>5</v>
      </c>
      <c r="AC111" s="22">
        <v>4</v>
      </c>
      <c r="AD111" s="22">
        <v>1</v>
      </c>
      <c r="AE111" s="22">
        <v>5</v>
      </c>
      <c r="AF111" s="22">
        <v>4</v>
      </c>
      <c r="AG111" s="22">
        <v>5</v>
      </c>
      <c r="AH111" s="22">
        <v>4</v>
      </c>
      <c r="AI111" s="22">
        <v>1</v>
      </c>
      <c r="AJ111" s="22">
        <v>1</v>
      </c>
      <c r="AK111" s="22">
        <v>5</v>
      </c>
      <c r="AL111" s="22">
        <v>4</v>
      </c>
      <c r="AM111" s="22">
        <v>5</v>
      </c>
      <c r="AN111" s="22">
        <v>4</v>
      </c>
      <c r="AO111" s="22">
        <v>5</v>
      </c>
      <c r="AP111" s="22">
        <v>3</v>
      </c>
      <c r="AQ111" s="22">
        <v>5</v>
      </c>
      <c r="AR111" s="22">
        <v>2</v>
      </c>
      <c r="AS111" s="22">
        <v>4</v>
      </c>
      <c r="AT111" s="22">
        <v>5</v>
      </c>
      <c r="AU111" s="22">
        <v>2</v>
      </c>
      <c r="AV111" s="22">
        <v>4</v>
      </c>
      <c r="AW111" s="22">
        <v>5</v>
      </c>
      <c r="AX111" s="22">
        <v>2</v>
      </c>
      <c r="AY111" s="22">
        <v>4</v>
      </c>
      <c r="AZ111" s="22">
        <v>5</v>
      </c>
      <c r="BA111" s="22">
        <v>5</v>
      </c>
      <c r="BB111" s="22">
        <v>5</v>
      </c>
      <c r="BC111" s="22">
        <v>3</v>
      </c>
      <c r="BD111" s="22">
        <v>4</v>
      </c>
      <c r="BE111" s="22">
        <v>5</v>
      </c>
      <c r="BF111" s="22">
        <v>4</v>
      </c>
      <c r="BG111" s="22">
        <v>5</v>
      </c>
      <c r="BH111" s="22">
        <v>3</v>
      </c>
      <c r="BI111" s="22">
        <v>4</v>
      </c>
      <c r="BJ111" s="22">
        <v>3</v>
      </c>
      <c r="BK111" s="22">
        <v>5</v>
      </c>
      <c r="BL111" s="22">
        <v>3</v>
      </c>
      <c r="BM111" s="22">
        <v>3</v>
      </c>
      <c r="BN111" s="22">
        <v>3</v>
      </c>
      <c r="BO111" s="22">
        <v>2</v>
      </c>
      <c r="BP111" s="22">
        <v>5</v>
      </c>
      <c r="BQ111" s="22">
        <v>3</v>
      </c>
      <c r="BR111" s="22">
        <v>4</v>
      </c>
      <c r="BS111" s="22">
        <v>1</v>
      </c>
      <c r="BT111" s="22">
        <v>2</v>
      </c>
      <c r="BU111" s="22">
        <v>3</v>
      </c>
      <c r="BV111" s="22">
        <v>2</v>
      </c>
      <c r="BW111" s="22">
        <v>5</v>
      </c>
      <c r="BY111" s="24" t="s">
        <v>34</v>
      </c>
      <c r="BZ111" s="24" t="s">
        <v>35</v>
      </c>
      <c r="CA111" s="24">
        <v>0</v>
      </c>
      <c r="CB111" s="24" t="s">
        <v>36</v>
      </c>
      <c r="CC111" s="24" t="s">
        <v>53</v>
      </c>
      <c r="CF111" s="24">
        <v>0</v>
      </c>
      <c r="CG111" s="24">
        <v>2</v>
      </c>
      <c r="CH111" s="24" t="s">
        <v>37</v>
      </c>
      <c r="CK111" s="24" t="s">
        <v>38</v>
      </c>
      <c r="CL111" s="24">
        <v>1</v>
      </c>
      <c r="CM111" s="24" t="s">
        <v>45</v>
      </c>
    </row>
    <row r="112" spans="1:92" ht="14" customHeight="1" x14ac:dyDescent="0.35">
      <c r="A112" t="s">
        <v>876</v>
      </c>
      <c r="B112" t="str">
        <f t="shared" si="2"/>
        <v>p110</v>
      </c>
      <c r="D112" s="38">
        <v>46002.787523148145</v>
      </c>
      <c r="E112" s="24" t="s">
        <v>909</v>
      </c>
      <c r="F112" s="24">
        <v>100</v>
      </c>
      <c r="G112" s="24">
        <v>481</v>
      </c>
      <c r="H112" s="24" t="b">
        <v>1</v>
      </c>
      <c r="I112" s="38">
        <v>46002.787523148145</v>
      </c>
      <c r="J112" s="24" t="s">
        <v>910</v>
      </c>
      <c r="N112" s="24" t="s">
        <v>804</v>
      </c>
      <c r="O112" s="24" t="s">
        <v>805</v>
      </c>
      <c r="P112" s="22">
        <v>4</v>
      </c>
      <c r="Q112" s="22">
        <v>5</v>
      </c>
      <c r="R112" s="22">
        <v>2</v>
      </c>
      <c r="S112" s="22">
        <v>4</v>
      </c>
      <c r="T112" s="22">
        <v>3</v>
      </c>
      <c r="U112" s="22">
        <v>4</v>
      </c>
      <c r="V112" s="22">
        <v>4</v>
      </c>
      <c r="W112" s="22">
        <v>1</v>
      </c>
      <c r="X112" s="22">
        <v>1</v>
      </c>
      <c r="Y112" s="22">
        <v>3</v>
      </c>
      <c r="Z112" s="22">
        <v>5</v>
      </c>
      <c r="AA112" s="22">
        <v>3</v>
      </c>
      <c r="AB112" s="22">
        <v>3</v>
      </c>
      <c r="AC112" s="22">
        <v>2</v>
      </c>
      <c r="AD112" s="22">
        <v>1</v>
      </c>
      <c r="AE112" s="22">
        <v>1</v>
      </c>
      <c r="AF112" s="22">
        <v>1</v>
      </c>
      <c r="AG112" s="22">
        <v>3</v>
      </c>
      <c r="AH112" s="22">
        <v>2</v>
      </c>
      <c r="AI112" s="22">
        <v>4</v>
      </c>
      <c r="AJ112" s="22">
        <v>1</v>
      </c>
      <c r="AK112" s="22">
        <v>5</v>
      </c>
      <c r="AL112" s="22">
        <v>2</v>
      </c>
      <c r="AM112" s="22">
        <v>1</v>
      </c>
      <c r="AN112" s="22">
        <v>4</v>
      </c>
      <c r="AO112" s="22">
        <v>2</v>
      </c>
      <c r="AP112" s="22">
        <v>4</v>
      </c>
      <c r="AQ112" s="22">
        <v>4</v>
      </c>
      <c r="AR112" s="22">
        <v>3</v>
      </c>
      <c r="AS112" s="22">
        <v>4</v>
      </c>
      <c r="AT112" s="22">
        <v>1</v>
      </c>
      <c r="AU112" s="22">
        <v>4</v>
      </c>
      <c r="AV112" s="22">
        <v>1</v>
      </c>
      <c r="AW112" s="22">
        <v>4</v>
      </c>
      <c r="AX112" s="22">
        <v>3</v>
      </c>
      <c r="AY112" s="22">
        <v>1</v>
      </c>
      <c r="AZ112" s="22">
        <v>4</v>
      </c>
      <c r="BA112" s="22">
        <v>3</v>
      </c>
      <c r="BB112" s="22">
        <v>3</v>
      </c>
      <c r="BC112" s="22">
        <v>4</v>
      </c>
      <c r="BD112" s="22">
        <v>1</v>
      </c>
      <c r="BE112" s="22">
        <v>4</v>
      </c>
      <c r="BF112" s="22">
        <v>5</v>
      </c>
      <c r="BG112" s="22">
        <v>2</v>
      </c>
      <c r="BH112" s="22">
        <v>4</v>
      </c>
      <c r="BI112" s="22">
        <v>2</v>
      </c>
      <c r="BJ112" s="22">
        <v>3</v>
      </c>
      <c r="BK112" s="22">
        <v>5</v>
      </c>
      <c r="BL112" s="22">
        <v>3</v>
      </c>
      <c r="BM112" s="22">
        <v>4</v>
      </c>
      <c r="BN112" s="22">
        <v>1</v>
      </c>
      <c r="BO112" s="22">
        <v>4</v>
      </c>
      <c r="BP112" s="22">
        <v>2</v>
      </c>
      <c r="BQ112" s="22">
        <v>4</v>
      </c>
      <c r="BR112" s="22">
        <v>4</v>
      </c>
      <c r="BS112" s="22">
        <v>2</v>
      </c>
      <c r="BT112" s="22">
        <v>1</v>
      </c>
      <c r="BU112" s="22">
        <v>4</v>
      </c>
      <c r="BV112" s="22">
        <v>4</v>
      </c>
      <c r="BW112" s="22">
        <v>4</v>
      </c>
      <c r="BY112" s="24" t="s">
        <v>34</v>
      </c>
      <c r="BZ112" s="24" t="s">
        <v>35</v>
      </c>
      <c r="CA112" s="24">
        <v>0</v>
      </c>
      <c r="CB112" s="24" t="s">
        <v>36</v>
      </c>
      <c r="CC112" s="24" t="s">
        <v>65</v>
      </c>
      <c r="CF112" s="24">
        <v>0</v>
      </c>
      <c r="CG112" s="24">
        <v>2</v>
      </c>
      <c r="CH112" s="24" t="s">
        <v>37</v>
      </c>
      <c r="CK112" s="24" t="s">
        <v>38</v>
      </c>
      <c r="CL112" s="24">
        <v>1</v>
      </c>
      <c r="CM112" s="24" t="s">
        <v>45</v>
      </c>
    </row>
    <row r="113" spans="1:91" ht="14" customHeight="1" x14ac:dyDescent="0.35">
      <c r="A113" t="s">
        <v>877</v>
      </c>
      <c r="B113" t="str">
        <f t="shared" si="2"/>
        <v>p111</v>
      </c>
      <c r="D113" s="38">
        <v>46002.787719907406</v>
      </c>
      <c r="E113" s="24" t="s">
        <v>911</v>
      </c>
      <c r="F113" s="24">
        <v>100</v>
      </c>
      <c r="G113" s="24">
        <v>502</v>
      </c>
      <c r="H113" s="24" t="b">
        <v>1</v>
      </c>
      <c r="I113" s="38">
        <v>46002.787731481483</v>
      </c>
      <c r="J113" s="24" t="s">
        <v>912</v>
      </c>
      <c r="N113" s="24" t="s">
        <v>806</v>
      </c>
      <c r="O113" s="24" t="s">
        <v>807</v>
      </c>
      <c r="P113" s="22">
        <v>5</v>
      </c>
      <c r="Q113" s="22">
        <v>5</v>
      </c>
      <c r="R113" s="22">
        <v>2</v>
      </c>
      <c r="S113" s="22">
        <v>4</v>
      </c>
      <c r="T113" s="22">
        <v>5</v>
      </c>
      <c r="U113" s="22">
        <v>5</v>
      </c>
      <c r="V113" s="22">
        <v>5</v>
      </c>
      <c r="W113" s="22">
        <v>1</v>
      </c>
      <c r="X113" s="22">
        <v>2</v>
      </c>
      <c r="Y113" s="22">
        <v>5</v>
      </c>
      <c r="Z113" s="22">
        <v>5</v>
      </c>
      <c r="AA113" s="22">
        <v>5</v>
      </c>
      <c r="AB113" s="22">
        <v>5</v>
      </c>
      <c r="AC113" s="22">
        <v>2</v>
      </c>
      <c r="AD113" s="22">
        <v>1</v>
      </c>
      <c r="AE113" s="22">
        <v>1</v>
      </c>
      <c r="AF113" s="22">
        <v>1</v>
      </c>
      <c r="AG113" s="22">
        <v>2</v>
      </c>
      <c r="AH113" s="22">
        <v>1</v>
      </c>
      <c r="AI113" s="22">
        <v>4</v>
      </c>
      <c r="AJ113" s="22">
        <v>1</v>
      </c>
      <c r="AK113" s="22">
        <v>4</v>
      </c>
      <c r="AL113" s="22">
        <v>2</v>
      </c>
      <c r="AM113" s="22">
        <v>1</v>
      </c>
      <c r="AN113" s="22">
        <v>5</v>
      </c>
      <c r="AO113" s="22">
        <v>5</v>
      </c>
      <c r="AP113" s="22">
        <v>4</v>
      </c>
      <c r="AQ113" s="22">
        <v>5</v>
      </c>
      <c r="AR113" s="22">
        <v>2</v>
      </c>
      <c r="AS113" s="22">
        <v>5</v>
      </c>
      <c r="AT113" s="22">
        <v>1</v>
      </c>
      <c r="AU113" s="22">
        <v>4</v>
      </c>
      <c r="AV113" s="22">
        <v>1</v>
      </c>
      <c r="AW113" s="22">
        <v>3</v>
      </c>
      <c r="AX113" s="22">
        <v>5</v>
      </c>
      <c r="AY113" s="22">
        <v>1</v>
      </c>
      <c r="AZ113" s="22">
        <v>5</v>
      </c>
      <c r="BA113" s="22">
        <v>5</v>
      </c>
      <c r="BB113" s="22">
        <v>3</v>
      </c>
      <c r="BC113" s="22">
        <v>4</v>
      </c>
      <c r="BD113" s="22">
        <v>1</v>
      </c>
      <c r="BE113" s="22">
        <v>5</v>
      </c>
      <c r="BF113" s="22">
        <v>5</v>
      </c>
      <c r="BG113" s="22">
        <v>3</v>
      </c>
      <c r="BH113" s="22">
        <v>5</v>
      </c>
      <c r="BI113" s="22">
        <v>1</v>
      </c>
      <c r="BJ113" s="22">
        <v>3</v>
      </c>
      <c r="BK113" s="22">
        <v>5</v>
      </c>
      <c r="BL113" s="22">
        <v>5</v>
      </c>
      <c r="BM113" s="22">
        <v>5</v>
      </c>
      <c r="BN113" s="22">
        <v>1</v>
      </c>
      <c r="BO113" s="22">
        <v>5</v>
      </c>
      <c r="BP113" s="22">
        <v>4</v>
      </c>
      <c r="BQ113" s="22">
        <v>5</v>
      </c>
      <c r="BR113" s="22">
        <v>5</v>
      </c>
      <c r="BS113" s="22">
        <v>1</v>
      </c>
      <c r="BT113" s="22">
        <v>1</v>
      </c>
      <c r="BU113" s="22">
        <v>4</v>
      </c>
      <c r="BV113" s="22">
        <v>5</v>
      </c>
      <c r="BW113" s="22">
        <v>5</v>
      </c>
      <c r="BY113" s="24" t="s">
        <v>34</v>
      </c>
      <c r="BZ113" s="24" t="s">
        <v>35</v>
      </c>
      <c r="CA113" s="24">
        <v>0</v>
      </c>
      <c r="CB113" s="24" t="s">
        <v>64</v>
      </c>
      <c r="CC113" s="24" t="s">
        <v>65</v>
      </c>
      <c r="CF113" s="24">
        <v>0</v>
      </c>
      <c r="CG113" s="24">
        <v>2</v>
      </c>
      <c r="CH113" s="24" t="s">
        <v>37</v>
      </c>
      <c r="CK113" s="24" t="s">
        <v>38</v>
      </c>
      <c r="CL113" s="24">
        <v>1</v>
      </c>
      <c r="CM113" s="24" t="s">
        <v>45</v>
      </c>
    </row>
    <row r="114" spans="1:91" ht="14" customHeight="1" x14ac:dyDescent="0.35">
      <c r="A114" t="s">
        <v>878</v>
      </c>
      <c r="B114" t="str">
        <f t="shared" si="2"/>
        <v>p112</v>
      </c>
      <c r="D114" s="38">
        <v>46002.787893518522</v>
      </c>
      <c r="E114" s="24" t="s">
        <v>913</v>
      </c>
      <c r="F114" s="24">
        <v>100</v>
      </c>
      <c r="G114" s="24">
        <v>436</v>
      </c>
      <c r="H114" s="24" t="b">
        <v>1</v>
      </c>
      <c r="I114" s="38">
        <v>46002.787893518522</v>
      </c>
      <c r="J114" s="24" t="s">
        <v>914</v>
      </c>
      <c r="N114" s="24" t="s">
        <v>808</v>
      </c>
      <c r="O114" s="24" t="s">
        <v>809</v>
      </c>
      <c r="P114" s="22">
        <v>5</v>
      </c>
      <c r="Q114" s="22">
        <v>5</v>
      </c>
      <c r="R114" s="22">
        <v>1</v>
      </c>
      <c r="S114" s="22">
        <v>2</v>
      </c>
      <c r="T114" s="22">
        <v>5</v>
      </c>
      <c r="U114" s="22">
        <v>5</v>
      </c>
      <c r="V114" s="22">
        <v>4</v>
      </c>
      <c r="W114" s="22">
        <v>1</v>
      </c>
      <c r="X114" s="22">
        <v>1</v>
      </c>
      <c r="Y114" s="22">
        <v>3</v>
      </c>
      <c r="Z114" s="22">
        <v>5</v>
      </c>
      <c r="AA114" s="22">
        <v>1</v>
      </c>
      <c r="AB114" s="22">
        <v>2</v>
      </c>
      <c r="AC114" s="22">
        <v>1</v>
      </c>
      <c r="AD114" s="22">
        <v>1</v>
      </c>
      <c r="AE114" s="22">
        <v>1</v>
      </c>
      <c r="AF114" s="22">
        <v>1</v>
      </c>
      <c r="AG114" s="22">
        <v>5</v>
      </c>
      <c r="AH114" s="22">
        <v>1</v>
      </c>
      <c r="AI114" s="22">
        <v>5</v>
      </c>
      <c r="AJ114" s="22">
        <v>1</v>
      </c>
      <c r="AK114" s="22">
        <v>4</v>
      </c>
      <c r="AL114" s="22">
        <v>1</v>
      </c>
      <c r="AM114" s="22">
        <v>1</v>
      </c>
      <c r="AN114" s="22">
        <v>5</v>
      </c>
      <c r="AO114" s="22">
        <v>1</v>
      </c>
      <c r="AP114" s="22">
        <v>5</v>
      </c>
      <c r="AQ114" s="22">
        <v>5</v>
      </c>
      <c r="AR114" s="22">
        <v>3</v>
      </c>
      <c r="AS114" s="22">
        <v>1</v>
      </c>
      <c r="AT114" s="22">
        <v>1</v>
      </c>
      <c r="AU114" s="22">
        <v>4</v>
      </c>
      <c r="AV114" s="22">
        <v>1</v>
      </c>
      <c r="AW114" s="22">
        <v>3</v>
      </c>
      <c r="AX114" s="22">
        <v>4</v>
      </c>
      <c r="AY114" s="22">
        <v>1</v>
      </c>
      <c r="AZ114" s="22">
        <v>1</v>
      </c>
      <c r="BA114" s="22">
        <v>5</v>
      </c>
      <c r="BB114" s="22">
        <v>2</v>
      </c>
      <c r="BC114" s="22">
        <v>1</v>
      </c>
      <c r="BD114" s="22">
        <v>1</v>
      </c>
      <c r="BE114" s="22">
        <v>4</v>
      </c>
      <c r="BF114" s="22">
        <v>5</v>
      </c>
      <c r="BG114" s="22">
        <v>2</v>
      </c>
      <c r="BH114" s="22">
        <v>5</v>
      </c>
      <c r="BI114" s="22">
        <v>1</v>
      </c>
      <c r="BJ114" s="22">
        <v>4</v>
      </c>
      <c r="BK114" s="22">
        <v>5</v>
      </c>
      <c r="BL114" s="22">
        <v>3</v>
      </c>
      <c r="BM114" s="22">
        <v>5</v>
      </c>
      <c r="BN114" s="22">
        <v>1</v>
      </c>
      <c r="BO114" s="22">
        <v>5</v>
      </c>
      <c r="BP114" s="22">
        <v>1</v>
      </c>
      <c r="BQ114" s="22">
        <v>4</v>
      </c>
      <c r="BR114" s="22">
        <v>5</v>
      </c>
      <c r="BS114" s="22">
        <v>3</v>
      </c>
      <c r="BT114" s="22">
        <v>4</v>
      </c>
      <c r="BU114" s="22">
        <v>4</v>
      </c>
      <c r="BV114" s="22">
        <v>5</v>
      </c>
      <c r="BW114" s="22">
        <v>5</v>
      </c>
      <c r="BY114" s="24" t="s">
        <v>34</v>
      </c>
      <c r="BZ114" s="24" t="s">
        <v>35</v>
      </c>
      <c r="CA114" s="24">
        <v>0</v>
      </c>
      <c r="CB114" s="24" t="s">
        <v>36</v>
      </c>
      <c r="CC114" s="24" t="s">
        <v>53</v>
      </c>
      <c r="CF114" s="24">
        <v>0</v>
      </c>
      <c r="CG114" s="24">
        <v>2</v>
      </c>
      <c r="CH114" s="24" t="s">
        <v>37</v>
      </c>
      <c r="CK114" s="24" t="s">
        <v>38</v>
      </c>
      <c r="CL114" s="24">
        <v>1</v>
      </c>
      <c r="CM114" s="24" t="s">
        <v>45</v>
      </c>
    </row>
    <row r="115" spans="1:91" ht="14" customHeight="1" x14ac:dyDescent="0.35">
      <c r="A115" t="s">
        <v>879</v>
      </c>
      <c r="B115" t="str">
        <f t="shared" si="2"/>
        <v>p113</v>
      </c>
      <c r="D115" s="38">
        <v>46002.788101851853</v>
      </c>
      <c r="E115" s="24" t="s">
        <v>915</v>
      </c>
      <c r="F115" s="24">
        <v>100</v>
      </c>
      <c r="G115" s="24">
        <v>448</v>
      </c>
      <c r="H115" s="24" t="b">
        <v>1</v>
      </c>
      <c r="I115" s="38">
        <v>46002.788113425922</v>
      </c>
      <c r="J115" s="24" t="s">
        <v>916</v>
      </c>
      <c r="N115" s="24" t="s">
        <v>810</v>
      </c>
      <c r="O115" s="24" t="s">
        <v>811</v>
      </c>
      <c r="P115" s="22">
        <v>5</v>
      </c>
      <c r="Q115" s="22">
        <v>4</v>
      </c>
      <c r="R115" s="22">
        <v>3</v>
      </c>
      <c r="S115" s="22">
        <v>5</v>
      </c>
      <c r="T115" s="22">
        <v>4</v>
      </c>
      <c r="U115" s="22">
        <v>5</v>
      </c>
      <c r="V115" s="22">
        <v>4</v>
      </c>
      <c r="W115" s="22">
        <v>2</v>
      </c>
      <c r="X115" s="22">
        <v>2</v>
      </c>
      <c r="Y115" s="22">
        <v>5</v>
      </c>
      <c r="Z115" s="22">
        <v>4</v>
      </c>
      <c r="AA115" s="22">
        <v>3</v>
      </c>
      <c r="AB115" s="22">
        <v>5</v>
      </c>
      <c r="AC115" s="22">
        <v>3</v>
      </c>
      <c r="AD115" s="22">
        <v>1</v>
      </c>
      <c r="AE115" s="22">
        <v>4</v>
      </c>
      <c r="AF115" s="22">
        <v>1</v>
      </c>
      <c r="AG115" s="22">
        <v>2</v>
      </c>
      <c r="AH115" s="22">
        <v>2</v>
      </c>
      <c r="AI115" s="22">
        <v>3</v>
      </c>
      <c r="AJ115" s="22">
        <v>2</v>
      </c>
      <c r="AK115" s="22">
        <v>5</v>
      </c>
      <c r="AL115" s="22">
        <v>4</v>
      </c>
      <c r="AM115" s="22">
        <v>2</v>
      </c>
      <c r="AN115" s="22">
        <v>4</v>
      </c>
      <c r="AO115" s="22">
        <v>1</v>
      </c>
      <c r="AP115" s="22">
        <v>5</v>
      </c>
      <c r="AQ115" s="22">
        <v>3</v>
      </c>
      <c r="AR115" s="22">
        <v>1</v>
      </c>
      <c r="AS115" s="22">
        <v>4</v>
      </c>
      <c r="AT115" s="22">
        <v>2</v>
      </c>
      <c r="AU115" s="22">
        <v>5</v>
      </c>
      <c r="AV115" s="22">
        <v>2</v>
      </c>
      <c r="AW115" s="22">
        <v>1</v>
      </c>
      <c r="AX115" s="22">
        <v>5</v>
      </c>
      <c r="AY115" s="22">
        <v>1</v>
      </c>
      <c r="AZ115" s="22">
        <v>2</v>
      </c>
      <c r="BA115" s="22">
        <v>3</v>
      </c>
      <c r="BB115" s="22">
        <v>4</v>
      </c>
      <c r="BC115" s="22">
        <v>4</v>
      </c>
      <c r="BD115" s="22">
        <v>2</v>
      </c>
      <c r="BE115" s="22">
        <v>3</v>
      </c>
      <c r="BF115" s="22">
        <v>3</v>
      </c>
      <c r="BG115" s="22">
        <v>3</v>
      </c>
      <c r="BH115" s="22">
        <v>4</v>
      </c>
      <c r="BI115" s="22">
        <v>2</v>
      </c>
      <c r="BJ115" s="22">
        <v>4</v>
      </c>
      <c r="BK115" s="22">
        <v>1</v>
      </c>
      <c r="BL115" s="22">
        <v>3</v>
      </c>
      <c r="BM115" s="22">
        <v>5</v>
      </c>
      <c r="BN115" s="22">
        <v>1</v>
      </c>
      <c r="BO115" s="22">
        <v>4</v>
      </c>
      <c r="BP115" s="22">
        <v>1</v>
      </c>
      <c r="BQ115" s="22">
        <v>4</v>
      </c>
      <c r="BR115" s="22">
        <v>4</v>
      </c>
      <c r="BS115" s="22">
        <v>1</v>
      </c>
      <c r="BT115" s="22">
        <v>2</v>
      </c>
      <c r="BU115" s="22">
        <v>1</v>
      </c>
      <c r="BV115" s="22">
        <v>4</v>
      </c>
      <c r="BW115" s="22">
        <v>5</v>
      </c>
      <c r="BY115" s="24" t="s">
        <v>34</v>
      </c>
      <c r="BZ115" s="24" t="s">
        <v>126</v>
      </c>
      <c r="CA115" s="24">
        <v>-1</v>
      </c>
      <c r="CB115" s="24" t="s">
        <v>36</v>
      </c>
      <c r="CC115" s="24" t="s">
        <v>51</v>
      </c>
      <c r="CF115" s="24">
        <v>0</v>
      </c>
      <c r="CG115" s="24">
        <v>2</v>
      </c>
      <c r="CH115" s="24" t="s">
        <v>37</v>
      </c>
      <c r="CK115" s="24" t="s">
        <v>38</v>
      </c>
      <c r="CL115" s="24">
        <v>1</v>
      </c>
      <c r="CM115" s="24" t="s">
        <v>45</v>
      </c>
    </row>
    <row r="116" spans="1:91" ht="14" customHeight="1" x14ac:dyDescent="0.35">
      <c r="A116" t="s">
        <v>880</v>
      </c>
      <c r="B116" t="str">
        <f t="shared" si="2"/>
        <v>p114</v>
      </c>
      <c r="D116" s="38">
        <v>46002.788252314815</v>
      </c>
      <c r="E116" s="24" t="s">
        <v>917</v>
      </c>
      <c r="F116" s="24">
        <v>100</v>
      </c>
      <c r="G116" s="24">
        <v>591</v>
      </c>
      <c r="H116" s="24" t="b">
        <v>1</v>
      </c>
      <c r="I116" s="38">
        <v>46002.788252314815</v>
      </c>
      <c r="J116" s="24" t="s">
        <v>918</v>
      </c>
      <c r="N116" s="24" t="s">
        <v>919</v>
      </c>
      <c r="O116" s="24" t="s">
        <v>920</v>
      </c>
      <c r="P116" s="22">
        <v>4</v>
      </c>
      <c r="Q116" s="22">
        <v>5</v>
      </c>
      <c r="R116" s="22">
        <v>4</v>
      </c>
      <c r="S116" s="22">
        <v>4</v>
      </c>
      <c r="T116" s="22">
        <v>5</v>
      </c>
      <c r="U116" s="22">
        <v>5</v>
      </c>
      <c r="V116" s="22">
        <v>5</v>
      </c>
      <c r="W116" s="22">
        <v>3</v>
      </c>
      <c r="X116" s="22">
        <v>5</v>
      </c>
      <c r="Y116" s="22">
        <v>5</v>
      </c>
      <c r="Z116" s="22">
        <v>4</v>
      </c>
      <c r="AA116" s="22">
        <v>5</v>
      </c>
      <c r="AB116" s="22">
        <v>4</v>
      </c>
      <c r="AC116" s="22">
        <v>2</v>
      </c>
      <c r="AD116" s="22">
        <v>1</v>
      </c>
      <c r="AE116" s="22">
        <v>2</v>
      </c>
      <c r="AF116" s="22">
        <v>1</v>
      </c>
      <c r="AG116" s="22">
        <v>1</v>
      </c>
      <c r="AH116" s="22">
        <v>2</v>
      </c>
      <c r="AI116" s="22">
        <v>3</v>
      </c>
      <c r="AJ116" s="22">
        <v>1</v>
      </c>
      <c r="AK116" s="22">
        <v>4</v>
      </c>
      <c r="AL116" s="22">
        <v>1</v>
      </c>
      <c r="AM116" s="22">
        <v>1</v>
      </c>
      <c r="AN116" s="22">
        <v>4</v>
      </c>
      <c r="AO116" s="22">
        <v>2</v>
      </c>
      <c r="AP116" s="22">
        <v>4</v>
      </c>
      <c r="AQ116" s="22">
        <v>4</v>
      </c>
      <c r="AR116" s="22">
        <v>2</v>
      </c>
      <c r="AS116" s="22">
        <v>5</v>
      </c>
      <c r="AT116" s="22">
        <v>1</v>
      </c>
      <c r="AU116" s="22">
        <v>2</v>
      </c>
      <c r="AV116" s="22">
        <v>1</v>
      </c>
      <c r="AW116" s="22">
        <v>1</v>
      </c>
      <c r="AX116" s="22">
        <v>4</v>
      </c>
      <c r="AY116" s="22">
        <v>1</v>
      </c>
      <c r="AZ116" s="22">
        <v>4</v>
      </c>
      <c r="BA116" s="22">
        <v>4</v>
      </c>
      <c r="BB116" s="22">
        <v>4</v>
      </c>
      <c r="BC116" s="22">
        <v>5</v>
      </c>
      <c r="BD116" s="22">
        <v>2</v>
      </c>
      <c r="BE116" s="22">
        <v>4</v>
      </c>
      <c r="BF116" s="22">
        <v>5</v>
      </c>
      <c r="BG116" s="22">
        <v>3</v>
      </c>
      <c r="BH116" s="22">
        <v>4</v>
      </c>
      <c r="BI116" s="22">
        <v>1</v>
      </c>
      <c r="BJ116" s="22">
        <v>4</v>
      </c>
      <c r="BK116" s="22">
        <v>5</v>
      </c>
      <c r="BL116" s="22">
        <v>5</v>
      </c>
      <c r="BM116" s="22">
        <v>5</v>
      </c>
      <c r="BN116" s="22">
        <v>2</v>
      </c>
      <c r="BO116" s="22">
        <v>2</v>
      </c>
      <c r="BP116" s="22">
        <v>3</v>
      </c>
      <c r="BQ116" s="22">
        <v>4</v>
      </c>
      <c r="BR116" s="22">
        <v>5</v>
      </c>
      <c r="BS116" s="22">
        <v>2</v>
      </c>
      <c r="BT116" s="22">
        <v>1</v>
      </c>
      <c r="BU116" s="22">
        <v>1</v>
      </c>
      <c r="BV116" s="22">
        <v>5</v>
      </c>
      <c r="BW116" s="22">
        <v>4</v>
      </c>
      <c r="BY116" s="24" t="s">
        <v>34</v>
      </c>
      <c r="BZ116" s="24" t="s">
        <v>35</v>
      </c>
      <c r="CA116" s="24">
        <v>0</v>
      </c>
      <c r="CB116" s="24" t="s">
        <v>36</v>
      </c>
      <c r="CC116" s="24" t="s">
        <v>51</v>
      </c>
      <c r="CF116" s="24">
        <v>0</v>
      </c>
      <c r="CG116" s="24">
        <v>2</v>
      </c>
      <c r="CH116" s="24" t="s">
        <v>37</v>
      </c>
      <c r="CK116" s="24" t="s">
        <v>38</v>
      </c>
      <c r="CL116" s="24">
        <v>1</v>
      </c>
      <c r="CM116" s="24" t="s">
        <v>45</v>
      </c>
    </row>
    <row r="117" spans="1:91" ht="14" customHeight="1" x14ac:dyDescent="0.35">
      <c r="A117" s="25" t="s">
        <v>881</v>
      </c>
      <c r="B117" t="str">
        <f t="shared" si="2"/>
        <v>p115</v>
      </c>
      <c r="D117" s="38">
        <v>46002.788437499999</v>
      </c>
      <c r="E117" s="24" t="s">
        <v>921</v>
      </c>
      <c r="F117" s="24">
        <v>100</v>
      </c>
      <c r="G117" s="24">
        <v>613</v>
      </c>
      <c r="H117" s="24" t="b">
        <v>1</v>
      </c>
      <c r="I117" s="38">
        <v>46002.788437499999</v>
      </c>
      <c r="J117" s="24" t="s">
        <v>922</v>
      </c>
      <c r="N117" s="24" t="s">
        <v>814</v>
      </c>
      <c r="O117" s="24" t="s">
        <v>815</v>
      </c>
      <c r="P117" s="22">
        <v>4</v>
      </c>
      <c r="Q117" s="22">
        <v>4</v>
      </c>
      <c r="R117" s="22">
        <v>1</v>
      </c>
      <c r="S117" s="22">
        <v>4</v>
      </c>
      <c r="T117" s="22">
        <v>3</v>
      </c>
      <c r="U117" s="22">
        <v>3</v>
      </c>
      <c r="V117" s="22">
        <v>5</v>
      </c>
      <c r="W117" s="22">
        <v>1</v>
      </c>
      <c r="X117" s="22">
        <v>3</v>
      </c>
      <c r="Y117" s="22">
        <v>3</v>
      </c>
      <c r="Z117" s="22">
        <v>3</v>
      </c>
      <c r="AA117" s="22">
        <v>2</v>
      </c>
      <c r="AB117" s="22">
        <v>5</v>
      </c>
      <c r="AC117" s="22">
        <v>2</v>
      </c>
      <c r="AD117" s="22">
        <v>1</v>
      </c>
      <c r="AE117" s="22">
        <v>1</v>
      </c>
      <c r="AF117" s="22">
        <v>1</v>
      </c>
      <c r="AG117" s="22">
        <v>3</v>
      </c>
      <c r="AH117" s="22">
        <v>1</v>
      </c>
      <c r="AI117" s="22">
        <v>4</v>
      </c>
      <c r="AJ117" s="22">
        <v>1</v>
      </c>
      <c r="AK117" s="22">
        <v>4</v>
      </c>
      <c r="AL117" s="22">
        <v>2</v>
      </c>
      <c r="AM117" s="22">
        <v>1</v>
      </c>
      <c r="AN117" s="22">
        <v>5</v>
      </c>
      <c r="AO117" s="22">
        <v>3</v>
      </c>
      <c r="AP117" s="22">
        <v>4</v>
      </c>
      <c r="AQ117" s="22">
        <v>3</v>
      </c>
      <c r="AR117" s="22">
        <v>2</v>
      </c>
      <c r="AS117" s="22">
        <v>4</v>
      </c>
      <c r="AT117" s="22">
        <v>1</v>
      </c>
      <c r="AU117" s="22">
        <v>5</v>
      </c>
      <c r="AV117" s="22">
        <v>1</v>
      </c>
      <c r="AW117" s="22">
        <v>4</v>
      </c>
      <c r="AX117" s="22">
        <v>5</v>
      </c>
      <c r="AY117" s="22">
        <v>2</v>
      </c>
      <c r="AZ117" s="22">
        <v>4</v>
      </c>
      <c r="BA117" s="22">
        <v>5</v>
      </c>
      <c r="BB117" s="22">
        <v>4</v>
      </c>
      <c r="BC117" s="22">
        <v>3</v>
      </c>
      <c r="BD117" s="22">
        <v>1</v>
      </c>
      <c r="BE117" s="22">
        <v>4</v>
      </c>
      <c r="BF117" s="22">
        <v>5</v>
      </c>
      <c r="BG117" s="22">
        <v>4</v>
      </c>
      <c r="BH117" s="22">
        <v>4</v>
      </c>
      <c r="BI117" s="22">
        <v>2</v>
      </c>
      <c r="BJ117" s="22">
        <v>2</v>
      </c>
      <c r="BK117" s="22">
        <v>4</v>
      </c>
      <c r="BL117" s="22">
        <v>4</v>
      </c>
      <c r="BM117" s="22">
        <v>3</v>
      </c>
      <c r="BN117" s="22">
        <v>3</v>
      </c>
      <c r="BO117" s="22">
        <v>5</v>
      </c>
      <c r="BP117" s="22">
        <v>4</v>
      </c>
      <c r="BQ117" s="22">
        <v>4</v>
      </c>
      <c r="BR117" s="22">
        <v>4</v>
      </c>
      <c r="BS117" s="22">
        <v>3</v>
      </c>
      <c r="BT117" s="22">
        <v>3</v>
      </c>
      <c r="BU117" s="22">
        <v>2</v>
      </c>
      <c r="BV117" s="22">
        <v>4</v>
      </c>
      <c r="BW117" s="22">
        <v>3</v>
      </c>
      <c r="BY117" s="24" t="s">
        <v>34</v>
      </c>
      <c r="BZ117" s="24" t="s">
        <v>35</v>
      </c>
      <c r="CA117" s="24">
        <v>0</v>
      </c>
      <c r="CB117" s="24" t="s">
        <v>36</v>
      </c>
      <c r="CC117" s="24" t="s">
        <v>53</v>
      </c>
      <c r="CF117" s="24">
        <v>0</v>
      </c>
      <c r="CG117" s="24">
        <v>2</v>
      </c>
      <c r="CH117" s="24" t="s">
        <v>37</v>
      </c>
      <c r="CK117" s="24" t="s">
        <v>38</v>
      </c>
      <c r="CL117" s="24">
        <v>1</v>
      </c>
      <c r="CM117" s="24" t="s">
        <v>45</v>
      </c>
    </row>
    <row r="118" spans="1:91" ht="14" customHeight="1" x14ac:dyDescent="0.35">
      <c r="A118" t="s">
        <v>882</v>
      </c>
      <c r="B118" t="str">
        <f t="shared" si="2"/>
        <v>p116</v>
      </c>
      <c r="D118" s="38">
        <v>46002.788946759261</v>
      </c>
      <c r="E118" s="24" t="s">
        <v>923</v>
      </c>
      <c r="F118" s="24">
        <v>100</v>
      </c>
      <c r="G118" s="24">
        <v>304</v>
      </c>
      <c r="H118" s="24" t="b">
        <v>1</v>
      </c>
      <c r="I118" s="38">
        <v>46002.788958333331</v>
      </c>
      <c r="J118" s="24" t="s">
        <v>924</v>
      </c>
      <c r="N118" s="24" t="s">
        <v>816</v>
      </c>
      <c r="O118" s="24" t="s">
        <v>817</v>
      </c>
      <c r="P118" s="22">
        <v>4</v>
      </c>
      <c r="Q118" s="22">
        <v>4</v>
      </c>
      <c r="R118" s="22">
        <v>4</v>
      </c>
      <c r="S118" s="22">
        <v>5</v>
      </c>
      <c r="T118" s="22">
        <v>4</v>
      </c>
      <c r="U118" s="22">
        <v>2</v>
      </c>
      <c r="V118" s="22">
        <v>3</v>
      </c>
      <c r="W118" s="22">
        <v>2</v>
      </c>
      <c r="X118" s="22">
        <v>1</v>
      </c>
      <c r="Y118" s="22">
        <v>3</v>
      </c>
      <c r="Z118" s="22">
        <v>1</v>
      </c>
      <c r="AA118" s="22">
        <v>2</v>
      </c>
      <c r="AB118" s="22">
        <v>4</v>
      </c>
      <c r="AC118" s="22">
        <v>2</v>
      </c>
      <c r="AD118" s="22">
        <v>2</v>
      </c>
      <c r="AE118" s="22">
        <v>1</v>
      </c>
      <c r="AF118" s="22">
        <v>2</v>
      </c>
      <c r="AG118" s="22">
        <v>1</v>
      </c>
      <c r="AH118" s="22">
        <v>1</v>
      </c>
      <c r="AI118" s="22">
        <v>4</v>
      </c>
      <c r="AJ118" s="22">
        <v>1</v>
      </c>
      <c r="AK118" s="22">
        <v>5</v>
      </c>
      <c r="AL118" s="22">
        <v>4</v>
      </c>
      <c r="AM118" s="22">
        <v>1</v>
      </c>
      <c r="AN118" s="22">
        <v>5</v>
      </c>
      <c r="AO118" s="22">
        <v>1</v>
      </c>
      <c r="AP118" s="22">
        <v>3</v>
      </c>
      <c r="AQ118" s="22">
        <v>4</v>
      </c>
      <c r="AR118" s="22">
        <v>1</v>
      </c>
      <c r="AS118" s="22">
        <v>4</v>
      </c>
      <c r="AT118" s="22">
        <v>1</v>
      </c>
      <c r="AU118" s="22">
        <v>5</v>
      </c>
      <c r="AV118" s="22">
        <v>3</v>
      </c>
      <c r="AW118" s="22">
        <v>2</v>
      </c>
      <c r="AX118" s="22">
        <v>1</v>
      </c>
      <c r="AY118" s="22">
        <v>1</v>
      </c>
      <c r="AZ118" s="22">
        <v>2</v>
      </c>
      <c r="BA118" s="22">
        <v>5</v>
      </c>
      <c r="BB118" s="22">
        <v>3</v>
      </c>
      <c r="BC118" s="22">
        <v>4</v>
      </c>
      <c r="BD118" s="22">
        <v>4</v>
      </c>
      <c r="BE118" s="22">
        <v>3</v>
      </c>
      <c r="BF118" s="22">
        <v>3</v>
      </c>
      <c r="BG118" s="22">
        <v>5</v>
      </c>
      <c r="BH118" s="22">
        <v>3</v>
      </c>
      <c r="BI118" s="22">
        <v>3</v>
      </c>
      <c r="BJ118" s="22">
        <v>5</v>
      </c>
      <c r="BK118" s="22">
        <v>4</v>
      </c>
      <c r="BL118" s="22">
        <v>2</v>
      </c>
      <c r="BM118" s="22">
        <v>5</v>
      </c>
      <c r="BN118" s="22">
        <v>1</v>
      </c>
      <c r="BO118" s="22">
        <v>3</v>
      </c>
      <c r="BP118" s="22">
        <v>1</v>
      </c>
      <c r="BQ118" s="22">
        <v>1</v>
      </c>
      <c r="BR118" s="22">
        <v>3</v>
      </c>
      <c r="BS118" s="22">
        <v>1</v>
      </c>
      <c r="BT118" s="22">
        <v>4</v>
      </c>
      <c r="BU118" s="22">
        <v>1</v>
      </c>
      <c r="BV118" s="22">
        <v>5</v>
      </c>
      <c r="BW118" s="22">
        <v>4</v>
      </c>
      <c r="BY118" s="24" t="s">
        <v>34</v>
      </c>
      <c r="BZ118" s="24" t="s">
        <v>35</v>
      </c>
      <c r="CA118" s="24">
        <v>0</v>
      </c>
      <c r="CB118" s="24" t="s">
        <v>36</v>
      </c>
      <c r="CC118" s="24" t="s">
        <v>53</v>
      </c>
      <c r="CF118" s="24">
        <v>0</v>
      </c>
      <c r="CG118" s="24">
        <v>2</v>
      </c>
      <c r="CH118" s="24" t="s">
        <v>37</v>
      </c>
      <c r="CK118" s="24" t="s">
        <v>38</v>
      </c>
      <c r="CL118" s="24">
        <v>1</v>
      </c>
      <c r="CM118" s="24" t="s">
        <v>45</v>
      </c>
    </row>
    <row r="119" spans="1:91" ht="14" customHeight="1" x14ac:dyDescent="0.35">
      <c r="A119" t="s">
        <v>883</v>
      </c>
      <c r="B119" t="str">
        <f t="shared" si="2"/>
        <v>p117</v>
      </c>
      <c r="D119" s="38">
        <v>46002.789560185185</v>
      </c>
      <c r="E119" s="24" t="s">
        <v>925</v>
      </c>
      <c r="F119" s="24">
        <v>100</v>
      </c>
      <c r="G119" s="24">
        <v>675</v>
      </c>
      <c r="H119" s="24" t="b">
        <v>1</v>
      </c>
      <c r="I119" s="38">
        <v>46002.789571759262</v>
      </c>
      <c r="J119" s="24" t="s">
        <v>926</v>
      </c>
      <c r="N119" s="24" t="s">
        <v>818</v>
      </c>
      <c r="O119" s="24" t="s">
        <v>819</v>
      </c>
      <c r="P119" s="22">
        <v>3</v>
      </c>
      <c r="Q119" s="22">
        <v>4</v>
      </c>
      <c r="R119" s="22">
        <v>3</v>
      </c>
      <c r="S119" s="22">
        <v>2</v>
      </c>
      <c r="T119" s="22">
        <v>4</v>
      </c>
      <c r="U119" s="22">
        <v>5</v>
      </c>
      <c r="V119" s="22">
        <v>1</v>
      </c>
      <c r="W119" s="22">
        <v>1</v>
      </c>
      <c r="X119" s="22">
        <v>2</v>
      </c>
      <c r="Y119" s="22">
        <v>4</v>
      </c>
      <c r="Z119" s="22">
        <v>3</v>
      </c>
      <c r="AA119" s="22">
        <v>2</v>
      </c>
      <c r="AB119" s="22">
        <v>2</v>
      </c>
      <c r="AC119" s="22">
        <v>4</v>
      </c>
      <c r="AD119" s="22">
        <v>1</v>
      </c>
      <c r="AE119" s="22">
        <v>1</v>
      </c>
      <c r="AF119" s="22">
        <v>2</v>
      </c>
      <c r="AG119" s="22">
        <v>3</v>
      </c>
      <c r="AH119" s="22">
        <v>2</v>
      </c>
      <c r="AI119" s="22">
        <v>2</v>
      </c>
      <c r="AJ119" s="22">
        <v>1</v>
      </c>
      <c r="AK119" s="22">
        <v>3</v>
      </c>
      <c r="AL119" s="22">
        <v>3</v>
      </c>
      <c r="AM119" s="22">
        <v>2</v>
      </c>
      <c r="AN119" s="22">
        <v>4</v>
      </c>
      <c r="AO119" s="22">
        <v>3</v>
      </c>
      <c r="AP119" s="22">
        <v>4</v>
      </c>
      <c r="AQ119" s="22">
        <v>3</v>
      </c>
      <c r="AR119" s="22">
        <v>4</v>
      </c>
      <c r="AS119" s="22">
        <v>3</v>
      </c>
      <c r="AT119" s="22">
        <v>3</v>
      </c>
      <c r="AU119" s="22">
        <v>4</v>
      </c>
      <c r="AV119" s="22">
        <v>2</v>
      </c>
      <c r="AW119" s="22">
        <v>2</v>
      </c>
      <c r="AX119" s="22">
        <v>3</v>
      </c>
      <c r="AY119" s="22">
        <v>3</v>
      </c>
      <c r="AZ119" s="22">
        <v>4</v>
      </c>
      <c r="BA119" s="22">
        <v>5</v>
      </c>
      <c r="BB119" s="22">
        <v>1</v>
      </c>
      <c r="BC119" s="22">
        <v>1</v>
      </c>
      <c r="BD119" s="22">
        <v>2</v>
      </c>
      <c r="BE119" s="22">
        <v>3</v>
      </c>
      <c r="BF119" s="22">
        <v>2</v>
      </c>
      <c r="BG119" s="22">
        <v>2</v>
      </c>
      <c r="BH119" s="22">
        <v>3</v>
      </c>
      <c r="BI119" s="22">
        <v>3</v>
      </c>
      <c r="BJ119" s="22">
        <v>3</v>
      </c>
      <c r="BK119" s="22">
        <v>2</v>
      </c>
      <c r="BL119" s="22">
        <v>3</v>
      </c>
      <c r="BM119" s="22">
        <v>4</v>
      </c>
      <c r="BN119" s="22">
        <v>2</v>
      </c>
      <c r="BO119" s="22">
        <v>4</v>
      </c>
      <c r="BP119" s="22">
        <v>2</v>
      </c>
      <c r="BQ119" s="22">
        <v>1</v>
      </c>
      <c r="BR119" s="22">
        <v>4</v>
      </c>
      <c r="BS119" s="22">
        <v>1</v>
      </c>
      <c r="BT119" s="22">
        <v>4</v>
      </c>
      <c r="BU119" s="22">
        <v>2</v>
      </c>
      <c r="BV119" s="22">
        <v>4</v>
      </c>
      <c r="BW119" s="22">
        <v>5</v>
      </c>
      <c r="BY119" s="24" t="s">
        <v>34</v>
      </c>
      <c r="BZ119" s="24" t="s">
        <v>35</v>
      </c>
      <c r="CA119" s="24">
        <v>0</v>
      </c>
      <c r="CB119" s="24" t="s">
        <v>36</v>
      </c>
      <c r="CC119" s="24" t="s">
        <v>51</v>
      </c>
      <c r="CF119" s="24">
        <v>0</v>
      </c>
      <c r="CG119" s="24">
        <v>2</v>
      </c>
      <c r="CH119" s="24" t="s">
        <v>37</v>
      </c>
      <c r="CK119" s="24" t="s">
        <v>38</v>
      </c>
      <c r="CL119" s="24">
        <v>1</v>
      </c>
      <c r="CM119" s="24" t="s">
        <v>45</v>
      </c>
    </row>
    <row r="120" spans="1:91" ht="14" customHeight="1" x14ac:dyDescent="0.35">
      <c r="A120" t="s">
        <v>884</v>
      </c>
      <c r="B120" t="str">
        <f t="shared" si="2"/>
        <v>p118</v>
      </c>
      <c r="D120" s="38">
        <v>46002.789895833332</v>
      </c>
      <c r="E120" s="24" t="s">
        <v>927</v>
      </c>
      <c r="F120" s="24">
        <v>100</v>
      </c>
      <c r="G120" s="24">
        <v>634</v>
      </c>
      <c r="H120" s="24" t="b">
        <v>1</v>
      </c>
      <c r="I120" s="38">
        <v>46002.789895833332</v>
      </c>
      <c r="J120" s="24" t="s">
        <v>928</v>
      </c>
      <c r="N120" s="24" t="s">
        <v>820</v>
      </c>
      <c r="O120" s="24" t="s">
        <v>821</v>
      </c>
      <c r="P120" s="22">
        <v>5</v>
      </c>
      <c r="Q120" s="22">
        <v>3</v>
      </c>
      <c r="R120" s="22">
        <v>1</v>
      </c>
      <c r="S120" s="22">
        <v>4</v>
      </c>
      <c r="T120" s="22">
        <v>3</v>
      </c>
      <c r="U120" s="22">
        <v>3</v>
      </c>
      <c r="V120" s="22">
        <v>2</v>
      </c>
      <c r="W120" s="22">
        <v>1</v>
      </c>
      <c r="X120" s="22">
        <v>1</v>
      </c>
      <c r="Y120" s="22">
        <v>5</v>
      </c>
      <c r="Z120" s="22">
        <v>4</v>
      </c>
      <c r="AA120" s="22">
        <v>4</v>
      </c>
      <c r="AB120" s="22">
        <v>4</v>
      </c>
      <c r="AC120" s="22">
        <v>3</v>
      </c>
      <c r="AD120" s="22">
        <v>1</v>
      </c>
      <c r="AE120" s="22">
        <v>2</v>
      </c>
      <c r="AF120" s="22">
        <v>2</v>
      </c>
      <c r="AG120" s="22">
        <v>4</v>
      </c>
      <c r="AH120" s="22">
        <v>2</v>
      </c>
      <c r="AI120" s="22">
        <v>4</v>
      </c>
      <c r="AJ120" s="22">
        <v>3</v>
      </c>
      <c r="AK120" s="22">
        <v>4</v>
      </c>
      <c r="AL120" s="22">
        <v>2</v>
      </c>
      <c r="AM120" s="22">
        <v>2</v>
      </c>
      <c r="AN120" s="22">
        <v>4</v>
      </c>
      <c r="AO120" s="22">
        <v>2</v>
      </c>
      <c r="AP120" s="22">
        <v>4</v>
      </c>
      <c r="AQ120" s="22">
        <v>3</v>
      </c>
      <c r="AR120" s="22">
        <v>4</v>
      </c>
      <c r="AS120" s="22">
        <v>5</v>
      </c>
      <c r="AT120" s="22">
        <v>2</v>
      </c>
      <c r="AU120" s="22">
        <v>3</v>
      </c>
      <c r="AV120" s="22">
        <v>2</v>
      </c>
      <c r="AW120" s="22">
        <v>4</v>
      </c>
      <c r="AX120" s="22">
        <v>3</v>
      </c>
      <c r="AY120" s="22">
        <v>2</v>
      </c>
      <c r="AZ120" s="22">
        <v>2</v>
      </c>
      <c r="BA120" s="22">
        <v>3</v>
      </c>
      <c r="BB120" s="22">
        <v>3</v>
      </c>
      <c r="BC120" s="22">
        <v>2</v>
      </c>
      <c r="BD120" s="22">
        <v>2</v>
      </c>
      <c r="BE120" s="22">
        <v>3</v>
      </c>
      <c r="BF120" s="22">
        <v>3</v>
      </c>
      <c r="BG120" s="22">
        <v>4</v>
      </c>
      <c r="BH120" s="22">
        <v>4</v>
      </c>
      <c r="BI120" s="22">
        <v>3</v>
      </c>
      <c r="BJ120" s="22">
        <v>3</v>
      </c>
      <c r="BK120" s="22">
        <v>3</v>
      </c>
      <c r="BL120" s="22">
        <v>4</v>
      </c>
      <c r="BM120" s="22">
        <v>3</v>
      </c>
      <c r="BN120" s="22">
        <v>2</v>
      </c>
      <c r="BO120" s="22">
        <v>4</v>
      </c>
      <c r="BP120" s="22">
        <v>1</v>
      </c>
      <c r="BQ120" s="22">
        <v>3</v>
      </c>
      <c r="BR120" s="22">
        <v>4</v>
      </c>
      <c r="BS120" s="22">
        <v>3</v>
      </c>
      <c r="BT120" s="22">
        <v>2</v>
      </c>
      <c r="BU120" s="22">
        <v>4</v>
      </c>
      <c r="BV120" s="22">
        <v>3</v>
      </c>
      <c r="BW120" s="22">
        <v>5</v>
      </c>
      <c r="BY120" s="24" t="s">
        <v>34</v>
      </c>
      <c r="BZ120" s="24" t="s">
        <v>35</v>
      </c>
      <c r="CA120" s="24">
        <v>0</v>
      </c>
      <c r="CB120" s="24" t="s">
        <v>36</v>
      </c>
      <c r="CC120" s="24" t="s">
        <v>65</v>
      </c>
      <c r="CF120" s="24">
        <v>0</v>
      </c>
      <c r="CG120" s="24">
        <v>2</v>
      </c>
      <c r="CH120" s="24" t="s">
        <v>37</v>
      </c>
      <c r="CK120" s="24" t="s">
        <v>38</v>
      </c>
      <c r="CL120" s="24">
        <v>1</v>
      </c>
      <c r="CM120" s="24" t="s">
        <v>45</v>
      </c>
    </row>
    <row r="121" spans="1:91" ht="14" customHeight="1" x14ac:dyDescent="0.35">
      <c r="A121" t="s">
        <v>885</v>
      </c>
      <c r="B121" t="str">
        <f t="shared" si="2"/>
        <v>p119</v>
      </c>
      <c r="D121" s="38">
        <v>46002.790497685186</v>
      </c>
      <c r="E121" s="24" t="s">
        <v>929</v>
      </c>
      <c r="F121" s="24">
        <v>100</v>
      </c>
      <c r="G121" s="24">
        <v>442</v>
      </c>
      <c r="H121" s="24" t="b">
        <v>1</v>
      </c>
      <c r="I121" s="38">
        <v>46002.790497685186</v>
      </c>
      <c r="J121" s="24" t="s">
        <v>930</v>
      </c>
      <c r="N121" s="24" t="s">
        <v>822</v>
      </c>
      <c r="O121" s="24" t="s">
        <v>823</v>
      </c>
      <c r="P121" s="22">
        <v>3</v>
      </c>
      <c r="Q121" s="22">
        <v>5</v>
      </c>
      <c r="R121" s="22">
        <v>3</v>
      </c>
      <c r="S121" s="22">
        <v>4</v>
      </c>
      <c r="T121" s="22">
        <v>4</v>
      </c>
      <c r="U121" s="22">
        <v>4</v>
      </c>
      <c r="V121" s="22">
        <v>2</v>
      </c>
      <c r="W121" s="22">
        <v>3</v>
      </c>
      <c r="X121" s="22">
        <v>1</v>
      </c>
      <c r="Y121" s="22">
        <v>4</v>
      </c>
      <c r="Z121" s="22">
        <v>2</v>
      </c>
      <c r="AA121" s="22">
        <v>2</v>
      </c>
      <c r="AB121" s="22">
        <v>2</v>
      </c>
      <c r="AC121" s="22">
        <v>3</v>
      </c>
      <c r="AD121" s="22">
        <v>1</v>
      </c>
      <c r="AE121" s="22">
        <v>4</v>
      </c>
      <c r="AF121" s="22">
        <v>3</v>
      </c>
      <c r="AG121" s="22">
        <v>5</v>
      </c>
      <c r="AH121" s="22">
        <v>3</v>
      </c>
      <c r="AI121" s="22">
        <v>3</v>
      </c>
      <c r="AJ121" s="22">
        <v>1</v>
      </c>
      <c r="AK121" s="22">
        <v>5</v>
      </c>
      <c r="AL121" s="22">
        <v>2</v>
      </c>
      <c r="AM121" s="22">
        <v>2</v>
      </c>
      <c r="AN121" s="22">
        <v>4</v>
      </c>
      <c r="AO121" s="22">
        <v>1</v>
      </c>
      <c r="AP121" s="22">
        <v>4</v>
      </c>
      <c r="AQ121" s="22">
        <v>3</v>
      </c>
      <c r="AR121" s="22">
        <v>4</v>
      </c>
      <c r="AS121" s="22">
        <v>5</v>
      </c>
      <c r="AT121" s="22">
        <v>2</v>
      </c>
      <c r="AU121" s="22">
        <v>5</v>
      </c>
      <c r="AV121" s="22">
        <v>3</v>
      </c>
      <c r="AW121" s="22">
        <v>4</v>
      </c>
      <c r="AX121" s="22">
        <v>3</v>
      </c>
      <c r="AY121" s="22">
        <v>2</v>
      </c>
      <c r="AZ121" s="22">
        <v>4</v>
      </c>
      <c r="BA121" s="22">
        <v>4</v>
      </c>
      <c r="BB121" s="22">
        <v>1</v>
      </c>
      <c r="BC121" s="22">
        <v>3</v>
      </c>
      <c r="BD121" s="22">
        <v>3</v>
      </c>
      <c r="BE121" s="22">
        <v>4</v>
      </c>
      <c r="BF121" s="22">
        <v>3</v>
      </c>
      <c r="BG121" s="22">
        <v>2</v>
      </c>
      <c r="BH121" s="22">
        <v>5</v>
      </c>
      <c r="BI121" s="22">
        <v>3</v>
      </c>
      <c r="BJ121" s="22">
        <v>3</v>
      </c>
      <c r="BK121" s="22">
        <v>4</v>
      </c>
      <c r="BL121" s="22">
        <v>3</v>
      </c>
      <c r="BM121" s="22">
        <v>5</v>
      </c>
      <c r="BN121" s="22">
        <v>3</v>
      </c>
      <c r="BO121" s="22">
        <v>4</v>
      </c>
      <c r="BP121" s="22">
        <v>1</v>
      </c>
      <c r="BQ121" s="22">
        <v>3</v>
      </c>
      <c r="BR121" s="22">
        <v>4</v>
      </c>
      <c r="BS121" s="22">
        <v>1</v>
      </c>
      <c r="BT121" s="22">
        <v>2</v>
      </c>
      <c r="BU121" s="22">
        <v>3</v>
      </c>
      <c r="BV121" s="22">
        <v>4</v>
      </c>
      <c r="BW121" s="22">
        <v>5</v>
      </c>
      <c r="BY121" s="24" t="s">
        <v>34</v>
      </c>
      <c r="BZ121" s="24" t="s">
        <v>109</v>
      </c>
      <c r="CA121" s="24">
        <v>1</v>
      </c>
      <c r="CB121" s="24" t="s">
        <v>36</v>
      </c>
      <c r="CC121" s="24" t="s">
        <v>51</v>
      </c>
      <c r="CF121" s="24">
        <v>0</v>
      </c>
      <c r="CG121" s="24">
        <v>2</v>
      </c>
      <c r="CH121" s="24" t="s">
        <v>37</v>
      </c>
      <c r="CK121" s="24" t="s">
        <v>38</v>
      </c>
      <c r="CL121" s="24">
        <v>1</v>
      </c>
      <c r="CM121" s="24" t="s">
        <v>45</v>
      </c>
    </row>
    <row r="122" spans="1:91" ht="14" customHeight="1" x14ac:dyDescent="0.35">
      <c r="A122" t="s">
        <v>886</v>
      </c>
      <c r="B122" t="str">
        <f t="shared" si="2"/>
        <v>p120</v>
      </c>
      <c r="D122" s="38">
        <v>46002.790833333333</v>
      </c>
      <c r="E122" s="24" t="s">
        <v>931</v>
      </c>
      <c r="F122" s="24">
        <v>100</v>
      </c>
      <c r="G122" s="24">
        <v>687</v>
      </c>
      <c r="H122" s="24" t="b">
        <v>1</v>
      </c>
      <c r="I122" s="38">
        <v>46002.790833333333</v>
      </c>
      <c r="J122" s="24" t="s">
        <v>932</v>
      </c>
      <c r="N122" s="24" t="s">
        <v>824</v>
      </c>
      <c r="O122" s="24" t="s">
        <v>825</v>
      </c>
      <c r="P122" s="22">
        <v>4</v>
      </c>
      <c r="Q122" s="22">
        <v>5</v>
      </c>
      <c r="R122" s="22">
        <v>4</v>
      </c>
      <c r="S122" s="22">
        <v>3</v>
      </c>
      <c r="T122" s="22">
        <v>4</v>
      </c>
      <c r="U122" s="22">
        <v>3</v>
      </c>
      <c r="V122" s="22">
        <v>2</v>
      </c>
      <c r="W122" s="22">
        <v>2</v>
      </c>
      <c r="X122" s="22">
        <v>2</v>
      </c>
      <c r="Y122" s="22">
        <v>4</v>
      </c>
      <c r="Z122" s="22">
        <v>3</v>
      </c>
      <c r="AA122" s="22">
        <v>3</v>
      </c>
      <c r="AB122" s="22">
        <v>2</v>
      </c>
      <c r="AC122" s="22">
        <v>3</v>
      </c>
      <c r="AD122" s="22">
        <v>2</v>
      </c>
      <c r="AE122" s="22">
        <v>3</v>
      </c>
      <c r="AF122" s="22">
        <v>4</v>
      </c>
      <c r="AG122" s="22">
        <v>5</v>
      </c>
      <c r="AH122" s="22">
        <v>4</v>
      </c>
      <c r="AI122" s="22">
        <v>3</v>
      </c>
      <c r="AJ122" s="22">
        <v>2</v>
      </c>
      <c r="AK122" s="22">
        <v>3</v>
      </c>
      <c r="AL122" s="22">
        <v>2</v>
      </c>
      <c r="AM122" s="22">
        <v>2</v>
      </c>
      <c r="AN122" s="22">
        <v>4</v>
      </c>
      <c r="AO122" s="22">
        <v>2</v>
      </c>
      <c r="AP122" s="22">
        <v>3</v>
      </c>
      <c r="AQ122" s="22">
        <v>3</v>
      </c>
      <c r="AR122" s="22">
        <v>4</v>
      </c>
      <c r="AS122" s="22">
        <v>4</v>
      </c>
      <c r="AT122" s="22">
        <v>2</v>
      </c>
      <c r="AU122" s="22">
        <v>3</v>
      </c>
      <c r="AV122" s="22">
        <v>2</v>
      </c>
      <c r="AW122" s="22">
        <v>4</v>
      </c>
      <c r="AX122" s="22">
        <v>4</v>
      </c>
      <c r="AY122" s="22">
        <v>4</v>
      </c>
      <c r="AZ122" s="22">
        <v>3</v>
      </c>
      <c r="BA122" s="22">
        <v>3</v>
      </c>
      <c r="BB122" s="22">
        <v>2</v>
      </c>
      <c r="BC122" s="22">
        <v>3</v>
      </c>
      <c r="BD122" s="22">
        <v>3</v>
      </c>
      <c r="BE122" s="22">
        <v>3</v>
      </c>
      <c r="BF122" s="22">
        <v>4</v>
      </c>
      <c r="BG122" s="22">
        <v>2</v>
      </c>
      <c r="BH122" s="22">
        <v>3</v>
      </c>
      <c r="BI122" s="22">
        <v>2</v>
      </c>
      <c r="BJ122" s="22">
        <v>3</v>
      </c>
      <c r="BK122" s="22">
        <v>4</v>
      </c>
      <c r="BL122" s="22">
        <v>3</v>
      </c>
      <c r="BM122" s="22">
        <v>4</v>
      </c>
      <c r="BN122" s="22">
        <v>3</v>
      </c>
      <c r="BO122" s="22">
        <v>4</v>
      </c>
      <c r="BP122" s="22">
        <v>1</v>
      </c>
      <c r="BQ122" s="22">
        <v>3</v>
      </c>
      <c r="BR122" s="22">
        <v>4</v>
      </c>
      <c r="BS122" s="22">
        <v>2</v>
      </c>
      <c r="BT122" s="22">
        <v>4</v>
      </c>
      <c r="BU122" s="22">
        <v>4</v>
      </c>
      <c r="BV122" s="22">
        <v>3</v>
      </c>
      <c r="BW122" s="22">
        <v>4</v>
      </c>
      <c r="BY122" s="24" t="s">
        <v>34</v>
      </c>
      <c r="BZ122" s="24" t="s">
        <v>35</v>
      </c>
      <c r="CA122" s="24">
        <v>0</v>
      </c>
      <c r="CB122" s="24" t="s">
        <v>52</v>
      </c>
      <c r="CC122" s="24" t="s">
        <v>51</v>
      </c>
      <c r="CF122" s="24">
        <v>0</v>
      </c>
      <c r="CG122" s="24">
        <v>0</v>
      </c>
      <c r="CH122" s="24" t="s">
        <v>51</v>
      </c>
      <c r="CK122" s="24" t="s">
        <v>38</v>
      </c>
      <c r="CL122" s="24">
        <v>0</v>
      </c>
    </row>
    <row r="123" spans="1:91" ht="14" customHeight="1" x14ac:dyDescent="0.35">
      <c r="A123" t="s">
        <v>887</v>
      </c>
      <c r="B123" t="str">
        <f t="shared" si="2"/>
        <v>p121</v>
      </c>
      <c r="D123" s="38">
        <v>46002.791643518518</v>
      </c>
      <c r="E123" s="24" t="s">
        <v>933</v>
      </c>
      <c r="F123" s="24">
        <v>100</v>
      </c>
      <c r="G123" s="24">
        <v>720</v>
      </c>
      <c r="H123" s="24" t="b">
        <v>1</v>
      </c>
      <c r="I123" s="38">
        <v>46002.791643518518</v>
      </c>
      <c r="J123" s="24" t="s">
        <v>934</v>
      </c>
      <c r="N123" s="24" t="s">
        <v>935</v>
      </c>
      <c r="O123" s="24" t="s">
        <v>936</v>
      </c>
      <c r="P123" s="22">
        <v>5</v>
      </c>
      <c r="Q123" s="22">
        <v>5</v>
      </c>
      <c r="R123" s="22">
        <v>3</v>
      </c>
      <c r="S123" s="22">
        <v>4</v>
      </c>
      <c r="T123" s="22">
        <v>5</v>
      </c>
      <c r="U123" s="22">
        <v>3</v>
      </c>
      <c r="V123" s="22">
        <v>5</v>
      </c>
      <c r="W123" s="22">
        <v>3</v>
      </c>
      <c r="X123" s="22">
        <v>3</v>
      </c>
      <c r="Y123" s="22">
        <v>4</v>
      </c>
      <c r="Z123" s="22">
        <v>5</v>
      </c>
      <c r="AA123" s="22">
        <v>3</v>
      </c>
      <c r="AB123" s="22">
        <v>4</v>
      </c>
      <c r="AC123" s="22">
        <v>4</v>
      </c>
      <c r="AD123" s="22">
        <v>2</v>
      </c>
      <c r="AE123" s="22">
        <v>3</v>
      </c>
      <c r="AF123" s="22">
        <v>2</v>
      </c>
      <c r="AG123" s="22">
        <v>2</v>
      </c>
      <c r="AH123" s="22">
        <v>2</v>
      </c>
      <c r="AI123" s="22">
        <v>2</v>
      </c>
      <c r="AJ123" s="22">
        <v>2</v>
      </c>
      <c r="AK123" s="22">
        <v>3</v>
      </c>
      <c r="AL123" s="22">
        <v>2</v>
      </c>
      <c r="AM123" s="22">
        <v>2</v>
      </c>
      <c r="AN123" s="22">
        <v>4</v>
      </c>
      <c r="AO123" s="22">
        <v>3</v>
      </c>
      <c r="AP123" s="22">
        <v>4</v>
      </c>
      <c r="AQ123" s="22">
        <v>4</v>
      </c>
      <c r="AR123" s="22">
        <v>3</v>
      </c>
      <c r="AS123" s="22">
        <v>3</v>
      </c>
      <c r="AT123" s="22">
        <v>3</v>
      </c>
      <c r="AU123" s="22">
        <v>4</v>
      </c>
      <c r="AV123" s="22">
        <v>2</v>
      </c>
      <c r="AW123" s="22">
        <v>3</v>
      </c>
      <c r="AX123" s="22">
        <v>4</v>
      </c>
      <c r="AY123" s="22">
        <v>3</v>
      </c>
      <c r="AZ123" s="22">
        <v>4</v>
      </c>
      <c r="BA123" s="22">
        <v>4</v>
      </c>
      <c r="BB123" s="22">
        <v>4</v>
      </c>
      <c r="BC123" s="22">
        <v>3</v>
      </c>
      <c r="BD123" s="22">
        <v>3</v>
      </c>
      <c r="BE123" s="22">
        <v>4</v>
      </c>
      <c r="BF123" s="22">
        <v>4</v>
      </c>
      <c r="BG123" s="22">
        <v>3</v>
      </c>
      <c r="BH123" s="22">
        <v>4</v>
      </c>
      <c r="BI123" s="22">
        <v>4</v>
      </c>
      <c r="BJ123" s="22">
        <v>3</v>
      </c>
      <c r="BK123" s="22">
        <v>4</v>
      </c>
      <c r="BL123" s="22">
        <v>4</v>
      </c>
      <c r="BM123" s="22">
        <v>4</v>
      </c>
      <c r="BN123" s="22">
        <v>2</v>
      </c>
      <c r="BO123" s="22">
        <v>3</v>
      </c>
      <c r="BP123" s="22">
        <v>2</v>
      </c>
      <c r="BQ123" s="22">
        <v>4</v>
      </c>
      <c r="BR123" s="22">
        <v>4</v>
      </c>
      <c r="BS123" s="22">
        <v>2</v>
      </c>
      <c r="BT123" s="22">
        <v>2</v>
      </c>
      <c r="BU123" s="22">
        <v>2</v>
      </c>
      <c r="BV123" s="22">
        <v>3</v>
      </c>
      <c r="BW123" s="22">
        <v>4</v>
      </c>
      <c r="BY123" s="24" t="s">
        <v>34</v>
      </c>
      <c r="BZ123" s="24" t="s">
        <v>35</v>
      </c>
      <c r="CA123" s="24">
        <v>0</v>
      </c>
      <c r="CB123" s="24" t="s">
        <v>36</v>
      </c>
      <c r="CC123" s="24" t="s">
        <v>44</v>
      </c>
      <c r="CF123" s="24">
        <v>0</v>
      </c>
      <c r="CG123" s="24">
        <v>2</v>
      </c>
      <c r="CH123" s="24" t="s">
        <v>37</v>
      </c>
      <c r="CK123" s="24" t="s">
        <v>38</v>
      </c>
      <c r="CL123" s="24">
        <v>1</v>
      </c>
      <c r="CM123" s="24" t="s">
        <v>45</v>
      </c>
    </row>
    <row r="124" spans="1:91" ht="14" customHeight="1" x14ac:dyDescent="0.35">
      <c r="A124" t="s">
        <v>888</v>
      </c>
      <c r="B124" t="str">
        <f t="shared" si="2"/>
        <v>p122</v>
      </c>
      <c r="D124" s="38">
        <v>46002.791724537034</v>
      </c>
      <c r="E124" s="24" t="s">
        <v>937</v>
      </c>
      <c r="F124" s="24">
        <v>100</v>
      </c>
      <c r="G124" s="24">
        <v>853</v>
      </c>
      <c r="H124" s="24" t="b">
        <v>1</v>
      </c>
      <c r="I124" s="38">
        <v>46002.79173611111</v>
      </c>
      <c r="J124" s="24" t="s">
        <v>938</v>
      </c>
      <c r="N124" s="24" t="s">
        <v>828</v>
      </c>
      <c r="O124" s="24" t="s">
        <v>829</v>
      </c>
      <c r="P124" s="22">
        <v>5</v>
      </c>
      <c r="Q124" s="22">
        <v>4</v>
      </c>
      <c r="R124" s="22">
        <v>3</v>
      </c>
      <c r="S124" s="22">
        <v>2</v>
      </c>
      <c r="T124" s="22">
        <v>5</v>
      </c>
      <c r="U124" s="22">
        <v>1</v>
      </c>
      <c r="V124" s="22">
        <v>3</v>
      </c>
      <c r="W124" s="22">
        <v>1</v>
      </c>
      <c r="X124" s="22">
        <v>4</v>
      </c>
      <c r="Y124" s="22">
        <v>4</v>
      </c>
      <c r="Z124" s="22">
        <v>3</v>
      </c>
      <c r="AA124" s="22">
        <v>5</v>
      </c>
      <c r="AB124" s="22">
        <v>3</v>
      </c>
      <c r="AC124" s="22">
        <v>5</v>
      </c>
      <c r="AD124" s="22">
        <v>3</v>
      </c>
      <c r="AE124" s="22">
        <v>4</v>
      </c>
      <c r="AF124" s="22">
        <v>5</v>
      </c>
      <c r="AG124" s="22">
        <v>3</v>
      </c>
      <c r="AH124" s="22">
        <v>4</v>
      </c>
      <c r="AI124" s="22">
        <v>4</v>
      </c>
      <c r="AJ124" s="22">
        <v>5</v>
      </c>
      <c r="AK124" s="22">
        <v>3</v>
      </c>
      <c r="AL124" s="22">
        <v>5</v>
      </c>
      <c r="AM124" s="22">
        <v>4</v>
      </c>
      <c r="AN124" s="22">
        <v>3</v>
      </c>
      <c r="AO124" s="22">
        <v>4</v>
      </c>
      <c r="AP124" s="22">
        <v>4</v>
      </c>
      <c r="AQ124" s="22">
        <v>3</v>
      </c>
      <c r="AR124" s="22">
        <v>4</v>
      </c>
      <c r="AS124" s="22">
        <v>4</v>
      </c>
      <c r="AT124" s="22">
        <v>3</v>
      </c>
      <c r="AU124" s="22">
        <v>4</v>
      </c>
      <c r="AV124" s="22">
        <v>5</v>
      </c>
      <c r="AW124" s="22">
        <v>3</v>
      </c>
      <c r="AX124" s="22">
        <v>5</v>
      </c>
      <c r="AY124" s="22">
        <v>3</v>
      </c>
      <c r="AZ124" s="22">
        <v>3</v>
      </c>
      <c r="BA124" s="22">
        <v>5</v>
      </c>
      <c r="BB124" s="22">
        <v>2</v>
      </c>
      <c r="BC124" s="22">
        <v>4</v>
      </c>
      <c r="BD124" s="22">
        <v>2</v>
      </c>
      <c r="BE124" s="22">
        <v>4</v>
      </c>
      <c r="BF124" s="22">
        <v>2</v>
      </c>
      <c r="BG124" s="22">
        <v>1</v>
      </c>
      <c r="BH124" s="22">
        <v>4</v>
      </c>
      <c r="BI124" s="22">
        <v>4</v>
      </c>
      <c r="BJ124" s="22">
        <v>4</v>
      </c>
      <c r="BK124" s="22">
        <v>5</v>
      </c>
      <c r="BL124" s="22">
        <v>3</v>
      </c>
      <c r="BM124" s="22">
        <v>2</v>
      </c>
      <c r="BN124" s="22">
        <v>4</v>
      </c>
      <c r="BO124" s="22">
        <v>3</v>
      </c>
      <c r="BP124" s="22">
        <v>5</v>
      </c>
      <c r="BQ124" s="22">
        <v>4</v>
      </c>
      <c r="BR124" s="22">
        <v>3</v>
      </c>
      <c r="BS124" s="22">
        <v>5</v>
      </c>
      <c r="BT124" s="22">
        <v>2</v>
      </c>
      <c r="BU124" s="22">
        <v>4</v>
      </c>
      <c r="BV124" s="22">
        <v>3</v>
      </c>
      <c r="BW124" s="22">
        <v>5</v>
      </c>
      <c r="BY124" s="24" t="s">
        <v>34</v>
      </c>
      <c r="BZ124" s="24" t="s">
        <v>35</v>
      </c>
      <c r="CA124" s="24">
        <v>0</v>
      </c>
      <c r="CB124" s="24" t="s">
        <v>36</v>
      </c>
      <c r="CC124" s="24" t="s">
        <v>51</v>
      </c>
      <c r="CF124" s="24">
        <v>0</v>
      </c>
      <c r="CG124" s="24">
        <v>2</v>
      </c>
      <c r="CH124" s="24" t="s">
        <v>37</v>
      </c>
      <c r="CK124" s="24" t="s">
        <v>38</v>
      </c>
      <c r="CL124" s="24">
        <v>1</v>
      </c>
      <c r="CM124" s="24" t="s">
        <v>45</v>
      </c>
    </row>
    <row r="125" spans="1:91" ht="14" customHeight="1" x14ac:dyDescent="0.35">
      <c r="A125" t="s">
        <v>889</v>
      </c>
      <c r="B125" t="str">
        <f t="shared" si="2"/>
        <v>p123</v>
      </c>
      <c r="D125" s="38">
        <v>46002.791747685187</v>
      </c>
      <c r="E125" s="24" t="s">
        <v>939</v>
      </c>
      <c r="F125" s="24">
        <v>100</v>
      </c>
      <c r="G125" s="24">
        <v>806</v>
      </c>
      <c r="H125" s="24" t="b">
        <v>1</v>
      </c>
      <c r="I125" s="38">
        <v>46002.791747685187</v>
      </c>
      <c r="J125" s="24" t="s">
        <v>940</v>
      </c>
      <c r="N125" s="24" t="s">
        <v>830</v>
      </c>
      <c r="O125" s="24" t="s">
        <v>831</v>
      </c>
      <c r="P125" s="22">
        <v>4</v>
      </c>
      <c r="Q125" s="22">
        <v>4</v>
      </c>
      <c r="R125" s="22">
        <v>4</v>
      </c>
      <c r="S125" s="22">
        <v>3</v>
      </c>
      <c r="T125" s="22">
        <v>4</v>
      </c>
      <c r="U125" s="22">
        <v>3</v>
      </c>
      <c r="V125" s="22">
        <v>4</v>
      </c>
      <c r="W125" s="22">
        <v>2</v>
      </c>
      <c r="X125" s="22">
        <v>3</v>
      </c>
      <c r="Y125" s="22">
        <v>4</v>
      </c>
      <c r="Z125" s="22">
        <v>3</v>
      </c>
      <c r="AA125" s="22">
        <v>4</v>
      </c>
      <c r="AB125" s="22">
        <v>4</v>
      </c>
      <c r="AC125" s="22">
        <v>4</v>
      </c>
      <c r="AD125" s="22">
        <v>5</v>
      </c>
      <c r="AE125" s="22">
        <v>5</v>
      </c>
      <c r="AF125" s="22">
        <v>4</v>
      </c>
      <c r="AG125" s="22">
        <v>4</v>
      </c>
      <c r="AH125" s="22">
        <v>4</v>
      </c>
      <c r="AI125" s="22">
        <v>5</v>
      </c>
      <c r="AJ125" s="22">
        <v>4</v>
      </c>
      <c r="AK125" s="22">
        <v>4</v>
      </c>
      <c r="AL125" s="22">
        <v>4</v>
      </c>
      <c r="AM125" s="22">
        <v>4</v>
      </c>
      <c r="AN125" s="22">
        <v>4</v>
      </c>
      <c r="AO125" s="22">
        <v>5</v>
      </c>
      <c r="AP125" s="22">
        <v>5</v>
      </c>
      <c r="AQ125" s="22">
        <v>4</v>
      </c>
      <c r="AR125" s="22">
        <v>5</v>
      </c>
      <c r="AS125" s="22">
        <v>4</v>
      </c>
      <c r="AT125" s="22">
        <v>4</v>
      </c>
      <c r="AU125" s="22">
        <v>5</v>
      </c>
      <c r="AV125" s="22">
        <v>4</v>
      </c>
      <c r="AW125" s="22">
        <v>4</v>
      </c>
      <c r="AX125" s="22">
        <v>4</v>
      </c>
      <c r="AY125" s="22">
        <v>4</v>
      </c>
      <c r="AZ125" s="22">
        <v>4</v>
      </c>
      <c r="BA125" s="22">
        <v>5</v>
      </c>
      <c r="BB125" s="22">
        <v>5</v>
      </c>
      <c r="BC125" s="22">
        <v>5</v>
      </c>
      <c r="BD125" s="22">
        <v>5</v>
      </c>
      <c r="BE125" s="22">
        <v>4</v>
      </c>
      <c r="BF125" s="22">
        <v>5</v>
      </c>
      <c r="BG125" s="22">
        <v>4</v>
      </c>
      <c r="BH125" s="22">
        <v>5</v>
      </c>
      <c r="BI125" s="22">
        <v>5</v>
      </c>
      <c r="BJ125" s="22">
        <v>3</v>
      </c>
      <c r="BK125" s="22">
        <v>4</v>
      </c>
      <c r="BL125" s="22">
        <v>5</v>
      </c>
      <c r="BM125" s="22">
        <v>4</v>
      </c>
      <c r="BN125" s="22">
        <v>3</v>
      </c>
      <c r="BO125" s="22">
        <v>5</v>
      </c>
      <c r="BP125" s="22">
        <v>5</v>
      </c>
      <c r="BQ125" s="22">
        <v>5</v>
      </c>
      <c r="BR125" s="22">
        <v>4</v>
      </c>
      <c r="BS125" s="22">
        <v>3</v>
      </c>
      <c r="BT125" s="22">
        <v>4</v>
      </c>
      <c r="BU125" s="22">
        <v>5</v>
      </c>
      <c r="BV125" s="22">
        <v>4</v>
      </c>
      <c r="BW125" s="22">
        <v>4</v>
      </c>
      <c r="BY125" s="24" t="s">
        <v>34</v>
      </c>
      <c r="BZ125" s="24" t="s">
        <v>35</v>
      </c>
      <c r="CA125" s="24">
        <v>0</v>
      </c>
      <c r="CB125" s="24" t="s">
        <v>36</v>
      </c>
      <c r="CC125" s="24" t="s">
        <v>53</v>
      </c>
      <c r="CF125" s="24">
        <v>0</v>
      </c>
      <c r="CG125" s="24">
        <v>2</v>
      </c>
      <c r="CH125" s="24" t="s">
        <v>37</v>
      </c>
      <c r="CK125" s="24" t="s">
        <v>38</v>
      </c>
      <c r="CL125" s="24">
        <v>1</v>
      </c>
      <c r="CM125" s="24" t="s">
        <v>45</v>
      </c>
    </row>
    <row r="126" spans="1:91" ht="14" customHeight="1" x14ac:dyDescent="0.35">
      <c r="A126" t="s">
        <v>890</v>
      </c>
      <c r="B126" t="str">
        <f t="shared" si="2"/>
        <v>p124</v>
      </c>
      <c r="D126" s="38">
        <v>46002.791851851849</v>
      </c>
      <c r="E126" s="24" t="s">
        <v>941</v>
      </c>
      <c r="F126" s="24">
        <v>100</v>
      </c>
      <c r="G126" s="24">
        <v>819</v>
      </c>
      <c r="H126" s="24" t="b">
        <v>1</v>
      </c>
      <c r="I126" s="38">
        <v>46002.791851851849</v>
      </c>
      <c r="J126" s="24" t="s">
        <v>942</v>
      </c>
      <c r="N126" s="24" t="s">
        <v>832</v>
      </c>
      <c r="O126" s="24" t="s">
        <v>833</v>
      </c>
      <c r="P126" s="22">
        <v>5</v>
      </c>
      <c r="Q126" s="22">
        <v>4</v>
      </c>
      <c r="R126" s="22">
        <v>2</v>
      </c>
      <c r="S126" s="22">
        <v>5</v>
      </c>
      <c r="T126" s="22">
        <v>5</v>
      </c>
      <c r="U126" s="22">
        <v>5</v>
      </c>
      <c r="V126" s="22">
        <v>5</v>
      </c>
      <c r="W126" s="22">
        <v>2</v>
      </c>
      <c r="X126" s="22">
        <v>4</v>
      </c>
      <c r="Y126" s="22">
        <v>5</v>
      </c>
      <c r="Z126" s="22">
        <v>3</v>
      </c>
      <c r="AA126" s="22">
        <v>5</v>
      </c>
      <c r="AB126" s="22">
        <v>5</v>
      </c>
      <c r="AC126" s="22">
        <v>3</v>
      </c>
      <c r="AD126" s="22">
        <v>1</v>
      </c>
      <c r="AE126" s="22">
        <v>1</v>
      </c>
      <c r="AF126" s="22">
        <v>2</v>
      </c>
      <c r="AG126" s="22">
        <v>1</v>
      </c>
      <c r="AH126" s="22">
        <v>2</v>
      </c>
      <c r="AI126" s="22">
        <v>4</v>
      </c>
      <c r="AJ126" s="22">
        <v>2</v>
      </c>
      <c r="AK126" s="22">
        <v>5</v>
      </c>
      <c r="AL126" s="22">
        <v>4</v>
      </c>
      <c r="AM126" s="22">
        <v>2</v>
      </c>
      <c r="AN126" s="22">
        <v>5</v>
      </c>
      <c r="AO126" s="22">
        <v>2</v>
      </c>
      <c r="AP126" s="22">
        <v>5</v>
      </c>
      <c r="AQ126" s="22">
        <v>3</v>
      </c>
      <c r="AR126" s="22">
        <v>1</v>
      </c>
      <c r="AS126" s="22">
        <v>5</v>
      </c>
      <c r="AT126" s="22">
        <v>1</v>
      </c>
      <c r="AU126" s="22">
        <v>5</v>
      </c>
      <c r="AV126" s="22">
        <v>2</v>
      </c>
      <c r="AW126" s="22">
        <v>1</v>
      </c>
      <c r="AX126" s="22">
        <v>5</v>
      </c>
      <c r="AY126" s="22">
        <v>1</v>
      </c>
      <c r="AZ126" s="22">
        <v>5</v>
      </c>
      <c r="BA126" s="22">
        <v>5</v>
      </c>
      <c r="BB126" s="22">
        <v>5</v>
      </c>
      <c r="BC126" s="22">
        <v>5</v>
      </c>
      <c r="BD126" s="22">
        <v>1</v>
      </c>
      <c r="BE126" s="22">
        <v>5</v>
      </c>
      <c r="BF126" s="22">
        <v>4</v>
      </c>
      <c r="BG126" s="22">
        <v>5</v>
      </c>
      <c r="BH126" s="22">
        <v>5</v>
      </c>
      <c r="BI126" s="22">
        <v>1</v>
      </c>
      <c r="BJ126" s="22">
        <v>5</v>
      </c>
      <c r="BK126" s="22">
        <v>1</v>
      </c>
      <c r="BL126" s="22">
        <v>5</v>
      </c>
      <c r="BM126" s="22">
        <v>5</v>
      </c>
      <c r="BN126" s="22">
        <v>2</v>
      </c>
      <c r="BO126" s="22">
        <v>2</v>
      </c>
      <c r="BP126" s="22">
        <v>1</v>
      </c>
      <c r="BQ126" s="22">
        <v>5</v>
      </c>
      <c r="BR126" s="22">
        <v>5</v>
      </c>
      <c r="BS126" s="22">
        <v>3</v>
      </c>
      <c r="BT126" s="22">
        <v>1</v>
      </c>
      <c r="BU126" s="22">
        <v>1</v>
      </c>
      <c r="BV126" s="22">
        <v>5</v>
      </c>
      <c r="BW126" s="22">
        <v>4</v>
      </c>
      <c r="BY126" s="24" t="s">
        <v>34</v>
      </c>
      <c r="BZ126" s="24" t="s">
        <v>35</v>
      </c>
      <c r="CA126" s="24">
        <v>0</v>
      </c>
      <c r="CB126" s="24" t="s">
        <v>36</v>
      </c>
      <c r="CC126" s="24" t="s">
        <v>51</v>
      </c>
      <c r="CF126" s="24">
        <v>0</v>
      </c>
      <c r="CG126" s="24">
        <v>2</v>
      </c>
      <c r="CH126" s="24" t="s">
        <v>37</v>
      </c>
      <c r="CK126" s="24" t="s">
        <v>38</v>
      </c>
      <c r="CL126" s="24">
        <v>1</v>
      </c>
      <c r="CM126" s="24" t="s">
        <v>45</v>
      </c>
    </row>
    <row r="127" spans="1:91" ht="14" customHeight="1" x14ac:dyDescent="0.35">
      <c r="A127" t="s">
        <v>891</v>
      </c>
      <c r="B127" t="str">
        <f t="shared" si="2"/>
        <v>p125</v>
      </c>
      <c r="D127" s="38">
        <v>46002.79310185185</v>
      </c>
      <c r="E127" s="24" t="s">
        <v>943</v>
      </c>
      <c r="F127" s="24">
        <v>100</v>
      </c>
      <c r="G127" s="24">
        <v>451</v>
      </c>
      <c r="H127" s="24" t="b">
        <v>1</v>
      </c>
      <c r="I127" s="38">
        <v>46002.79310185185</v>
      </c>
      <c r="J127" s="24" t="s">
        <v>944</v>
      </c>
      <c r="N127" s="24" t="s">
        <v>834</v>
      </c>
      <c r="O127" s="24" t="s">
        <v>835</v>
      </c>
      <c r="P127" s="22">
        <v>4</v>
      </c>
      <c r="Q127" s="22">
        <v>5</v>
      </c>
      <c r="R127" s="22">
        <v>5</v>
      </c>
      <c r="S127" s="22">
        <v>4</v>
      </c>
      <c r="T127" s="22">
        <v>3</v>
      </c>
      <c r="U127" s="22">
        <v>5</v>
      </c>
      <c r="V127" s="22">
        <v>3</v>
      </c>
      <c r="W127" s="22">
        <v>5</v>
      </c>
      <c r="X127" s="22">
        <v>1</v>
      </c>
      <c r="Y127" s="22">
        <v>5</v>
      </c>
      <c r="Z127" s="22">
        <v>2</v>
      </c>
      <c r="AA127" s="22">
        <v>4</v>
      </c>
      <c r="AB127" s="22">
        <v>3</v>
      </c>
      <c r="AC127" s="22">
        <v>3</v>
      </c>
      <c r="AD127" s="22">
        <v>1</v>
      </c>
      <c r="AE127" s="22">
        <v>4</v>
      </c>
      <c r="AF127" s="22">
        <v>4</v>
      </c>
      <c r="AG127" s="22">
        <v>3</v>
      </c>
      <c r="AH127" s="22">
        <v>3</v>
      </c>
      <c r="AI127" s="22">
        <v>1</v>
      </c>
      <c r="AJ127" s="22">
        <v>1</v>
      </c>
      <c r="AK127" s="22">
        <v>5</v>
      </c>
      <c r="AL127" s="22">
        <v>2</v>
      </c>
      <c r="AM127" s="22">
        <v>5</v>
      </c>
      <c r="AN127" s="22">
        <v>3</v>
      </c>
      <c r="AO127" s="22">
        <v>1</v>
      </c>
      <c r="AP127" s="22">
        <v>4</v>
      </c>
      <c r="AQ127" s="22">
        <v>3</v>
      </c>
      <c r="AR127" s="22">
        <v>4</v>
      </c>
      <c r="AS127" s="22">
        <v>5</v>
      </c>
      <c r="AT127" s="22">
        <v>3</v>
      </c>
      <c r="AU127" s="22">
        <v>5</v>
      </c>
      <c r="AV127" s="22">
        <v>5</v>
      </c>
      <c r="AW127" s="22">
        <v>2</v>
      </c>
      <c r="AX127" s="22">
        <v>5</v>
      </c>
      <c r="AY127" s="22">
        <v>4</v>
      </c>
      <c r="AZ127" s="22">
        <v>5</v>
      </c>
      <c r="BA127" s="22">
        <v>2</v>
      </c>
      <c r="BB127" s="22">
        <v>1</v>
      </c>
      <c r="BC127" s="22">
        <v>3</v>
      </c>
      <c r="BD127" s="22">
        <v>5</v>
      </c>
      <c r="BE127" s="22">
        <v>4</v>
      </c>
      <c r="BF127" s="22">
        <v>3</v>
      </c>
      <c r="BG127" s="22">
        <v>3</v>
      </c>
      <c r="BH127" s="22">
        <v>5</v>
      </c>
      <c r="BI127" s="22">
        <v>1</v>
      </c>
      <c r="BJ127" s="22">
        <v>3</v>
      </c>
      <c r="BK127" s="22">
        <v>5</v>
      </c>
      <c r="BL127" s="22">
        <v>2</v>
      </c>
      <c r="BM127" s="22">
        <v>5</v>
      </c>
      <c r="BN127" s="22">
        <v>2</v>
      </c>
      <c r="BO127" s="22">
        <v>4</v>
      </c>
      <c r="BP127" s="22">
        <v>2</v>
      </c>
      <c r="BQ127" s="22">
        <v>4</v>
      </c>
      <c r="BR127" s="22">
        <v>2</v>
      </c>
      <c r="BS127" s="22">
        <v>1</v>
      </c>
      <c r="BT127" s="22">
        <v>1</v>
      </c>
      <c r="BU127" s="22">
        <v>2</v>
      </c>
      <c r="BV127" s="22">
        <v>5</v>
      </c>
      <c r="BW127" s="22">
        <v>3</v>
      </c>
      <c r="BY127" s="24" t="s">
        <v>34</v>
      </c>
      <c r="BZ127" s="24" t="s">
        <v>35</v>
      </c>
      <c r="CA127" s="24">
        <v>0</v>
      </c>
      <c r="CB127" s="24" t="s">
        <v>36</v>
      </c>
      <c r="CC127" s="24" t="s">
        <v>945</v>
      </c>
      <c r="CF127" s="24">
        <v>0</v>
      </c>
      <c r="CG127" s="24">
        <v>2</v>
      </c>
      <c r="CH127" s="24" t="s">
        <v>37</v>
      </c>
      <c r="CK127" s="24" t="s">
        <v>38</v>
      </c>
      <c r="CL127" s="24">
        <v>1</v>
      </c>
      <c r="CM127" s="24" t="s">
        <v>45</v>
      </c>
    </row>
    <row r="128" spans="1:91" ht="14" customHeight="1" x14ac:dyDescent="0.35">
      <c r="A128" t="s">
        <v>892</v>
      </c>
      <c r="B128" t="str">
        <f t="shared" si="2"/>
        <v>p126</v>
      </c>
      <c r="D128" s="38">
        <v>46002.793900462966</v>
      </c>
      <c r="E128" s="24" t="s">
        <v>946</v>
      </c>
      <c r="F128" s="24">
        <v>100</v>
      </c>
      <c r="G128" s="24">
        <v>947</v>
      </c>
      <c r="H128" s="24" t="b">
        <v>1</v>
      </c>
      <c r="I128" s="38">
        <v>46002.793912037036</v>
      </c>
      <c r="J128" s="24" t="s">
        <v>947</v>
      </c>
      <c r="N128" s="24" t="s">
        <v>836</v>
      </c>
      <c r="O128" s="24" t="s">
        <v>837</v>
      </c>
      <c r="P128" s="22">
        <v>4</v>
      </c>
      <c r="Q128" s="22">
        <v>5</v>
      </c>
      <c r="R128" s="22">
        <v>4</v>
      </c>
      <c r="S128" s="22">
        <v>4</v>
      </c>
      <c r="T128" s="22">
        <v>3</v>
      </c>
      <c r="U128" s="22">
        <v>5</v>
      </c>
      <c r="V128" s="22">
        <v>4</v>
      </c>
      <c r="W128" s="22">
        <v>3</v>
      </c>
      <c r="X128" s="22">
        <v>2</v>
      </c>
      <c r="Y128" s="22">
        <v>4</v>
      </c>
      <c r="Z128" s="22">
        <v>4</v>
      </c>
      <c r="AA128" s="22">
        <v>4</v>
      </c>
      <c r="AB128" s="22">
        <v>3</v>
      </c>
      <c r="AC128" s="22">
        <v>3</v>
      </c>
      <c r="AD128" s="22">
        <v>1</v>
      </c>
      <c r="AE128" s="22">
        <v>3</v>
      </c>
      <c r="AF128" s="22">
        <v>3</v>
      </c>
      <c r="AG128" s="22">
        <v>4</v>
      </c>
      <c r="AH128" s="22">
        <v>3</v>
      </c>
      <c r="AI128" s="22">
        <v>4</v>
      </c>
      <c r="AJ128" s="22">
        <v>1</v>
      </c>
      <c r="AK128" s="22">
        <v>4</v>
      </c>
      <c r="AL128" s="22">
        <v>3</v>
      </c>
      <c r="AM128" s="22">
        <v>3</v>
      </c>
      <c r="AN128" s="22">
        <v>4</v>
      </c>
      <c r="AO128" s="22">
        <v>2</v>
      </c>
      <c r="AP128" s="22">
        <v>3</v>
      </c>
      <c r="AQ128" s="22">
        <v>4</v>
      </c>
      <c r="AR128" s="22">
        <v>4</v>
      </c>
      <c r="AS128" s="22">
        <v>4</v>
      </c>
      <c r="AT128" s="22">
        <v>3</v>
      </c>
      <c r="AU128" s="22">
        <v>4</v>
      </c>
      <c r="AV128" s="22">
        <v>3</v>
      </c>
      <c r="AW128" s="22">
        <v>3</v>
      </c>
      <c r="AX128" s="22">
        <v>4</v>
      </c>
      <c r="AY128" s="22">
        <v>3</v>
      </c>
      <c r="AZ128" s="22">
        <v>4</v>
      </c>
      <c r="BA128" s="22">
        <v>4</v>
      </c>
      <c r="BB128" s="22">
        <v>3</v>
      </c>
      <c r="BC128" s="22">
        <v>4</v>
      </c>
      <c r="BD128" s="22">
        <v>2</v>
      </c>
      <c r="BE128" s="22">
        <v>4</v>
      </c>
      <c r="BF128" s="22">
        <v>4</v>
      </c>
      <c r="BG128" s="22">
        <v>4</v>
      </c>
      <c r="BH128" s="22">
        <v>4</v>
      </c>
      <c r="BI128" s="22">
        <v>3</v>
      </c>
      <c r="BJ128" s="22">
        <v>3</v>
      </c>
      <c r="BK128" s="22">
        <v>5</v>
      </c>
      <c r="BL128" s="22">
        <v>3</v>
      </c>
      <c r="BM128" s="22">
        <v>4</v>
      </c>
      <c r="BN128" s="22">
        <v>2</v>
      </c>
      <c r="BO128" s="22">
        <v>4</v>
      </c>
      <c r="BP128" s="22">
        <v>2</v>
      </c>
      <c r="BQ128" s="22">
        <v>4</v>
      </c>
      <c r="BR128" s="22">
        <v>4</v>
      </c>
      <c r="BS128" s="22">
        <v>1</v>
      </c>
      <c r="BT128" s="22">
        <v>2</v>
      </c>
      <c r="BU128" s="22">
        <v>2</v>
      </c>
      <c r="BV128" s="22">
        <v>4</v>
      </c>
      <c r="BW128" s="22">
        <v>4</v>
      </c>
      <c r="BY128" s="24" t="s">
        <v>34</v>
      </c>
      <c r="BZ128" s="24" t="s">
        <v>35</v>
      </c>
      <c r="CA128" s="24">
        <v>0</v>
      </c>
      <c r="CB128" s="24" t="s">
        <v>64</v>
      </c>
      <c r="CC128" s="24" t="s">
        <v>65</v>
      </c>
      <c r="CF128" s="24">
        <v>0</v>
      </c>
      <c r="CG128" s="24">
        <v>2</v>
      </c>
      <c r="CH128" s="24" t="s">
        <v>37</v>
      </c>
      <c r="CK128" s="24" t="s">
        <v>38</v>
      </c>
      <c r="CL128" s="24">
        <v>1</v>
      </c>
      <c r="CM128" s="24" t="s">
        <v>45</v>
      </c>
    </row>
    <row r="129" spans="1:91" ht="14" customHeight="1" x14ac:dyDescent="0.35">
      <c r="A129" t="s">
        <v>893</v>
      </c>
      <c r="B129" t="str">
        <f t="shared" si="2"/>
        <v>p127</v>
      </c>
      <c r="D129" s="38">
        <v>46002.800474537034</v>
      </c>
      <c r="E129" s="24" t="s">
        <v>948</v>
      </c>
      <c r="F129" s="24">
        <v>100</v>
      </c>
      <c r="G129" s="24">
        <v>1108</v>
      </c>
      <c r="H129" s="24" t="b">
        <v>1</v>
      </c>
      <c r="I129" s="38">
        <v>46002.800474537034</v>
      </c>
      <c r="J129" s="24" t="s">
        <v>949</v>
      </c>
      <c r="N129" s="24" t="s">
        <v>838</v>
      </c>
      <c r="O129" s="24" t="s">
        <v>839</v>
      </c>
      <c r="P129" s="22">
        <v>4</v>
      </c>
      <c r="Q129" s="22">
        <v>5</v>
      </c>
      <c r="R129" s="22">
        <v>2</v>
      </c>
      <c r="S129" s="22">
        <v>4</v>
      </c>
      <c r="T129" s="22">
        <v>4</v>
      </c>
      <c r="U129" s="22">
        <v>3</v>
      </c>
      <c r="V129" s="22">
        <v>4</v>
      </c>
      <c r="W129" s="22">
        <v>2</v>
      </c>
      <c r="X129" s="22">
        <v>2</v>
      </c>
      <c r="Y129" s="22">
        <v>4</v>
      </c>
      <c r="Z129" s="22">
        <v>5</v>
      </c>
      <c r="AA129" s="22">
        <v>4</v>
      </c>
      <c r="AB129" s="22">
        <v>4</v>
      </c>
      <c r="AC129" s="22">
        <v>4</v>
      </c>
      <c r="AD129" s="22">
        <v>1</v>
      </c>
      <c r="AE129" s="22">
        <v>2</v>
      </c>
      <c r="AF129" s="22">
        <v>1</v>
      </c>
      <c r="AG129" s="22">
        <v>3</v>
      </c>
      <c r="AH129" s="22">
        <v>1</v>
      </c>
      <c r="AI129" s="22">
        <v>2</v>
      </c>
      <c r="AJ129" s="22">
        <v>1</v>
      </c>
      <c r="AK129" s="22">
        <v>5</v>
      </c>
      <c r="AL129" s="22">
        <v>3</v>
      </c>
      <c r="AM129" s="22">
        <v>2</v>
      </c>
      <c r="AN129" s="22">
        <v>4</v>
      </c>
      <c r="AO129" s="22">
        <v>2</v>
      </c>
      <c r="AP129" s="22">
        <v>4</v>
      </c>
      <c r="AQ129" s="22">
        <v>3</v>
      </c>
      <c r="AR129" s="22">
        <v>2</v>
      </c>
      <c r="AS129" s="22">
        <v>4</v>
      </c>
      <c r="AT129" s="22">
        <v>2</v>
      </c>
      <c r="AU129" s="22">
        <v>3</v>
      </c>
      <c r="AV129" s="22">
        <v>2</v>
      </c>
      <c r="AW129" s="22">
        <v>3</v>
      </c>
      <c r="AX129" s="22">
        <v>3</v>
      </c>
      <c r="AY129" s="22">
        <v>3</v>
      </c>
      <c r="AZ129" s="22">
        <v>3</v>
      </c>
      <c r="BA129" s="22">
        <v>4</v>
      </c>
      <c r="BB129" s="22">
        <v>2</v>
      </c>
      <c r="BC129" s="22">
        <v>3</v>
      </c>
      <c r="BD129" s="22">
        <v>3</v>
      </c>
      <c r="BE129" s="22">
        <v>3</v>
      </c>
      <c r="BF129" s="22">
        <v>4</v>
      </c>
      <c r="BG129" s="22">
        <v>4</v>
      </c>
      <c r="BH129" s="22">
        <v>3</v>
      </c>
      <c r="BI129" s="22">
        <v>2</v>
      </c>
      <c r="BJ129" s="22">
        <v>3</v>
      </c>
      <c r="BK129" s="22">
        <v>4</v>
      </c>
      <c r="BL129" s="22">
        <v>3</v>
      </c>
      <c r="BM129" s="22">
        <v>3</v>
      </c>
      <c r="BN129" s="22">
        <v>2</v>
      </c>
      <c r="BO129" s="22">
        <v>4</v>
      </c>
      <c r="BP129" s="22">
        <v>2</v>
      </c>
      <c r="BQ129" s="22">
        <v>4</v>
      </c>
      <c r="BR129" s="22">
        <v>5</v>
      </c>
      <c r="BS129" s="22">
        <v>3</v>
      </c>
      <c r="BT129" s="22">
        <v>3</v>
      </c>
      <c r="BU129" s="22">
        <v>3</v>
      </c>
      <c r="BV129" s="22">
        <v>4</v>
      </c>
      <c r="BW129" s="22">
        <v>4</v>
      </c>
      <c r="BY129" s="24" t="s">
        <v>34</v>
      </c>
      <c r="BZ129" s="24" t="s">
        <v>35</v>
      </c>
      <c r="CA129" s="24">
        <v>0</v>
      </c>
      <c r="CB129" s="24" t="s">
        <v>52</v>
      </c>
      <c r="CC129" s="24" t="s">
        <v>950</v>
      </c>
      <c r="CF129" s="24">
        <v>0</v>
      </c>
      <c r="CG129" s="24">
        <v>2</v>
      </c>
      <c r="CH129" s="24" t="s">
        <v>37</v>
      </c>
      <c r="CK129" s="24" t="s">
        <v>38</v>
      </c>
      <c r="CL129" s="24">
        <v>1</v>
      </c>
      <c r="CM129" s="24" t="s">
        <v>45</v>
      </c>
    </row>
    <row r="130" spans="1:91" ht="14" customHeight="1" x14ac:dyDescent="0.35">
      <c r="A130" t="s">
        <v>894</v>
      </c>
      <c r="B130" t="str">
        <f t="shared" si="2"/>
        <v>p128</v>
      </c>
      <c r="D130" s="38">
        <v>46002.80269675926</v>
      </c>
      <c r="E130" s="24" t="s">
        <v>951</v>
      </c>
      <c r="F130" s="24">
        <v>100</v>
      </c>
      <c r="G130" s="24">
        <v>809</v>
      </c>
      <c r="H130" s="24" t="b">
        <v>1</v>
      </c>
      <c r="I130" s="38">
        <v>46002.80269675926</v>
      </c>
      <c r="J130" s="24" t="s">
        <v>952</v>
      </c>
      <c r="N130" s="24" t="s">
        <v>840</v>
      </c>
      <c r="O130" s="24" t="s">
        <v>841</v>
      </c>
      <c r="P130" s="22">
        <v>4</v>
      </c>
      <c r="Q130" s="22">
        <v>4</v>
      </c>
      <c r="R130" s="22">
        <v>2</v>
      </c>
      <c r="S130" s="22">
        <v>2</v>
      </c>
      <c r="T130" s="22">
        <v>5</v>
      </c>
      <c r="U130" s="22">
        <v>3</v>
      </c>
      <c r="V130" s="22">
        <v>5</v>
      </c>
      <c r="W130" s="22">
        <v>1</v>
      </c>
      <c r="X130" s="22">
        <v>4</v>
      </c>
      <c r="Y130" s="22">
        <v>5</v>
      </c>
      <c r="Z130" s="22">
        <v>4</v>
      </c>
      <c r="AA130" s="22">
        <v>4</v>
      </c>
      <c r="AB130" s="22">
        <v>5</v>
      </c>
      <c r="AC130" s="22">
        <v>2</v>
      </c>
      <c r="AD130" s="22">
        <v>1</v>
      </c>
      <c r="AE130" s="22">
        <v>1</v>
      </c>
      <c r="AF130" s="22">
        <v>1</v>
      </c>
      <c r="AG130" s="22">
        <v>1</v>
      </c>
      <c r="AH130" s="22">
        <v>1</v>
      </c>
      <c r="AI130" s="22">
        <v>4</v>
      </c>
      <c r="AJ130" s="22">
        <v>1</v>
      </c>
      <c r="AK130" s="22">
        <v>4</v>
      </c>
      <c r="AL130" s="22">
        <v>2</v>
      </c>
      <c r="AM130" s="22">
        <v>2</v>
      </c>
      <c r="AN130" s="22">
        <v>4</v>
      </c>
      <c r="AO130" s="22">
        <v>1</v>
      </c>
      <c r="AP130" s="22">
        <v>4</v>
      </c>
      <c r="AQ130" s="22">
        <v>3</v>
      </c>
      <c r="AR130" s="22">
        <v>1</v>
      </c>
      <c r="AS130" s="22">
        <v>3</v>
      </c>
      <c r="AT130" s="22">
        <v>2</v>
      </c>
      <c r="AU130" s="22">
        <v>5</v>
      </c>
      <c r="AV130" s="22">
        <v>1</v>
      </c>
      <c r="AW130" s="22">
        <v>1</v>
      </c>
      <c r="AX130" s="22">
        <v>4</v>
      </c>
      <c r="AY130" s="22">
        <v>1</v>
      </c>
      <c r="AZ130" s="22">
        <v>4</v>
      </c>
      <c r="BA130" s="22">
        <v>3</v>
      </c>
      <c r="BB130" s="22">
        <v>5</v>
      </c>
      <c r="BC130" s="22">
        <v>2</v>
      </c>
      <c r="BD130" s="22">
        <v>1</v>
      </c>
      <c r="BE130" s="22">
        <v>4</v>
      </c>
      <c r="BF130" s="22">
        <v>5</v>
      </c>
      <c r="BG130" s="22">
        <v>5</v>
      </c>
      <c r="BH130" s="22">
        <v>3</v>
      </c>
      <c r="BI130" s="22">
        <v>1</v>
      </c>
      <c r="BJ130" s="22">
        <v>4</v>
      </c>
      <c r="BK130" s="22">
        <v>3</v>
      </c>
      <c r="BL130" s="22">
        <v>5</v>
      </c>
      <c r="BM130" s="22">
        <v>5</v>
      </c>
      <c r="BN130" s="22">
        <v>1</v>
      </c>
      <c r="BO130" s="22">
        <v>2</v>
      </c>
      <c r="BP130" s="22">
        <v>3</v>
      </c>
      <c r="BQ130" s="22">
        <v>5</v>
      </c>
      <c r="BR130" s="22">
        <v>5</v>
      </c>
      <c r="BS130" s="22">
        <v>2</v>
      </c>
      <c r="BT130" s="22">
        <v>2</v>
      </c>
      <c r="BU130" s="22">
        <v>1</v>
      </c>
      <c r="BV130" s="22">
        <v>4</v>
      </c>
      <c r="BW130" s="22">
        <v>4</v>
      </c>
      <c r="BY130" s="24" t="s">
        <v>34</v>
      </c>
      <c r="BZ130" s="24" t="s">
        <v>35</v>
      </c>
      <c r="CA130" s="24">
        <v>0</v>
      </c>
      <c r="CB130" s="24" t="s">
        <v>36</v>
      </c>
      <c r="CC130" s="24" t="s">
        <v>53</v>
      </c>
      <c r="CF130" s="24">
        <v>0</v>
      </c>
      <c r="CG130" s="24">
        <v>2</v>
      </c>
      <c r="CH130" s="24" t="s">
        <v>37</v>
      </c>
      <c r="CK130" s="24" t="s">
        <v>38</v>
      </c>
      <c r="CL130" s="24">
        <v>1</v>
      </c>
      <c r="CM130" s="24" t="s">
        <v>45</v>
      </c>
    </row>
    <row r="131" spans="1:91" ht="14" customHeight="1" x14ac:dyDescent="0.35">
      <c r="A131" t="s">
        <v>895</v>
      </c>
      <c r="B131" t="str">
        <f t="shared" si="2"/>
        <v>p129</v>
      </c>
      <c r="D131" s="38">
        <v>46002.811238425929</v>
      </c>
      <c r="E131" s="24" t="s">
        <v>953</v>
      </c>
      <c r="F131" s="24">
        <v>100</v>
      </c>
      <c r="G131" s="24">
        <v>2581</v>
      </c>
      <c r="H131" s="24" t="b">
        <v>1</v>
      </c>
      <c r="I131" s="38">
        <v>46002.811238425929</v>
      </c>
      <c r="J131" s="24" t="s">
        <v>954</v>
      </c>
      <c r="N131" s="24" t="s">
        <v>842</v>
      </c>
      <c r="O131" s="24" t="s">
        <v>843</v>
      </c>
      <c r="P131" s="22">
        <v>3</v>
      </c>
      <c r="Q131" s="22">
        <v>4</v>
      </c>
      <c r="R131" s="22">
        <v>3</v>
      </c>
      <c r="S131" s="22">
        <v>4</v>
      </c>
      <c r="T131" s="22">
        <v>4</v>
      </c>
      <c r="U131" s="22">
        <v>3</v>
      </c>
      <c r="V131" s="22">
        <v>3</v>
      </c>
      <c r="W131" s="22">
        <v>2</v>
      </c>
      <c r="X131" s="22">
        <v>1</v>
      </c>
      <c r="Y131" s="22">
        <v>4</v>
      </c>
      <c r="Z131" s="22">
        <v>4</v>
      </c>
      <c r="AA131" s="22">
        <v>4</v>
      </c>
      <c r="AB131" s="22">
        <v>4</v>
      </c>
      <c r="AC131" s="22">
        <v>4</v>
      </c>
      <c r="AD131" s="22">
        <v>2</v>
      </c>
      <c r="AE131" s="22">
        <v>4</v>
      </c>
      <c r="AF131" s="22">
        <v>3</v>
      </c>
      <c r="AG131" s="22">
        <v>4</v>
      </c>
      <c r="AH131" s="22">
        <v>3</v>
      </c>
      <c r="AI131" s="22">
        <v>4</v>
      </c>
      <c r="AJ131" s="22">
        <v>2</v>
      </c>
      <c r="AK131" s="22">
        <v>4</v>
      </c>
      <c r="AL131" s="22">
        <v>2</v>
      </c>
      <c r="AM131" s="22">
        <v>3</v>
      </c>
      <c r="AN131" s="22">
        <v>4</v>
      </c>
      <c r="AO131" s="22">
        <v>1</v>
      </c>
      <c r="AP131" s="22">
        <v>4</v>
      </c>
      <c r="AQ131" s="22">
        <v>4</v>
      </c>
      <c r="AR131" s="22">
        <v>1</v>
      </c>
      <c r="AS131" s="22">
        <v>5</v>
      </c>
      <c r="AT131" s="22">
        <v>1</v>
      </c>
      <c r="AU131" s="22">
        <v>5</v>
      </c>
      <c r="AV131" s="22">
        <v>2</v>
      </c>
      <c r="AW131" s="22">
        <v>4</v>
      </c>
      <c r="AX131" s="22">
        <v>3</v>
      </c>
      <c r="AY131" s="22">
        <v>1</v>
      </c>
      <c r="AZ131" s="22">
        <v>3</v>
      </c>
      <c r="BA131" s="22">
        <v>3</v>
      </c>
      <c r="BB131" s="22">
        <v>2</v>
      </c>
      <c r="BC131" s="22">
        <v>4</v>
      </c>
      <c r="BD131" s="22">
        <v>2</v>
      </c>
      <c r="BE131" s="22">
        <v>3</v>
      </c>
      <c r="BF131" s="22">
        <v>3</v>
      </c>
      <c r="BG131" s="22">
        <v>2</v>
      </c>
      <c r="BH131" s="22">
        <v>4</v>
      </c>
      <c r="BI131" s="22">
        <v>4</v>
      </c>
      <c r="BJ131" s="22">
        <v>3</v>
      </c>
      <c r="BK131" s="22">
        <v>2</v>
      </c>
      <c r="BL131" s="22">
        <v>3</v>
      </c>
      <c r="BM131" s="22">
        <v>5</v>
      </c>
      <c r="BN131" s="22">
        <v>3</v>
      </c>
      <c r="BO131" s="22">
        <v>5</v>
      </c>
      <c r="BP131" s="22">
        <v>2</v>
      </c>
      <c r="BQ131" s="22">
        <v>4</v>
      </c>
      <c r="BR131" s="22">
        <v>4</v>
      </c>
      <c r="BS131" s="22">
        <v>4</v>
      </c>
      <c r="BT131" s="22">
        <v>3</v>
      </c>
      <c r="BU131" s="22">
        <v>3</v>
      </c>
      <c r="BV131" s="22">
        <v>5</v>
      </c>
      <c r="BW131" s="22">
        <v>4</v>
      </c>
      <c r="BY131" s="24" t="s">
        <v>34</v>
      </c>
      <c r="BZ131" s="24" t="s">
        <v>109</v>
      </c>
      <c r="CA131" s="24">
        <v>1</v>
      </c>
      <c r="CB131" s="24" t="s">
        <v>36</v>
      </c>
      <c r="CC131" s="24" t="s">
        <v>65</v>
      </c>
      <c r="CF131" s="24">
        <v>0</v>
      </c>
      <c r="CG131" s="24">
        <v>0</v>
      </c>
      <c r="CH131" s="24" t="s">
        <v>51</v>
      </c>
      <c r="CK131" s="24" t="s">
        <v>38</v>
      </c>
      <c r="CL131" s="24">
        <v>1</v>
      </c>
      <c r="CM131" s="24" t="s">
        <v>45</v>
      </c>
    </row>
    <row r="132" spans="1:91" ht="14" customHeight="1" x14ac:dyDescent="0.35">
      <c r="A132" t="s">
        <v>896</v>
      </c>
      <c r="B132" t="str">
        <f t="shared" ref="B132:B135" si="3">"p"&amp;ROW(A130)</f>
        <v>p130</v>
      </c>
      <c r="D132" s="38">
        <v>46002.82608796296</v>
      </c>
      <c r="E132" s="24" t="s">
        <v>955</v>
      </c>
      <c r="F132" s="24">
        <v>100</v>
      </c>
      <c r="G132" s="24">
        <v>822</v>
      </c>
      <c r="H132" s="24" t="b">
        <v>1</v>
      </c>
      <c r="I132" s="38">
        <v>46002.82608796296</v>
      </c>
      <c r="J132" s="24" t="s">
        <v>956</v>
      </c>
      <c r="N132" s="24" t="s">
        <v>844</v>
      </c>
      <c r="O132" s="24" t="s">
        <v>851</v>
      </c>
      <c r="P132" s="22">
        <v>4</v>
      </c>
      <c r="Q132" s="22">
        <v>4</v>
      </c>
      <c r="R132" s="22">
        <v>3</v>
      </c>
      <c r="S132" s="22">
        <v>4</v>
      </c>
      <c r="T132" s="22">
        <v>3</v>
      </c>
      <c r="U132" s="22">
        <v>3</v>
      </c>
      <c r="V132" s="22">
        <v>3</v>
      </c>
      <c r="W132" s="22">
        <v>2</v>
      </c>
      <c r="X132" s="22">
        <v>2</v>
      </c>
      <c r="Y132" s="22">
        <v>4</v>
      </c>
      <c r="Z132" s="22">
        <v>3</v>
      </c>
      <c r="AA132" s="22">
        <v>4</v>
      </c>
      <c r="AB132" s="22">
        <v>3</v>
      </c>
      <c r="AC132" s="22">
        <v>3</v>
      </c>
      <c r="AD132" s="22">
        <v>1</v>
      </c>
      <c r="AE132" s="22">
        <v>2</v>
      </c>
      <c r="AF132" s="22">
        <v>2</v>
      </c>
      <c r="AG132" s="22">
        <v>2</v>
      </c>
      <c r="AH132" s="22">
        <v>4</v>
      </c>
      <c r="AI132" s="22">
        <v>2</v>
      </c>
      <c r="AJ132" s="22">
        <v>2</v>
      </c>
      <c r="AK132" s="22">
        <v>4</v>
      </c>
      <c r="AL132" s="22">
        <v>3</v>
      </c>
      <c r="AM132" s="22">
        <v>3</v>
      </c>
      <c r="AN132" s="22">
        <v>3</v>
      </c>
      <c r="AO132" s="22">
        <v>4</v>
      </c>
      <c r="AP132" s="22">
        <v>3</v>
      </c>
      <c r="AQ132" s="22">
        <v>3</v>
      </c>
      <c r="AR132" s="22">
        <v>2</v>
      </c>
      <c r="AS132" s="22">
        <v>4</v>
      </c>
      <c r="AT132" s="22">
        <v>2</v>
      </c>
      <c r="AU132" s="22">
        <v>3</v>
      </c>
      <c r="AV132" s="22">
        <v>2</v>
      </c>
      <c r="AW132" s="22">
        <v>3</v>
      </c>
      <c r="AX132" s="22">
        <v>3</v>
      </c>
      <c r="AY132" s="22">
        <v>2</v>
      </c>
      <c r="AZ132" s="22">
        <v>4</v>
      </c>
      <c r="BA132" s="22">
        <v>3</v>
      </c>
      <c r="BB132" s="22">
        <v>4</v>
      </c>
      <c r="BC132" s="22">
        <v>4</v>
      </c>
      <c r="BD132" s="22">
        <v>3</v>
      </c>
      <c r="BE132" s="22">
        <v>4</v>
      </c>
      <c r="BF132" s="22">
        <v>3</v>
      </c>
      <c r="BG132" s="22">
        <v>3</v>
      </c>
      <c r="BH132" s="22">
        <v>3</v>
      </c>
      <c r="BI132" s="22">
        <v>3</v>
      </c>
      <c r="BJ132" s="22">
        <v>3</v>
      </c>
      <c r="BK132" s="22">
        <v>3</v>
      </c>
      <c r="BL132" s="22">
        <v>4</v>
      </c>
      <c r="BM132" s="22">
        <v>3</v>
      </c>
      <c r="BN132" s="22">
        <v>3</v>
      </c>
      <c r="BO132" s="22">
        <v>3</v>
      </c>
      <c r="BP132" s="22">
        <v>2</v>
      </c>
      <c r="BQ132" s="22">
        <v>3</v>
      </c>
      <c r="BR132" s="22">
        <v>3</v>
      </c>
      <c r="BS132" s="22">
        <v>2</v>
      </c>
      <c r="BT132" s="22">
        <v>1</v>
      </c>
      <c r="BU132" s="22">
        <v>2</v>
      </c>
      <c r="BV132" s="22">
        <v>4</v>
      </c>
      <c r="BW132" s="22">
        <v>4</v>
      </c>
      <c r="BY132" s="24" t="s">
        <v>34</v>
      </c>
      <c r="BZ132" s="24" t="s">
        <v>35</v>
      </c>
      <c r="CA132" s="24">
        <v>0</v>
      </c>
      <c r="CB132" s="24" t="s">
        <v>36</v>
      </c>
      <c r="CC132" s="24" t="s">
        <v>53</v>
      </c>
      <c r="CF132" s="24">
        <v>0</v>
      </c>
      <c r="CG132" s="24">
        <v>0</v>
      </c>
      <c r="CH132" s="24" t="s">
        <v>51</v>
      </c>
      <c r="CK132" s="24" t="s">
        <v>38</v>
      </c>
      <c r="CL132" s="24">
        <v>1</v>
      </c>
      <c r="CM132" s="24" t="s">
        <v>45</v>
      </c>
    </row>
    <row r="133" spans="1:91" ht="14" customHeight="1" x14ac:dyDescent="0.35">
      <c r="A133" t="s">
        <v>897</v>
      </c>
      <c r="B133" t="str">
        <f t="shared" si="3"/>
        <v>p131</v>
      </c>
      <c r="D133" s="38">
        <v>46004.768865740742</v>
      </c>
      <c r="E133" s="24" t="s">
        <v>957</v>
      </c>
      <c r="F133" s="24">
        <v>100</v>
      </c>
      <c r="G133" s="24">
        <v>440</v>
      </c>
      <c r="H133" s="24" t="b">
        <v>1</v>
      </c>
      <c r="I133" s="38">
        <v>46004.768877314818</v>
      </c>
      <c r="J133" s="24" t="s">
        <v>958</v>
      </c>
      <c r="N133" s="24" t="s">
        <v>845</v>
      </c>
      <c r="O133" s="24" t="s">
        <v>846</v>
      </c>
      <c r="P133" s="22">
        <v>4</v>
      </c>
      <c r="Q133" s="22">
        <v>5</v>
      </c>
      <c r="R133" s="22">
        <v>5</v>
      </c>
      <c r="S133" s="22">
        <v>4</v>
      </c>
      <c r="T133" s="22">
        <v>5</v>
      </c>
      <c r="U133" s="22">
        <v>5</v>
      </c>
      <c r="V133" s="22">
        <v>5</v>
      </c>
      <c r="W133" s="22">
        <v>2</v>
      </c>
      <c r="X133" s="22">
        <v>4</v>
      </c>
      <c r="Y133" s="22">
        <v>3</v>
      </c>
      <c r="Z133" s="22">
        <v>5</v>
      </c>
      <c r="AA133" s="22">
        <v>3</v>
      </c>
      <c r="AB133" s="22">
        <v>5</v>
      </c>
      <c r="AC133" s="22">
        <v>5</v>
      </c>
      <c r="AD133" s="22">
        <v>1</v>
      </c>
      <c r="AE133" s="22">
        <v>1</v>
      </c>
      <c r="AF133" s="22">
        <v>1</v>
      </c>
      <c r="AG133" s="22">
        <v>1</v>
      </c>
      <c r="AH133" s="22">
        <v>2</v>
      </c>
      <c r="AI133" s="22">
        <v>4</v>
      </c>
      <c r="AJ133" s="22">
        <v>1</v>
      </c>
      <c r="AK133" s="22">
        <v>3</v>
      </c>
      <c r="AL133" s="22">
        <v>2</v>
      </c>
      <c r="AM133" s="22">
        <v>2</v>
      </c>
      <c r="AN133" s="22">
        <v>4</v>
      </c>
      <c r="AO133" s="22">
        <v>2</v>
      </c>
      <c r="AP133" s="22">
        <v>5</v>
      </c>
      <c r="AQ133" s="22">
        <v>5</v>
      </c>
      <c r="AR133" s="22">
        <v>1</v>
      </c>
      <c r="AS133" s="22">
        <v>3</v>
      </c>
      <c r="AT133" s="22">
        <v>2</v>
      </c>
      <c r="AU133" s="22">
        <v>5</v>
      </c>
      <c r="AV133" s="22">
        <v>1</v>
      </c>
      <c r="AW133" s="22">
        <v>1</v>
      </c>
      <c r="AX133" s="22">
        <v>2</v>
      </c>
      <c r="AY133" s="22">
        <v>1</v>
      </c>
      <c r="AZ133" s="22">
        <v>5</v>
      </c>
      <c r="BA133" s="22">
        <v>4</v>
      </c>
      <c r="BB133" s="22">
        <v>5</v>
      </c>
      <c r="BC133" s="22">
        <v>3</v>
      </c>
      <c r="BD133" s="22">
        <v>3</v>
      </c>
      <c r="BE133" s="22">
        <v>5</v>
      </c>
      <c r="BF133" s="22">
        <v>5</v>
      </c>
      <c r="BG133" s="22">
        <v>5</v>
      </c>
      <c r="BH133" s="22">
        <v>5</v>
      </c>
      <c r="BI133" s="22">
        <v>4</v>
      </c>
      <c r="BJ133" s="22">
        <v>5</v>
      </c>
      <c r="BK133" s="22">
        <v>3</v>
      </c>
      <c r="BL133" s="22">
        <v>5</v>
      </c>
      <c r="BM133" s="22">
        <v>5</v>
      </c>
      <c r="BN133" s="22">
        <v>1</v>
      </c>
      <c r="BO133" s="22">
        <v>1</v>
      </c>
      <c r="BP133" s="22">
        <v>4</v>
      </c>
      <c r="BQ133" s="22">
        <v>5</v>
      </c>
      <c r="BR133" s="22">
        <v>5</v>
      </c>
      <c r="BS133" s="22">
        <v>4</v>
      </c>
      <c r="BT133" s="22">
        <v>3</v>
      </c>
      <c r="BU133" s="22">
        <v>1</v>
      </c>
      <c r="BV133" s="22">
        <v>5</v>
      </c>
      <c r="BW133" s="22">
        <v>5</v>
      </c>
      <c r="BY133" s="24" t="s">
        <v>34</v>
      </c>
      <c r="BZ133" s="24" t="s">
        <v>35</v>
      </c>
      <c r="CA133" s="24">
        <v>0</v>
      </c>
      <c r="CB133" s="24" t="s">
        <v>36</v>
      </c>
      <c r="CC133" s="24" t="s">
        <v>53</v>
      </c>
      <c r="CF133" s="24">
        <v>0</v>
      </c>
      <c r="CG133" s="24">
        <v>2</v>
      </c>
      <c r="CH133" s="24" t="s">
        <v>37</v>
      </c>
      <c r="CK133" s="24" t="s">
        <v>38</v>
      </c>
      <c r="CL133" s="24">
        <v>1</v>
      </c>
      <c r="CM133" s="24" t="s">
        <v>45</v>
      </c>
    </row>
    <row r="134" spans="1:91" ht="14" customHeight="1" x14ac:dyDescent="0.35">
      <c r="A134" t="s">
        <v>898</v>
      </c>
      <c r="B134" t="str">
        <f t="shared" si="3"/>
        <v>p132</v>
      </c>
      <c r="D134" s="38">
        <v>46004.770300925928</v>
      </c>
      <c r="E134" s="24" t="s">
        <v>959</v>
      </c>
      <c r="F134" s="24">
        <v>100</v>
      </c>
      <c r="G134" s="24">
        <v>548</v>
      </c>
      <c r="H134" s="24" t="b">
        <v>1</v>
      </c>
      <c r="I134" s="38">
        <v>46004.770312499997</v>
      </c>
      <c r="J134" s="24" t="s">
        <v>960</v>
      </c>
      <c r="N134" s="24" t="s">
        <v>847</v>
      </c>
      <c r="O134" s="24" t="s">
        <v>848</v>
      </c>
      <c r="P134" s="22">
        <v>4</v>
      </c>
      <c r="Q134" s="22">
        <v>3</v>
      </c>
      <c r="R134" s="22">
        <v>2</v>
      </c>
      <c r="S134" s="22">
        <v>5</v>
      </c>
      <c r="T134" s="22">
        <v>2</v>
      </c>
      <c r="U134" s="22">
        <v>5</v>
      </c>
      <c r="V134" s="22">
        <v>3</v>
      </c>
      <c r="W134" s="22">
        <v>2</v>
      </c>
      <c r="X134" s="22">
        <v>3</v>
      </c>
      <c r="Y134" s="22">
        <v>5</v>
      </c>
      <c r="Z134" s="22">
        <v>2</v>
      </c>
      <c r="AA134" s="22">
        <v>4</v>
      </c>
      <c r="AB134" s="22">
        <v>4</v>
      </c>
      <c r="AC134" s="22">
        <v>2</v>
      </c>
      <c r="AD134" s="22">
        <v>1</v>
      </c>
      <c r="AE134" s="22">
        <v>2</v>
      </c>
      <c r="AF134" s="22">
        <v>2</v>
      </c>
      <c r="AG134" s="22">
        <v>3</v>
      </c>
      <c r="AH134" s="22">
        <v>2</v>
      </c>
      <c r="AI134" s="22">
        <v>3</v>
      </c>
      <c r="AJ134" s="22">
        <v>2</v>
      </c>
      <c r="AK134" s="22">
        <v>4</v>
      </c>
      <c r="AL134" s="22">
        <v>2</v>
      </c>
      <c r="AM134" s="22">
        <v>2</v>
      </c>
      <c r="AN134" s="22">
        <v>4</v>
      </c>
      <c r="AO134" s="22">
        <v>2</v>
      </c>
      <c r="AP134" s="22">
        <v>4</v>
      </c>
      <c r="AQ134" s="22">
        <v>3</v>
      </c>
      <c r="AR134" s="22">
        <v>2</v>
      </c>
      <c r="AS134" s="22">
        <v>5</v>
      </c>
      <c r="AT134" s="22">
        <v>2</v>
      </c>
      <c r="AU134" s="22">
        <v>4</v>
      </c>
      <c r="AV134" s="22">
        <v>3</v>
      </c>
      <c r="AW134" s="22">
        <v>2</v>
      </c>
      <c r="AX134" s="22">
        <v>4</v>
      </c>
      <c r="AY134" s="22">
        <v>2</v>
      </c>
      <c r="AZ134" s="22">
        <v>4</v>
      </c>
      <c r="BA134" s="22">
        <v>2</v>
      </c>
      <c r="BB134" s="22">
        <v>4</v>
      </c>
      <c r="BC134" s="22">
        <v>3</v>
      </c>
      <c r="BD134" s="22">
        <v>2</v>
      </c>
      <c r="BE134" s="22">
        <v>5</v>
      </c>
      <c r="BF134" s="22">
        <v>3</v>
      </c>
      <c r="BG134" s="22">
        <v>3</v>
      </c>
      <c r="BH134" s="22">
        <v>4</v>
      </c>
      <c r="BI134" s="22">
        <v>2</v>
      </c>
      <c r="BJ134" s="22">
        <v>3</v>
      </c>
      <c r="BK134" s="22">
        <v>3</v>
      </c>
      <c r="BL134" s="22">
        <v>3</v>
      </c>
      <c r="BM134" s="22">
        <v>4</v>
      </c>
      <c r="BN134" s="22">
        <v>2</v>
      </c>
      <c r="BO134" s="22">
        <v>3</v>
      </c>
      <c r="BP134" s="22">
        <v>2</v>
      </c>
      <c r="BQ134" s="22">
        <v>3</v>
      </c>
      <c r="BR134" s="22">
        <v>3</v>
      </c>
      <c r="BS134" s="22">
        <v>2</v>
      </c>
      <c r="BT134" s="22">
        <v>2</v>
      </c>
      <c r="BU134" s="22">
        <v>3</v>
      </c>
      <c r="BV134" s="22">
        <v>4</v>
      </c>
      <c r="BW134" s="22">
        <v>3</v>
      </c>
      <c r="BY134" s="24" t="s">
        <v>34</v>
      </c>
      <c r="BZ134" s="24" t="s">
        <v>35</v>
      </c>
      <c r="CA134" s="24">
        <v>0</v>
      </c>
      <c r="CB134" s="24" t="s">
        <v>36</v>
      </c>
      <c r="CC134" s="24" t="s">
        <v>53</v>
      </c>
      <c r="CF134" s="24">
        <v>0</v>
      </c>
      <c r="CG134" s="24">
        <v>0</v>
      </c>
      <c r="CH134" s="24" t="s">
        <v>51</v>
      </c>
      <c r="CK134" s="24" t="s">
        <v>38</v>
      </c>
      <c r="CL134" s="24">
        <v>1</v>
      </c>
      <c r="CM134" s="24" t="s">
        <v>45</v>
      </c>
    </row>
    <row r="135" spans="1:91" ht="14" customHeight="1" x14ac:dyDescent="0.35">
      <c r="A135" t="s">
        <v>899</v>
      </c>
      <c r="B135" t="str">
        <f t="shared" si="3"/>
        <v>p133</v>
      </c>
      <c r="D135" s="38">
        <v>46004.77070601852</v>
      </c>
      <c r="E135" s="24" t="s">
        <v>961</v>
      </c>
      <c r="F135" s="24">
        <v>100</v>
      </c>
      <c r="G135" s="24">
        <v>596</v>
      </c>
      <c r="H135" s="24" t="b">
        <v>1</v>
      </c>
      <c r="I135" s="38">
        <v>46004.77070601852</v>
      </c>
      <c r="J135" s="24" t="s">
        <v>962</v>
      </c>
      <c r="N135" s="24" t="s">
        <v>849</v>
      </c>
      <c r="O135" s="24" t="s">
        <v>850</v>
      </c>
      <c r="P135" s="22">
        <v>5</v>
      </c>
      <c r="Q135" s="22">
        <v>3</v>
      </c>
      <c r="R135" s="22">
        <v>2</v>
      </c>
      <c r="S135" s="22">
        <v>2</v>
      </c>
      <c r="T135" s="22">
        <v>4</v>
      </c>
      <c r="U135" s="22">
        <v>5</v>
      </c>
      <c r="V135" s="22">
        <v>5</v>
      </c>
      <c r="W135" s="22">
        <v>1</v>
      </c>
      <c r="X135" s="22">
        <v>4</v>
      </c>
      <c r="Y135" s="22">
        <v>5</v>
      </c>
      <c r="Z135" s="22">
        <v>3</v>
      </c>
      <c r="AA135" s="22">
        <v>5</v>
      </c>
      <c r="AB135" s="22">
        <v>5</v>
      </c>
      <c r="AC135" s="22">
        <v>2</v>
      </c>
      <c r="AD135" s="22">
        <v>2</v>
      </c>
      <c r="AE135" s="22">
        <v>1</v>
      </c>
      <c r="AF135" s="22">
        <v>2</v>
      </c>
      <c r="AG135" s="22">
        <v>3</v>
      </c>
      <c r="AH135" s="22">
        <v>1</v>
      </c>
      <c r="AI135" s="22">
        <v>1</v>
      </c>
      <c r="AJ135" s="22">
        <v>1</v>
      </c>
      <c r="AK135" s="22">
        <v>4</v>
      </c>
      <c r="AL135" s="22">
        <v>5</v>
      </c>
      <c r="AM135" s="22">
        <v>1</v>
      </c>
      <c r="AN135" s="22">
        <v>5</v>
      </c>
      <c r="AO135" s="22">
        <v>1</v>
      </c>
      <c r="AP135" s="22">
        <v>4</v>
      </c>
      <c r="AQ135" s="22">
        <v>3</v>
      </c>
      <c r="AR135" s="22">
        <v>1</v>
      </c>
      <c r="AS135" s="22">
        <v>4</v>
      </c>
      <c r="AT135" s="22">
        <v>1</v>
      </c>
      <c r="AU135" s="22">
        <v>4</v>
      </c>
      <c r="AV135" s="22">
        <v>2</v>
      </c>
      <c r="AW135" s="22">
        <v>3</v>
      </c>
      <c r="AX135" s="22">
        <v>4</v>
      </c>
      <c r="AY135" s="22">
        <v>1</v>
      </c>
      <c r="AZ135" s="22">
        <v>4</v>
      </c>
      <c r="BA135" s="22">
        <v>5</v>
      </c>
      <c r="BB135" s="22">
        <v>5</v>
      </c>
      <c r="BC135" s="22">
        <v>3</v>
      </c>
      <c r="BD135" s="22">
        <v>1</v>
      </c>
      <c r="BE135" s="22">
        <v>5</v>
      </c>
      <c r="BF135" s="22">
        <v>2</v>
      </c>
      <c r="BG135" s="22">
        <v>5</v>
      </c>
      <c r="BH135" s="22">
        <v>4</v>
      </c>
      <c r="BI135" s="22">
        <v>1</v>
      </c>
      <c r="BJ135" s="22">
        <v>5</v>
      </c>
      <c r="BK135" s="22">
        <v>2</v>
      </c>
      <c r="BL135" s="22">
        <v>4</v>
      </c>
      <c r="BM135" s="22">
        <v>5</v>
      </c>
      <c r="BN135" s="22">
        <v>1</v>
      </c>
      <c r="BO135" s="22">
        <v>2</v>
      </c>
      <c r="BP135" s="22">
        <v>1</v>
      </c>
      <c r="BQ135" s="22">
        <v>5</v>
      </c>
      <c r="BR135" s="22">
        <v>5</v>
      </c>
      <c r="BS135" s="22">
        <v>1</v>
      </c>
      <c r="BT135" s="22">
        <v>3</v>
      </c>
      <c r="BU135" s="22">
        <v>1</v>
      </c>
      <c r="BV135" s="22">
        <v>5</v>
      </c>
      <c r="BW135" s="22">
        <v>2</v>
      </c>
      <c r="BY135" s="24" t="s">
        <v>34</v>
      </c>
      <c r="BZ135" s="24" t="s">
        <v>35</v>
      </c>
      <c r="CA135" s="24">
        <v>0</v>
      </c>
      <c r="CB135" s="24" t="s">
        <v>963</v>
      </c>
      <c r="CC135" s="24" t="s">
        <v>963</v>
      </c>
      <c r="CF135" s="24">
        <v>0</v>
      </c>
      <c r="CG135" s="24">
        <v>0</v>
      </c>
      <c r="CH135" s="24" t="s">
        <v>51</v>
      </c>
      <c r="CK135" s="24" t="s">
        <v>38</v>
      </c>
      <c r="CL135" s="24">
        <v>1</v>
      </c>
      <c r="CM135" s="24" t="s">
        <v>45</v>
      </c>
    </row>
  </sheetData>
  <autoFilter ref="C2:CN107" xr:uid="{00000000-0009-0000-0000-000000000000}">
    <sortState xmlns:xlrd2="http://schemas.microsoft.com/office/spreadsheetml/2017/richdata2" ref="C3:CN107">
      <sortCondition ref="C2:C107"/>
    </sortState>
  </autoFilter>
  <pageMargins left="0.7" right="0.7" top="0.75" bottom="0.75" header="0.3" footer="0.3"/>
  <ignoredErrors>
    <ignoredError sqref="E2 H2 J2 M2 N2 O2 BX2 BY2 BZ2 CA2 CC2 CD2 CE2 CH2 CI2 CJ2 CK2 CM2 CN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BB78-B14D-4F1F-975A-CDFF959384DF}">
  <sheetPr codeName="Worksheet______2"/>
  <dimension ref="A1:BM136"/>
  <sheetViews>
    <sheetView workbookViewId="0">
      <pane xSplit="1" ySplit="3" topLeftCell="D120" activePane="bottomRight" state="frozen"/>
      <selection pane="topRight" activeCell="B1" sqref="B1"/>
      <selection pane="bottomLeft" activeCell="A4" sqref="A4"/>
      <selection pane="bottomRight" activeCell="X1" sqref="X1:X136"/>
    </sheetView>
  </sheetViews>
  <sheetFormatPr defaultRowHeight="13.5" customHeight="1" x14ac:dyDescent="0.35"/>
  <cols>
    <col min="1" max="1" width="5.81640625" bestFit="1" customWidth="1"/>
    <col min="2" max="2" width="10.54296875" customWidth="1"/>
    <col min="3" max="3" width="10.1796875" customWidth="1"/>
    <col min="4" max="4" width="8.6328125" customWidth="1"/>
    <col min="5" max="63" width="7.1796875" customWidth="1"/>
    <col min="65" max="65" width="15.08984375" bestFit="1" customWidth="1"/>
  </cols>
  <sheetData>
    <row r="1" spans="1:65" ht="13.5" customHeight="1" x14ac:dyDescent="0.35">
      <c r="A1" s="4"/>
      <c r="B1" s="4"/>
      <c r="C1" s="4"/>
      <c r="D1" s="5">
        <v>1</v>
      </c>
      <c r="E1" s="5">
        <v>2</v>
      </c>
      <c r="F1" s="5">
        <v>3</v>
      </c>
      <c r="G1" s="5">
        <v>4</v>
      </c>
      <c r="H1" s="5">
        <v>5</v>
      </c>
      <c r="I1" s="5">
        <v>6</v>
      </c>
      <c r="J1" s="5">
        <v>7</v>
      </c>
      <c r="K1" s="5">
        <v>8</v>
      </c>
      <c r="L1" s="5">
        <v>9</v>
      </c>
      <c r="M1" s="5">
        <v>10</v>
      </c>
      <c r="N1" s="5">
        <v>11</v>
      </c>
      <c r="O1" s="5">
        <v>12</v>
      </c>
      <c r="P1" s="5">
        <v>13</v>
      </c>
      <c r="Q1" s="5">
        <v>14</v>
      </c>
      <c r="R1" s="5">
        <v>15</v>
      </c>
      <c r="S1" s="5">
        <v>16</v>
      </c>
      <c r="T1" s="5">
        <v>17</v>
      </c>
      <c r="U1" s="5">
        <v>18</v>
      </c>
      <c r="V1" s="5">
        <v>19</v>
      </c>
      <c r="W1" s="5">
        <v>20</v>
      </c>
      <c r="X1" s="5">
        <v>21</v>
      </c>
      <c r="Y1" s="5">
        <v>22</v>
      </c>
      <c r="Z1" s="5">
        <v>23</v>
      </c>
      <c r="AA1" s="5">
        <v>24</v>
      </c>
      <c r="AB1" s="5">
        <v>25</v>
      </c>
      <c r="AC1" s="5">
        <v>26</v>
      </c>
      <c r="AD1" s="5">
        <v>27</v>
      </c>
      <c r="AE1" s="5">
        <v>28</v>
      </c>
      <c r="AF1" s="5">
        <v>29</v>
      </c>
      <c r="AG1" s="5">
        <v>30</v>
      </c>
      <c r="AH1" s="5">
        <v>31</v>
      </c>
      <c r="AI1" s="5">
        <v>32</v>
      </c>
      <c r="AJ1" s="5">
        <v>33</v>
      </c>
      <c r="AK1" s="5">
        <v>34</v>
      </c>
      <c r="AL1" s="5">
        <v>35</v>
      </c>
      <c r="AM1" s="5">
        <v>36</v>
      </c>
      <c r="AN1" s="5">
        <v>37</v>
      </c>
      <c r="AO1" s="5">
        <v>38</v>
      </c>
      <c r="AP1" s="5">
        <v>39</v>
      </c>
      <c r="AQ1" s="5">
        <v>40</v>
      </c>
      <c r="AR1" s="5">
        <v>41</v>
      </c>
      <c r="AS1" s="5">
        <v>42</v>
      </c>
      <c r="AT1" s="5">
        <v>43</v>
      </c>
      <c r="AU1" s="5">
        <v>44</v>
      </c>
      <c r="AV1" s="5">
        <v>45</v>
      </c>
      <c r="AW1" s="5">
        <v>46</v>
      </c>
      <c r="AX1" s="5">
        <v>47</v>
      </c>
      <c r="AY1" s="5">
        <v>48</v>
      </c>
      <c r="AZ1" s="5">
        <v>49</v>
      </c>
      <c r="BA1" s="5">
        <v>50</v>
      </c>
      <c r="BB1" s="5">
        <v>51</v>
      </c>
      <c r="BC1" s="5">
        <v>52</v>
      </c>
      <c r="BD1" s="5">
        <v>53</v>
      </c>
      <c r="BE1" s="5">
        <v>54</v>
      </c>
      <c r="BF1" s="5">
        <v>55</v>
      </c>
      <c r="BG1" s="5">
        <v>56</v>
      </c>
      <c r="BH1" s="5">
        <v>57</v>
      </c>
      <c r="BI1" s="5">
        <v>58</v>
      </c>
      <c r="BJ1" s="5">
        <v>59</v>
      </c>
      <c r="BK1" s="5">
        <v>60</v>
      </c>
    </row>
    <row r="2" spans="1:65" ht="13.5" customHeight="1" x14ac:dyDescent="0.35">
      <c r="A2" s="4"/>
      <c r="B2" s="52" t="s">
        <v>588</v>
      </c>
      <c r="C2" s="52"/>
      <c r="D2" s="41" t="s">
        <v>589</v>
      </c>
      <c r="E2" s="6" t="s">
        <v>590</v>
      </c>
      <c r="F2" s="42" t="s">
        <v>591</v>
      </c>
      <c r="G2" s="41" t="s">
        <v>589</v>
      </c>
      <c r="H2" s="39" t="s">
        <v>592</v>
      </c>
      <c r="I2" s="6" t="s">
        <v>590</v>
      </c>
      <c r="J2" s="40" t="s">
        <v>593</v>
      </c>
      <c r="K2" s="42" t="s">
        <v>591</v>
      </c>
      <c r="L2" s="40" t="s">
        <v>593</v>
      </c>
      <c r="M2" s="41" t="s">
        <v>589</v>
      </c>
      <c r="N2" s="39" t="s">
        <v>592</v>
      </c>
      <c r="O2" s="41" t="s">
        <v>589</v>
      </c>
      <c r="P2" s="40" t="s">
        <v>593</v>
      </c>
      <c r="Q2" s="42" t="s">
        <v>591</v>
      </c>
      <c r="R2" s="42" t="s">
        <v>594</v>
      </c>
      <c r="S2" s="42" t="s">
        <v>591</v>
      </c>
      <c r="T2" s="39" t="s">
        <v>595</v>
      </c>
      <c r="U2" s="40" t="s">
        <v>596</v>
      </c>
      <c r="V2" s="42" t="s">
        <v>591</v>
      </c>
      <c r="W2" s="42" t="s">
        <v>597</v>
      </c>
      <c r="X2" s="6" t="s">
        <v>598</v>
      </c>
      <c r="Y2" s="41" t="s">
        <v>594</v>
      </c>
      <c r="Z2" s="39" t="s">
        <v>595</v>
      </c>
      <c r="AA2" s="42" t="s">
        <v>591</v>
      </c>
      <c r="AB2" s="42" t="s">
        <v>597</v>
      </c>
      <c r="AC2" s="6" t="s">
        <v>598</v>
      </c>
      <c r="AD2" s="6" t="s">
        <v>590</v>
      </c>
      <c r="AE2" s="39" t="s">
        <v>592</v>
      </c>
      <c r="AF2" s="40" t="s">
        <v>596</v>
      </c>
      <c r="AG2" s="41" t="s">
        <v>589</v>
      </c>
      <c r="AH2" s="42" t="s">
        <v>591</v>
      </c>
      <c r="AI2" s="6" t="s">
        <v>590</v>
      </c>
      <c r="AJ2" s="39" t="s">
        <v>595</v>
      </c>
      <c r="AK2" s="40" t="s">
        <v>596</v>
      </c>
      <c r="AL2" s="41" t="s">
        <v>589</v>
      </c>
      <c r="AM2" s="42" t="s">
        <v>591</v>
      </c>
      <c r="AN2" s="6" t="s">
        <v>590</v>
      </c>
      <c r="AO2" s="39" t="s">
        <v>592</v>
      </c>
      <c r="AP2" s="40" t="s">
        <v>593</v>
      </c>
      <c r="AQ2" s="41" t="s">
        <v>589</v>
      </c>
      <c r="AR2" s="42" t="s">
        <v>591</v>
      </c>
      <c r="AS2" s="6" t="s">
        <v>590</v>
      </c>
      <c r="AT2" s="39" t="s">
        <v>592</v>
      </c>
      <c r="AU2" s="40" t="s">
        <v>593</v>
      </c>
      <c r="AV2" s="41" t="s">
        <v>589</v>
      </c>
      <c r="AW2" s="42" t="s">
        <v>591</v>
      </c>
      <c r="AX2" s="40" t="s">
        <v>593</v>
      </c>
      <c r="AY2" s="6" t="s">
        <v>590</v>
      </c>
      <c r="AZ2" s="39" t="s">
        <v>592</v>
      </c>
      <c r="BA2" s="6" t="s">
        <v>590</v>
      </c>
      <c r="BB2" s="39" t="s">
        <v>595</v>
      </c>
      <c r="BC2" s="40" t="s">
        <v>596</v>
      </c>
      <c r="BD2" s="41" t="s">
        <v>594</v>
      </c>
      <c r="BE2" s="40" t="s">
        <v>593</v>
      </c>
      <c r="BF2" s="39" t="s">
        <v>592</v>
      </c>
      <c r="BG2" s="6" t="s">
        <v>598</v>
      </c>
      <c r="BH2" s="41" t="s">
        <v>594</v>
      </c>
      <c r="BI2" s="40" t="s">
        <v>596</v>
      </c>
      <c r="BJ2" s="6" t="s">
        <v>590</v>
      </c>
      <c r="BK2" s="39" t="s">
        <v>592</v>
      </c>
    </row>
    <row r="3" spans="1:65" ht="13.5" customHeight="1" x14ac:dyDescent="0.35">
      <c r="A3" s="3" t="s">
        <v>599</v>
      </c>
      <c r="B3" s="3" t="s">
        <v>28</v>
      </c>
      <c r="C3" s="3" t="s">
        <v>29</v>
      </c>
      <c r="D3" s="3" t="s">
        <v>724</v>
      </c>
      <c r="E3" s="3" t="s">
        <v>712</v>
      </c>
      <c r="F3" s="3" t="s">
        <v>725</v>
      </c>
      <c r="G3" s="3" t="s">
        <v>726</v>
      </c>
      <c r="H3" s="3" t="s">
        <v>727</v>
      </c>
      <c r="I3" s="3" t="s">
        <v>713</v>
      </c>
      <c r="J3" s="3" t="s">
        <v>728</v>
      </c>
      <c r="K3" s="3" t="s">
        <v>729</v>
      </c>
      <c r="L3" s="3" t="s">
        <v>730</v>
      </c>
      <c r="M3" s="3" t="s">
        <v>731</v>
      </c>
      <c r="N3" s="3" t="s">
        <v>732</v>
      </c>
      <c r="O3" s="3" t="s">
        <v>733</v>
      </c>
      <c r="P3" s="3" t="s">
        <v>734</v>
      </c>
      <c r="Q3" s="3" t="s">
        <v>735</v>
      </c>
      <c r="R3" s="43" t="s">
        <v>736</v>
      </c>
      <c r="S3" s="3" t="s">
        <v>737</v>
      </c>
      <c r="T3" s="43" t="s">
        <v>738</v>
      </c>
      <c r="U3" s="43" t="s">
        <v>739</v>
      </c>
      <c r="V3" s="3" t="s">
        <v>740</v>
      </c>
      <c r="W3" s="3" t="s">
        <v>741</v>
      </c>
      <c r="X3" s="43" t="s">
        <v>714</v>
      </c>
      <c r="Y3" s="43" t="s">
        <v>742</v>
      </c>
      <c r="Z3" s="43" t="s">
        <v>743</v>
      </c>
      <c r="AA3" s="3" t="s">
        <v>744</v>
      </c>
      <c r="AB3" s="43" t="s">
        <v>745</v>
      </c>
      <c r="AC3" s="43" t="s">
        <v>715</v>
      </c>
      <c r="AD3" s="3" t="s">
        <v>716</v>
      </c>
      <c r="AE3" s="3" t="s">
        <v>746</v>
      </c>
      <c r="AF3" s="43" t="s">
        <v>747</v>
      </c>
      <c r="AG3" s="3" t="s">
        <v>748</v>
      </c>
      <c r="AH3" s="3" t="s">
        <v>749</v>
      </c>
      <c r="AI3" s="3" t="s">
        <v>717</v>
      </c>
      <c r="AJ3" s="43" t="s">
        <v>750</v>
      </c>
      <c r="AK3" s="43" t="s">
        <v>751</v>
      </c>
      <c r="AL3" s="3" t="s">
        <v>752</v>
      </c>
      <c r="AM3" s="3" t="s">
        <v>753</v>
      </c>
      <c r="AN3" s="3" t="s">
        <v>718</v>
      </c>
      <c r="AO3" s="3" t="s">
        <v>754</v>
      </c>
      <c r="AP3" s="3" t="s">
        <v>755</v>
      </c>
      <c r="AQ3" s="3" t="s">
        <v>756</v>
      </c>
      <c r="AR3" s="3" t="s">
        <v>757</v>
      </c>
      <c r="AS3" s="3" t="s">
        <v>719</v>
      </c>
      <c r="AT3" s="3" t="s">
        <v>758</v>
      </c>
      <c r="AU3" s="3" t="s">
        <v>759</v>
      </c>
      <c r="AV3" s="3" t="s">
        <v>760</v>
      </c>
      <c r="AW3" s="3" t="s">
        <v>761</v>
      </c>
      <c r="AX3" s="3" t="s">
        <v>762</v>
      </c>
      <c r="AY3" s="3" t="s">
        <v>720</v>
      </c>
      <c r="AZ3" s="3" t="s">
        <v>763</v>
      </c>
      <c r="BA3" s="3" t="s">
        <v>721</v>
      </c>
      <c r="BB3" s="43" t="s">
        <v>764</v>
      </c>
      <c r="BC3" s="43" t="s">
        <v>765</v>
      </c>
      <c r="BD3" s="43" t="s">
        <v>766</v>
      </c>
      <c r="BE3" s="3" t="s">
        <v>767</v>
      </c>
      <c r="BF3" s="3" t="s">
        <v>768</v>
      </c>
      <c r="BG3" s="43" t="s">
        <v>722</v>
      </c>
      <c r="BH3" s="43" t="s">
        <v>769</v>
      </c>
      <c r="BI3" s="43" t="s">
        <v>770</v>
      </c>
      <c r="BJ3" s="3" t="s">
        <v>723</v>
      </c>
      <c r="BK3" s="3" t="s">
        <v>771</v>
      </c>
      <c r="BL3" s="3" t="s">
        <v>3</v>
      </c>
      <c r="BM3" s="3" t="s">
        <v>707</v>
      </c>
    </row>
    <row r="4" spans="1:65" ht="13.5" customHeight="1" x14ac:dyDescent="0.35">
      <c r="A4" t="s">
        <v>600</v>
      </c>
      <c r="B4" s="2" t="s">
        <v>101</v>
      </c>
      <c r="C4" s="2" t="s">
        <v>102</v>
      </c>
      <c r="D4" s="5">
        <v>4</v>
      </c>
      <c r="E4" s="5">
        <v>5</v>
      </c>
      <c r="F4" s="5">
        <v>5</v>
      </c>
      <c r="G4" s="5">
        <v>2</v>
      </c>
      <c r="H4" s="5">
        <v>4</v>
      </c>
      <c r="I4" s="5">
        <v>4</v>
      </c>
      <c r="J4" s="5">
        <v>2</v>
      </c>
      <c r="K4" s="5">
        <v>3</v>
      </c>
      <c r="L4" s="5">
        <v>2</v>
      </c>
      <c r="M4" s="5">
        <v>4</v>
      </c>
      <c r="N4" s="5">
        <v>3</v>
      </c>
      <c r="O4" s="5">
        <v>4</v>
      </c>
      <c r="P4" s="5">
        <v>3</v>
      </c>
      <c r="Q4" s="5">
        <v>5</v>
      </c>
      <c r="R4" s="5">
        <v>4</v>
      </c>
      <c r="S4" s="5">
        <v>3</v>
      </c>
      <c r="T4" s="5">
        <v>4</v>
      </c>
      <c r="U4" s="5">
        <v>2</v>
      </c>
      <c r="V4" s="5">
        <v>3</v>
      </c>
      <c r="W4" s="5">
        <v>1</v>
      </c>
      <c r="X4" s="5">
        <v>5</v>
      </c>
      <c r="Y4" s="5">
        <v>3</v>
      </c>
      <c r="Z4" s="5">
        <v>3</v>
      </c>
      <c r="AA4" s="5">
        <v>4</v>
      </c>
      <c r="AB4" s="5">
        <v>2</v>
      </c>
      <c r="AC4" s="5">
        <v>3</v>
      </c>
      <c r="AD4" s="5">
        <v>3</v>
      </c>
      <c r="AE4" s="5">
        <v>3</v>
      </c>
      <c r="AF4" s="5">
        <v>1</v>
      </c>
      <c r="AG4" s="5">
        <v>5</v>
      </c>
      <c r="AH4" s="5">
        <v>5</v>
      </c>
      <c r="AI4" s="5">
        <v>4</v>
      </c>
      <c r="AJ4" s="5">
        <v>2</v>
      </c>
      <c r="AK4" s="5">
        <v>1</v>
      </c>
      <c r="AL4" s="5">
        <v>4</v>
      </c>
      <c r="AM4" s="5">
        <v>5</v>
      </c>
      <c r="AN4" s="5">
        <v>4</v>
      </c>
      <c r="AO4" s="5">
        <v>5</v>
      </c>
      <c r="AP4" s="5">
        <v>2</v>
      </c>
      <c r="AQ4" s="5">
        <v>5</v>
      </c>
      <c r="AR4" s="5">
        <v>4</v>
      </c>
      <c r="AS4" s="5">
        <v>4</v>
      </c>
      <c r="AT4" s="5">
        <v>5</v>
      </c>
      <c r="AU4" s="5">
        <v>2</v>
      </c>
      <c r="AV4" s="5">
        <v>5</v>
      </c>
      <c r="AW4" s="5">
        <v>3</v>
      </c>
      <c r="AX4" s="5">
        <v>3</v>
      </c>
      <c r="AY4" s="5">
        <v>5</v>
      </c>
      <c r="AZ4" s="5">
        <v>4</v>
      </c>
      <c r="BA4" s="5">
        <v>5</v>
      </c>
      <c r="BB4" s="5">
        <v>3</v>
      </c>
      <c r="BC4" s="5">
        <v>3</v>
      </c>
      <c r="BD4" s="5">
        <v>4</v>
      </c>
      <c r="BE4" s="5">
        <v>5</v>
      </c>
      <c r="BF4" s="5">
        <v>5</v>
      </c>
      <c r="BG4" s="5">
        <v>5</v>
      </c>
      <c r="BH4" s="5">
        <v>5</v>
      </c>
      <c r="BI4" s="5">
        <v>5</v>
      </c>
      <c r="BJ4" s="5">
        <v>5</v>
      </c>
      <c r="BK4" s="5">
        <v>5</v>
      </c>
      <c r="BL4" s="2" t="s">
        <v>103</v>
      </c>
      <c r="BM4" s="1">
        <v>45574.869530821758</v>
      </c>
    </row>
    <row r="5" spans="1:65" ht="13.5" customHeight="1" x14ac:dyDescent="0.35">
      <c r="A5" t="s">
        <v>601</v>
      </c>
      <c r="B5" s="2" t="s">
        <v>149</v>
      </c>
      <c r="C5" s="2" t="s">
        <v>150</v>
      </c>
      <c r="D5" s="5">
        <v>4</v>
      </c>
      <c r="E5" s="5">
        <v>5</v>
      </c>
      <c r="F5" s="5">
        <v>5</v>
      </c>
      <c r="G5" s="5">
        <v>5</v>
      </c>
      <c r="H5" s="5">
        <v>1</v>
      </c>
      <c r="I5" s="5">
        <v>5</v>
      </c>
      <c r="J5" s="5">
        <v>3</v>
      </c>
      <c r="K5" s="5">
        <v>4</v>
      </c>
      <c r="L5" s="5">
        <v>3</v>
      </c>
      <c r="M5" s="5">
        <v>4</v>
      </c>
      <c r="N5" s="5">
        <v>2</v>
      </c>
      <c r="O5" s="5">
        <v>4</v>
      </c>
      <c r="P5" s="5">
        <v>4</v>
      </c>
      <c r="Q5" s="5">
        <v>4</v>
      </c>
      <c r="R5" s="5">
        <v>5</v>
      </c>
      <c r="S5" s="5">
        <v>5</v>
      </c>
      <c r="T5" s="5">
        <v>3</v>
      </c>
      <c r="U5" s="5">
        <v>3</v>
      </c>
      <c r="V5" s="5">
        <v>4</v>
      </c>
      <c r="W5" s="5">
        <v>1</v>
      </c>
      <c r="X5" s="5">
        <v>5</v>
      </c>
      <c r="Y5" s="5">
        <v>2</v>
      </c>
      <c r="Z5" s="5">
        <v>1</v>
      </c>
      <c r="AA5" s="5">
        <v>4</v>
      </c>
      <c r="AB5" s="5">
        <v>4</v>
      </c>
      <c r="AC5" s="5">
        <v>5</v>
      </c>
      <c r="AD5" s="5">
        <v>3</v>
      </c>
      <c r="AE5" s="5">
        <v>4</v>
      </c>
      <c r="AF5" s="5">
        <v>4</v>
      </c>
      <c r="AG5" s="5">
        <v>5</v>
      </c>
      <c r="AH5" s="5">
        <v>4</v>
      </c>
      <c r="AI5" s="5">
        <v>5</v>
      </c>
      <c r="AJ5" s="5">
        <v>1</v>
      </c>
      <c r="AK5" s="5">
        <v>3</v>
      </c>
      <c r="AL5" s="5">
        <v>4</v>
      </c>
      <c r="AM5" s="5">
        <v>3</v>
      </c>
      <c r="AN5" s="5">
        <v>4</v>
      </c>
      <c r="AO5" s="5">
        <v>2</v>
      </c>
      <c r="AP5" s="5">
        <v>3</v>
      </c>
      <c r="AQ5" s="5">
        <v>3</v>
      </c>
      <c r="AR5" s="5">
        <v>4</v>
      </c>
      <c r="AS5" s="5">
        <v>5</v>
      </c>
      <c r="AT5" s="5">
        <v>2</v>
      </c>
      <c r="AU5" s="5">
        <v>4</v>
      </c>
      <c r="AV5" s="5">
        <v>4</v>
      </c>
      <c r="AW5" s="5">
        <v>2</v>
      </c>
      <c r="AX5" s="5">
        <v>4</v>
      </c>
      <c r="AY5" s="5">
        <v>4</v>
      </c>
      <c r="AZ5" s="5">
        <v>2</v>
      </c>
      <c r="BA5" s="5">
        <v>5</v>
      </c>
      <c r="BB5" s="5">
        <v>4</v>
      </c>
      <c r="BC5" s="5">
        <v>3</v>
      </c>
      <c r="BD5" s="5">
        <v>5</v>
      </c>
      <c r="BE5" s="5">
        <v>3</v>
      </c>
      <c r="BF5" s="5">
        <v>1</v>
      </c>
      <c r="BG5" s="5">
        <v>5</v>
      </c>
      <c r="BH5" s="5">
        <v>5</v>
      </c>
      <c r="BI5" s="5">
        <v>4</v>
      </c>
      <c r="BJ5" s="5">
        <v>5</v>
      </c>
      <c r="BK5" s="5">
        <v>3</v>
      </c>
      <c r="BL5" s="2" t="s">
        <v>151</v>
      </c>
      <c r="BM5" s="1">
        <v>45574.872162627318</v>
      </c>
    </row>
    <row r="6" spans="1:65" ht="13.5" customHeight="1" x14ac:dyDescent="0.35">
      <c r="A6" t="s">
        <v>602</v>
      </c>
      <c r="B6" s="2" t="s">
        <v>165</v>
      </c>
      <c r="C6" s="2" t="s">
        <v>166</v>
      </c>
      <c r="D6" s="5">
        <v>4</v>
      </c>
      <c r="E6" s="5">
        <v>5</v>
      </c>
      <c r="F6" s="5">
        <v>2</v>
      </c>
      <c r="G6" s="5">
        <v>5</v>
      </c>
      <c r="H6" s="5">
        <v>3</v>
      </c>
      <c r="I6" s="5">
        <v>2</v>
      </c>
      <c r="J6" s="5">
        <v>1</v>
      </c>
      <c r="K6" s="5">
        <v>5</v>
      </c>
      <c r="L6" s="5">
        <v>1</v>
      </c>
      <c r="M6" s="5">
        <v>4</v>
      </c>
      <c r="N6" s="5">
        <v>4</v>
      </c>
      <c r="O6" s="5">
        <v>3</v>
      </c>
      <c r="P6" s="5">
        <v>1</v>
      </c>
      <c r="Q6" s="5">
        <v>5</v>
      </c>
      <c r="R6" s="5">
        <v>5</v>
      </c>
      <c r="S6" s="5">
        <v>5</v>
      </c>
      <c r="T6" s="5">
        <v>2</v>
      </c>
      <c r="U6" s="5">
        <v>2</v>
      </c>
      <c r="V6" s="5">
        <v>5</v>
      </c>
      <c r="W6" s="5">
        <v>1</v>
      </c>
      <c r="X6" s="5">
        <v>5</v>
      </c>
      <c r="Y6" s="5">
        <v>1</v>
      </c>
      <c r="Z6" s="5">
        <v>4</v>
      </c>
      <c r="AA6" s="5">
        <v>5</v>
      </c>
      <c r="AB6" s="5">
        <v>5</v>
      </c>
      <c r="AC6" s="5">
        <v>5</v>
      </c>
      <c r="AD6" s="5">
        <v>3</v>
      </c>
      <c r="AE6" s="5">
        <v>3</v>
      </c>
      <c r="AF6" s="5">
        <v>2</v>
      </c>
      <c r="AG6" s="5">
        <v>5</v>
      </c>
      <c r="AH6" s="5">
        <v>5</v>
      </c>
      <c r="AI6" s="5">
        <v>4</v>
      </c>
      <c r="AJ6" s="5">
        <v>4</v>
      </c>
      <c r="AK6" s="5">
        <v>2</v>
      </c>
      <c r="AL6" s="5">
        <v>3</v>
      </c>
      <c r="AM6" s="5">
        <v>5</v>
      </c>
      <c r="AN6" s="5">
        <v>4</v>
      </c>
      <c r="AO6" s="5">
        <v>1</v>
      </c>
      <c r="AP6" s="5">
        <v>1</v>
      </c>
      <c r="AQ6" s="5">
        <v>5</v>
      </c>
      <c r="AR6" s="5">
        <v>2</v>
      </c>
      <c r="AS6" s="5">
        <v>4</v>
      </c>
      <c r="AT6" s="5">
        <v>5</v>
      </c>
      <c r="AU6" s="5">
        <v>3</v>
      </c>
      <c r="AV6" s="5">
        <v>4</v>
      </c>
      <c r="AW6" s="5">
        <v>2</v>
      </c>
      <c r="AX6" s="5">
        <v>4</v>
      </c>
      <c r="AY6" s="5">
        <v>5</v>
      </c>
      <c r="AZ6" s="5">
        <v>2</v>
      </c>
      <c r="BA6" s="5">
        <v>4</v>
      </c>
      <c r="BB6" s="5">
        <v>4</v>
      </c>
      <c r="BC6" s="5">
        <v>1</v>
      </c>
      <c r="BD6" s="5">
        <v>4</v>
      </c>
      <c r="BE6" s="5">
        <v>1</v>
      </c>
      <c r="BF6" s="5">
        <v>3</v>
      </c>
      <c r="BG6" s="5">
        <v>4</v>
      </c>
      <c r="BH6" s="5">
        <v>3</v>
      </c>
      <c r="BI6" s="5">
        <v>1</v>
      </c>
      <c r="BJ6" s="5">
        <v>3</v>
      </c>
      <c r="BK6" s="5">
        <v>2</v>
      </c>
      <c r="BL6" s="2" t="s">
        <v>167</v>
      </c>
      <c r="BM6" s="1">
        <v>45574.873376388889</v>
      </c>
    </row>
    <row r="7" spans="1:65" ht="13.5" customHeight="1" x14ac:dyDescent="0.35">
      <c r="A7" t="s">
        <v>603</v>
      </c>
      <c r="B7" s="2" t="s">
        <v>85</v>
      </c>
      <c r="C7" s="2" t="s">
        <v>86</v>
      </c>
      <c r="D7" s="5">
        <v>3</v>
      </c>
      <c r="E7" s="5">
        <v>4</v>
      </c>
      <c r="F7" s="5">
        <v>4</v>
      </c>
      <c r="G7" s="5">
        <v>1</v>
      </c>
      <c r="H7" s="5">
        <v>1</v>
      </c>
      <c r="I7" s="5">
        <v>5</v>
      </c>
      <c r="J7" s="5">
        <v>3</v>
      </c>
      <c r="K7" s="5">
        <v>3</v>
      </c>
      <c r="L7" s="5">
        <v>3</v>
      </c>
      <c r="M7" s="5">
        <v>4</v>
      </c>
      <c r="N7" s="5">
        <v>1</v>
      </c>
      <c r="O7" s="5">
        <v>1</v>
      </c>
      <c r="P7" s="5">
        <v>2</v>
      </c>
      <c r="Q7" s="5">
        <v>5</v>
      </c>
      <c r="R7" s="5">
        <v>5</v>
      </c>
      <c r="S7" s="5">
        <v>4</v>
      </c>
      <c r="T7" s="5">
        <v>4</v>
      </c>
      <c r="U7" s="5">
        <v>3</v>
      </c>
      <c r="V7" s="5">
        <v>5</v>
      </c>
      <c r="W7" s="5">
        <v>3</v>
      </c>
      <c r="X7" s="5">
        <v>5</v>
      </c>
      <c r="Y7" s="5">
        <v>4</v>
      </c>
      <c r="Z7" s="5">
        <v>2</v>
      </c>
      <c r="AA7" s="5">
        <v>4</v>
      </c>
      <c r="AB7" s="5">
        <v>3</v>
      </c>
      <c r="AC7" s="5">
        <v>5</v>
      </c>
      <c r="AD7" s="5">
        <v>3</v>
      </c>
      <c r="AE7" s="5">
        <v>4</v>
      </c>
      <c r="AF7" s="5">
        <v>2</v>
      </c>
      <c r="AG7" s="5">
        <v>3</v>
      </c>
      <c r="AH7" s="5">
        <v>4</v>
      </c>
      <c r="AI7" s="5">
        <v>5</v>
      </c>
      <c r="AJ7" s="5">
        <v>3</v>
      </c>
      <c r="AK7" s="5">
        <v>3</v>
      </c>
      <c r="AL7" s="5">
        <v>4</v>
      </c>
      <c r="AM7" s="5">
        <v>4</v>
      </c>
      <c r="AN7" s="5">
        <v>4</v>
      </c>
      <c r="AO7" s="5">
        <v>1</v>
      </c>
      <c r="AP7" s="5">
        <v>3</v>
      </c>
      <c r="AQ7" s="5">
        <v>1</v>
      </c>
      <c r="AR7" s="5">
        <v>3</v>
      </c>
      <c r="AS7" s="5">
        <v>5</v>
      </c>
      <c r="AT7" s="5">
        <v>1</v>
      </c>
      <c r="AU7" s="5">
        <v>3</v>
      </c>
      <c r="AV7" s="5">
        <v>2</v>
      </c>
      <c r="AW7" s="5">
        <v>1</v>
      </c>
      <c r="AX7" s="5">
        <v>3</v>
      </c>
      <c r="AY7" s="5">
        <v>1</v>
      </c>
      <c r="AZ7" s="5">
        <v>1</v>
      </c>
      <c r="BA7" s="5">
        <v>4</v>
      </c>
      <c r="BB7" s="5">
        <v>3</v>
      </c>
      <c r="BC7" s="5">
        <v>1</v>
      </c>
      <c r="BD7" s="5">
        <v>5</v>
      </c>
      <c r="BE7" s="5">
        <v>3</v>
      </c>
      <c r="BF7" s="5">
        <v>1</v>
      </c>
      <c r="BG7" s="5">
        <v>5</v>
      </c>
      <c r="BH7" s="5">
        <v>4</v>
      </c>
      <c r="BI7" s="5">
        <v>4</v>
      </c>
      <c r="BJ7" s="5">
        <v>5</v>
      </c>
      <c r="BK7" s="5">
        <v>2</v>
      </c>
      <c r="BL7" s="2" t="s">
        <v>87</v>
      </c>
      <c r="BM7" s="1">
        <v>45574.868833668981</v>
      </c>
    </row>
    <row r="8" spans="1:65" ht="13.5" customHeight="1" x14ac:dyDescent="0.35">
      <c r="A8" t="s">
        <v>604</v>
      </c>
      <c r="B8" s="2" t="s">
        <v>90</v>
      </c>
      <c r="C8" s="2" t="s">
        <v>91</v>
      </c>
      <c r="D8" s="5">
        <v>5</v>
      </c>
      <c r="E8" s="5">
        <v>5</v>
      </c>
      <c r="F8" s="5">
        <v>4</v>
      </c>
      <c r="G8" s="5">
        <v>4</v>
      </c>
      <c r="H8" s="5">
        <v>2</v>
      </c>
      <c r="I8" s="5">
        <v>5</v>
      </c>
      <c r="J8" s="5">
        <v>2</v>
      </c>
      <c r="K8" s="5">
        <v>4</v>
      </c>
      <c r="L8" s="5">
        <v>2</v>
      </c>
      <c r="M8" s="5">
        <v>4</v>
      </c>
      <c r="N8" s="5">
        <v>1</v>
      </c>
      <c r="O8" s="5">
        <v>3</v>
      </c>
      <c r="P8" s="5">
        <v>2</v>
      </c>
      <c r="Q8" s="5">
        <v>4</v>
      </c>
      <c r="R8" s="5">
        <v>5</v>
      </c>
      <c r="S8" s="5">
        <v>5</v>
      </c>
      <c r="T8" s="5">
        <v>1</v>
      </c>
      <c r="U8" s="5">
        <v>4</v>
      </c>
      <c r="V8" s="5">
        <v>4</v>
      </c>
      <c r="W8" s="5">
        <v>1</v>
      </c>
      <c r="X8" s="5">
        <v>5</v>
      </c>
      <c r="Y8" s="5">
        <v>2</v>
      </c>
      <c r="Z8" s="5">
        <v>2</v>
      </c>
      <c r="AA8" s="5">
        <v>4</v>
      </c>
      <c r="AB8" s="5">
        <v>3</v>
      </c>
      <c r="AC8" s="5">
        <v>5</v>
      </c>
      <c r="AD8" s="5">
        <v>3</v>
      </c>
      <c r="AE8" s="5">
        <v>2</v>
      </c>
      <c r="AF8" s="5">
        <v>2</v>
      </c>
      <c r="AG8" s="5">
        <v>4</v>
      </c>
      <c r="AH8" s="5">
        <v>5</v>
      </c>
      <c r="AI8" s="5">
        <v>4</v>
      </c>
      <c r="AJ8" s="5">
        <v>2</v>
      </c>
      <c r="AK8" s="5">
        <v>4</v>
      </c>
      <c r="AL8" s="5">
        <v>4</v>
      </c>
      <c r="AM8" s="5">
        <v>5</v>
      </c>
      <c r="AN8" s="5">
        <v>5</v>
      </c>
      <c r="AO8" s="5">
        <v>2</v>
      </c>
      <c r="AP8" s="5">
        <v>2</v>
      </c>
      <c r="AQ8" s="5">
        <v>3</v>
      </c>
      <c r="AR8" s="5">
        <v>4</v>
      </c>
      <c r="AS8" s="5">
        <v>5</v>
      </c>
      <c r="AT8" s="5">
        <v>1</v>
      </c>
      <c r="AU8" s="5">
        <v>3</v>
      </c>
      <c r="AV8" s="5">
        <v>3</v>
      </c>
      <c r="AW8" s="5">
        <v>3</v>
      </c>
      <c r="AX8" s="5">
        <v>4</v>
      </c>
      <c r="AY8" s="5">
        <v>5</v>
      </c>
      <c r="AZ8" s="5">
        <v>2</v>
      </c>
      <c r="BA8" s="5">
        <v>5</v>
      </c>
      <c r="BB8" s="5">
        <v>4</v>
      </c>
      <c r="BC8" s="5">
        <v>3</v>
      </c>
      <c r="BD8" s="5">
        <v>3</v>
      </c>
      <c r="BE8" s="5">
        <v>2</v>
      </c>
      <c r="BF8" s="5">
        <v>4</v>
      </c>
      <c r="BG8" s="5">
        <v>5</v>
      </c>
      <c r="BH8" s="5">
        <v>3</v>
      </c>
      <c r="BI8" s="5">
        <v>5</v>
      </c>
      <c r="BJ8" s="5">
        <v>5</v>
      </c>
      <c r="BK8" s="5">
        <v>2</v>
      </c>
      <c r="BL8" s="2" t="s">
        <v>92</v>
      </c>
      <c r="BM8" s="1">
        <v>45574.868980196756</v>
      </c>
    </row>
    <row r="9" spans="1:65" ht="13.5" customHeight="1" x14ac:dyDescent="0.35">
      <c r="A9" t="s">
        <v>605</v>
      </c>
      <c r="B9" s="2" t="s">
        <v>129</v>
      </c>
      <c r="C9" s="2" t="s">
        <v>130</v>
      </c>
      <c r="D9" s="5">
        <v>4</v>
      </c>
      <c r="E9" s="5">
        <v>4</v>
      </c>
      <c r="F9" s="5">
        <v>2</v>
      </c>
      <c r="G9" s="5">
        <v>3</v>
      </c>
      <c r="H9" s="5">
        <v>3</v>
      </c>
      <c r="I9" s="5">
        <v>4</v>
      </c>
      <c r="J9" s="5">
        <v>2</v>
      </c>
      <c r="K9" s="5">
        <v>2</v>
      </c>
      <c r="L9" s="5">
        <v>1</v>
      </c>
      <c r="M9" s="5">
        <v>3</v>
      </c>
      <c r="N9" s="5">
        <v>3</v>
      </c>
      <c r="O9" s="5">
        <v>3</v>
      </c>
      <c r="P9" s="5">
        <v>2</v>
      </c>
      <c r="Q9" s="5">
        <v>2</v>
      </c>
      <c r="R9" s="5">
        <v>4</v>
      </c>
      <c r="S9" s="5">
        <v>3</v>
      </c>
      <c r="T9" s="5">
        <v>3</v>
      </c>
      <c r="U9" s="5">
        <v>3</v>
      </c>
      <c r="V9" s="5">
        <v>4</v>
      </c>
      <c r="W9" s="5">
        <v>4</v>
      </c>
      <c r="X9" s="5">
        <v>4</v>
      </c>
      <c r="Y9" s="5">
        <v>2</v>
      </c>
      <c r="Z9" s="5">
        <v>2</v>
      </c>
      <c r="AA9" s="5">
        <v>3</v>
      </c>
      <c r="AB9" s="5">
        <v>3</v>
      </c>
      <c r="AC9" s="5">
        <v>3</v>
      </c>
      <c r="AD9" s="5">
        <v>4</v>
      </c>
      <c r="AE9" s="5">
        <v>3</v>
      </c>
      <c r="AF9" s="5">
        <v>2</v>
      </c>
      <c r="AG9" s="5">
        <v>2</v>
      </c>
      <c r="AH9" s="5">
        <v>2</v>
      </c>
      <c r="AI9" s="5">
        <v>4</v>
      </c>
      <c r="AJ9" s="5">
        <v>4</v>
      </c>
      <c r="AK9" s="5">
        <v>2</v>
      </c>
      <c r="AL9" s="5">
        <v>4</v>
      </c>
      <c r="AM9" s="5">
        <v>3</v>
      </c>
      <c r="AN9" s="5">
        <v>4</v>
      </c>
      <c r="AO9" s="5">
        <v>2</v>
      </c>
      <c r="AP9" s="5">
        <v>2</v>
      </c>
      <c r="AQ9" s="5">
        <v>4</v>
      </c>
      <c r="AR9" s="5">
        <v>1</v>
      </c>
      <c r="AS9" s="5">
        <v>4</v>
      </c>
      <c r="AT9" s="5">
        <v>3</v>
      </c>
      <c r="AU9" s="5">
        <v>3</v>
      </c>
      <c r="AV9" s="5">
        <v>3</v>
      </c>
      <c r="AW9" s="5">
        <v>1</v>
      </c>
      <c r="AX9" s="5">
        <v>3</v>
      </c>
      <c r="AY9" s="5">
        <v>4</v>
      </c>
      <c r="AZ9" s="5">
        <v>3</v>
      </c>
      <c r="BA9" s="5">
        <v>4</v>
      </c>
      <c r="BB9" s="5">
        <v>3</v>
      </c>
      <c r="BC9" s="5">
        <v>4</v>
      </c>
      <c r="BD9" s="5">
        <v>3</v>
      </c>
      <c r="BE9" s="5">
        <v>4</v>
      </c>
      <c r="BF9" s="5">
        <v>3</v>
      </c>
      <c r="BG9" s="5">
        <v>4</v>
      </c>
      <c r="BH9" s="5">
        <v>3</v>
      </c>
      <c r="BI9" s="5">
        <v>3</v>
      </c>
      <c r="BJ9" s="5">
        <v>4</v>
      </c>
      <c r="BK9" s="5">
        <v>3</v>
      </c>
      <c r="BL9" s="2" t="s">
        <v>131</v>
      </c>
      <c r="BM9" s="1">
        <v>45574.870005717596</v>
      </c>
    </row>
    <row r="10" spans="1:65" ht="13.5" customHeight="1" x14ac:dyDescent="0.35">
      <c r="A10" t="s">
        <v>606</v>
      </c>
      <c r="B10" s="2" t="s">
        <v>56</v>
      </c>
      <c r="C10" s="2" t="s">
        <v>57</v>
      </c>
      <c r="D10" s="5">
        <v>3</v>
      </c>
      <c r="E10" s="5">
        <v>2</v>
      </c>
      <c r="F10" s="5">
        <v>4</v>
      </c>
      <c r="G10" s="5">
        <v>3</v>
      </c>
      <c r="H10" s="5">
        <v>4</v>
      </c>
      <c r="I10" s="5">
        <v>4</v>
      </c>
      <c r="J10" s="5">
        <v>4</v>
      </c>
      <c r="K10" s="5">
        <v>3</v>
      </c>
      <c r="L10" s="5">
        <v>2</v>
      </c>
      <c r="M10" s="5">
        <v>3</v>
      </c>
      <c r="N10" s="5">
        <v>3</v>
      </c>
      <c r="O10" s="5">
        <v>2</v>
      </c>
      <c r="P10" s="5">
        <v>2</v>
      </c>
      <c r="Q10" s="5">
        <v>4</v>
      </c>
      <c r="R10" s="5">
        <v>4</v>
      </c>
      <c r="S10" s="5">
        <v>3</v>
      </c>
      <c r="T10" s="5">
        <v>4</v>
      </c>
      <c r="U10" s="5">
        <v>3</v>
      </c>
      <c r="V10" s="5">
        <v>3</v>
      </c>
      <c r="W10" s="5">
        <v>3</v>
      </c>
      <c r="X10" s="5">
        <v>4</v>
      </c>
      <c r="Y10" s="5">
        <v>3</v>
      </c>
      <c r="Z10" s="5">
        <v>3</v>
      </c>
      <c r="AA10" s="5">
        <v>2</v>
      </c>
      <c r="AB10" s="5">
        <v>3</v>
      </c>
      <c r="AC10" s="5">
        <v>4</v>
      </c>
      <c r="AD10" s="5">
        <v>2</v>
      </c>
      <c r="AE10" s="5">
        <v>2</v>
      </c>
      <c r="AF10" s="5">
        <v>4</v>
      </c>
      <c r="AG10" s="5">
        <v>3</v>
      </c>
      <c r="AH10" s="5">
        <v>3</v>
      </c>
      <c r="AI10" s="5">
        <v>2</v>
      </c>
      <c r="AJ10" s="5">
        <v>3</v>
      </c>
      <c r="AK10" s="5">
        <v>3</v>
      </c>
      <c r="AL10" s="5">
        <v>2</v>
      </c>
      <c r="AM10" s="5">
        <v>3</v>
      </c>
      <c r="AN10" s="5">
        <v>2</v>
      </c>
      <c r="AO10" s="5">
        <v>3</v>
      </c>
      <c r="AP10" s="5">
        <v>3</v>
      </c>
      <c r="AQ10" s="5">
        <v>3</v>
      </c>
      <c r="AR10" s="5">
        <v>3</v>
      </c>
      <c r="AS10" s="5">
        <v>3</v>
      </c>
      <c r="AT10" s="5">
        <v>3</v>
      </c>
      <c r="AU10" s="5">
        <v>3</v>
      </c>
      <c r="AV10" s="5">
        <v>2</v>
      </c>
      <c r="AW10" s="5">
        <v>2</v>
      </c>
      <c r="AX10" s="5">
        <v>3</v>
      </c>
      <c r="AY10" s="5">
        <v>2</v>
      </c>
      <c r="AZ10" s="5">
        <v>3</v>
      </c>
      <c r="BA10" s="5">
        <v>3</v>
      </c>
      <c r="BB10" s="5">
        <v>4</v>
      </c>
      <c r="BC10" s="5">
        <v>3</v>
      </c>
      <c r="BD10" s="5">
        <v>3</v>
      </c>
      <c r="BE10" s="5">
        <v>3</v>
      </c>
      <c r="BF10" s="5">
        <v>3</v>
      </c>
      <c r="BG10" s="5">
        <v>2</v>
      </c>
      <c r="BH10" s="5">
        <v>3</v>
      </c>
      <c r="BI10" s="5">
        <v>5</v>
      </c>
      <c r="BJ10" s="5">
        <v>3</v>
      </c>
      <c r="BK10" s="5">
        <v>4</v>
      </c>
      <c r="BL10" s="2" t="s">
        <v>58</v>
      </c>
      <c r="BM10" s="1">
        <v>45574.868092349534</v>
      </c>
    </row>
    <row r="11" spans="1:65" ht="13.5" customHeight="1" x14ac:dyDescent="0.35">
      <c r="A11" t="s">
        <v>607</v>
      </c>
      <c r="B11" s="2" t="s">
        <v>68</v>
      </c>
      <c r="C11" s="2" t="s">
        <v>69</v>
      </c>
      <c r="D11" s="5">
        <v>4</v>
      </c>
      <c r="E11" s="5">
        <v>3</v>
      </c>
      <c r="F11" s="5">
        <v>4</v>
      </c>
      <c r="G11" s="5">
        <v>4</v>
      </c>
      <c r="H11" s="5">
        <v>2</v>
      </c>
      <c r="I11" s="5">
        <v>3</v>
      </c>
      <c r="J11" s="5">
        <v>2</v>
      </c>
      <c r="K11" s="5">
        <v>4</v>
      </c>
      <c r="L11" s="5">
        <v>2</v>
      </c>
      <c r="M11" s="5">
        <v>4</v>
      </c>
      <c r="N11" s="5">
        <v>2</v>
      </c>
      <c r="O11" s="5">
        <v>4</v>
      </c>
      <c r="P11" s="5">
        <v>2</v>
      </c>
      <c r="Q11" s="5">
        <v>5</v>
      </c>
      <c r="R11" s="5">
        <v>5</v>
      </c>
      <c r="S11" s="5">
        <v>5</v>
      </c>
      <c r="T11" s="5">
        <v>3</v>
      </c>
      <c r="U11" s="5">
        <v>2</v>
      </c>
      <c r="V11" s="5">
        <v>5</v>
      </c>
      <c r="W11" s="5">
        <v>2</v>
      </c>
      <c r="X11" s="5">
        <v>2</v>
      </c>
      <c r="Y11" s="5">
        <v>2</v>
      </c>
      <c r="Z11" s="5">
        <v>2</v>
      </c>
      <c r="AA11" s="5">
        <v>5</v>
      </c>
      <c r="AB11" s="5">
        <v>4</v>
      </c>
      <c r="AC11" s="5">
        <v>3</v>
      </c>
      <c r="AD11" s="5">
        <v>3</v>
      </c>
      <c r="AE11" s="5">
        <v>3</v>
      </c>
      <c r="AF11" s="5">
        <v>2</v>
      </c>
      <c r="AG11" s="5">
        <v>4</v>
      </c>
      <c r="AH11" s="5">
        <v>4</v>
      </c>
      <c r="AI11" s="5">
        <v>4</v>
      </c>
      <c r="AJ11" s="5">
        <v>2</v>
      </c>
      <c r="AK11" s="5">
        <v>2</v>
      </c>
      <c r="AL11" s="5">
        <v>3</v>
      </c>
      <c r="AM11" s="5">
        <v>4</v>
      </c>
      <c r="AN11" s="5">
        <v>2</v>
      </c>
      <c r="AO11" s="5">
        <v>3</v>
      </c>
      <c r="AP11" s="5">
        <v>4</v>
      </c>
      <c r="AQ11" s="5">
        <v>4</v>
      </c>
      <c r="AR11" s="5">
        <v>3</v>
      </c>
      <c r="AS11" s="5">
        <v>2</v>
      </c>
      <c r="AT11" s="5">
        <v>2</v>
      </c>
      <c r="AU11" s="5">
        <v>3</v>
      </c>
      <c r="AV11" s="5">
        <v>3</v>
      </c>
      <c r="AW11" s="5">
        <v>3</v>
      </c>
      <c r="AX11" s="5">
        <v>3</v>
      </c>
      <c r="AY11" s="5">
        <v>2</v>
      </c>
      <c r="AZ11" s="5">
        <v>2</v>
      </c>
      <c r="BA11" s="5">
        <v>4</v>
      </c>
      <c r="BB11" s="5">
        <v>2</v>
      </c>
      <c r="BC11" s="5">
        <v>2</v>
      </c>
      <c r="BD11" s="5">
        <v>5</v>
      </c>
      <c r="BE11" s="5">
        <v>2</v>
      </c>
      <c r="BF11" s="5">
        <v>2</v>
      </c>
      <c r="BG11" s="5">
        <v>3</v>
      </c>
      <c r="BH11" s="5">
        <v>4</v>
      </c>
      <c r="BI11" s="5">
        <v>3</v>
      </c>
      <c r="BJ11" s="5">
        <v>3</v>
      </c>
      <c r="BK11" s="5">
        <v>3</v>
      </c>
      <c r="BL11" s="2" t="s">
        <v>70</v>
      </c>
      <c r="BM11" s="1">
        <v>45574.868196770833</v>
      </c>
    </row>
    <row r="12" spans="1:65" ht="13.5" customHeight="1" x14ac:dyDescent="0.35">
      <c r="A12" t="s">
        <v>608</v>
      </c>
      <c r="B12" s="2" t="s">
        <v>170</v>
      </c>
      <c r="C12" s="2" t="s">
        <v>171</v>
      </c>
      <c r="D12" s="5">
        <v>5</v>
      </c>
      <c r="E12" s="5">
        <v>5</v>
      </c>
      <c r="F12" s="5">
        <v>4</v>
      </c>
      <c r="G12" s="5">
        <v>5</v>
      </c>
      <c r="H12" s="5">
        <v>5</v>
      </c>
      <c r="I12" s="5">
        <v>5</v>
      </c>
      <c r="J12" s="5">
        <v>4</v>
      </c>
      <c r="K12" s="5">
        <v>1</v>
      </c>
      <c r="L12" s="5">
        <v>5</v>
      </c>
      <c r="M12" s="5">
        <v>5</v>
      </c>
      <c r="N12" s="5">
        <v>4</v>
      </c>
      <c r="O12" s="5">
        <v>5</v>
      </c>
      <c r="P12" s="5">
        <v>5</v>
      </c>
      <c r="Q12" s="5">
        <v>5</v>
      </c>
      <c r="R12" s="5">
        <v>5</v>
      </c>
      <c r="S12" s="5">
        <v>1</v>
      </c>
      <c r="T12" s="5">
        <v>5</v>
      </c>
      <c r="U12" s="5">
        <v>1</v>
      </c>
      <c r="V12" s="5">
        <v>1</v>
      </c>
      <c r="W12" s="5">
        <v>1</v>
      </c>
      <c r="X12" s="5">
        <v>5</v>
      </c>
      <c r="Y12" s="5">
        <v>1</v>
      </c>
      <c r="Z12" s="5">
        <v>3</v>
      </c>
      <c r="AA12" s="5">
        <v>1</v>
      </c>
      <c r="AB12" s="5">
        <v>2</v>
      </c>
      <c r="AC12" s="5">
        <v>2</v>
      </c>
      <c r="AD12" s="5">
        <v>5</v>
      </c>
      <c r="AE12" s="5">
        <v>4</v>
      </c>
      <c r="AF12" s="5">
        <v>5</v>
      </c>
      <c r="AG12" s="5">
        <v>5</v>
      </c>
      <c r="AH12" s="5">
        <v>5</v>
      </c>
      <c r="AI12" s="5">
        <v>2</v>
      </c>
      <c r="AJ12" s="5">
        <v>1</v>
      </c>
      <c r="AK12" s="5">
        <v>1</v>
      </c>
      <c r="AL12" s="5">
        <v>4</v>
      </c>
      <c r="AM12" s="5">
        <v>1</v>
      </c>
      <c r="AN12" s="5">
        <v>5</v>
      </c>
      <c r="AO12" s="5">
        <v>5</v>
      </c>
      <c r="AP12" s="5">
        <v>4</v>
      </c>
      <c r="AQ12" s="5">
        <v>5</v>
      </c>
      <c r="AR12" s="5">
        <v>1</v>
      </c>
      <c r="AS12" s="5">
        <v>5</v>
      </c>
      <c r="AT12" s="5">
        <v>5</v>
      </c>
      <c r="AU12" s="5">
        <v>1</v>
      </c>
      <c r="AV12" s="5">
        <v>5</v>
      </c>
      <c r="AW12" s="5">
        <v>1</v>
      </c>
      <c r="AX12" s="5">
        <v>5</v>
      </c>
      <c r="AY12" s="5">
        <v>4</v>
      </c>
      <c r="AZ12" s="5">
        <v>5</v>
      </c>
      <c r="BA12" s="5">
        <v>5</v>
      </c>
      <c r="BB12" s="5">
        <v>1</v>
      </c>
      <c r="BC12" s="5">
        <v>5</v>
      </c>
      <c r="BD12" s="5">
        <v>1</v>
      </c>
      <c r="BE12" s="5">
        <v>5</v>
      </c>
      <c r="BF12" s="5">
        <v>4</v>
      </c>
      <c r="BG12" s="5">
        <v>5</v>
      </c>
      <c r="BH12" s="5">
        <v>1</v>
      </c>
      <c r="BI12" s="5">
        <v>5</v>
      </c>
      <c r="BJ12" s="5">
        <v>5</v>
      </c>
      <c r="BK12" s="5">
        <v>5</v>
      </c>
      <c r="BL12" s="2" t="s">
        <v>172</v>
      </c>
      <c r="BM12" s="1">
        <v>45574.873674641203</v>
      </c>
    </row>
    <row r="13" spans="1:65" ht="13.5" customHeight="1" x14ac:dyDescent="0.35">
      <c r="A13" t="s">
        <v>609</v>
      </c>
      <c r="B13" s="2" t="s">
        <v>123</v>
      </c>
      <c r="C13" s="2" t="s">
        <v>124</v>
      </c>
      <c r="D13" s="5">
        <v>5</v>
      </c>
      <c r="E13" s="5">
        <v>5</v>
      </c>
      <c r="F13" s="5">
        <v>4</v>
      </c>
      <c r="G13" s="5">
        <v>4</v>
      </c>
      <c r="H13" s="5">
        <v>3</v>
      </c>
      <c r="I13" s="5">
        <v>4</v>
      </c>
      <c r="J13" s="5">
        <v>5</v>
      </c>
      <c r="K13" s="5">
        <v>4</v>
      </c>
      <c r="L13" s="5">
        <v>4</v>
      </c>
      <c r="M13" s="5">
        <v>4</v>
      </c>
      <c r="N13" s="5">
        <v>2</v>
      </c>
      <c r="O13" s="5">
        <v>3</v>
      </c>
      <c r="P13" s="5">
        <v>4</v>
      </c>
      <c r="Q13" s="5">
        <v>3</v>
      </c>
      <c r="R13" s="5">
        <v>5</v>
      </c>
      <c r="S13" s="5">
        <v>4</v>
      </c>
      <c r="T13" s="5">
        <v>3</v>
      </c>
      <c r="U13" s="5">
        <v>5</v>
      </c>
      <c r="V13" s="5">
        <v>2</v>
      </c>
      <c r="W13" s="5">
        <v>2</v>
      </c>
      <c r="X13" s="5">
        <v>5</v>
      </c>
      <c r="Y13" s="5">
        <v>4</v>
      </c>
      <c r="Z13" s="5">
        <v>3</v>
      </c>
      <c r="AA13" s="5">
        <v>2</v>
      </c>
      <c r="AB13" s="5">
        <v>3</v>
      </c>
      <c r="AC13" s="5">
        <v>5</v>
      </c>
      <c r="AD13" s="5">
        <v>5</v>
      </c>
      <c r="AE13" s="5">
        <v>4</v>
      </c>
      <c r="AF13" s="5">
        <v>5</v>
      </c>
      <c r="AG13" s="5">
        <v>3</v>
      </c>
      <c r="AH13" s="5">
        <v>2</v>
      </c>
      <c r="AI13" s="5">
        <v>4</v>
      </c>
      <c r="AJ13" s="5">
        <v>2</v>
      </c>
      <c r="AK13" s="5">
        <v>2</v>
      </c>
      <c r="AL13" s="5">
        <v>4</v>
      </c>
      <c r="AM13" s="5">
        <v>2</v>
      </c>
      <c r="AN13" s="5">
        <v>5</v>
      </c>
      <c r="AO13" s="5">
        <v>3</v>
      </c>
      <c r="AP13" s="5">
        <v>5</v>
      </c>
      <c r="AQ13" s="5">
        <v>2</v>
      </c>
      <c r="AR13" s="5">
        <v>2</v>
      </c>
      <c r="AS13" s="5">
        <v>5</v>
      </c>
      <c r="AT13" s="5">
        <v>4</v>
      </c>
      <c r="AU13" s="5">
        <v>4</v>
      </c>
      <c r="AV13" s="5">
        <v>4</v>
      </c>
      <c r="AW13" s="5">
        <v>2</v>
      </c>
      <c r="AX13" s="5">
        <v>4</v>
      </c>
      <c r="AY13" s="5">
        <v>4</v>
      </c>
      <c r="AZ13" s="5">
        <v>2</v>
      </c>
      <c r="BA13" s="5">
        <v>5</v>
      </c>
      <c r="BB13" s="5">
        <v>4</v>
      </c>
      <c r="BC13" s="5">
        <v>5</v>
      </c>
      <c r="BD13" s="5">
        <v>3</v>
      </c>
      <c r="BE13" s="5">
        <v>3</v>
      </c>
      <c r="BF13" s="5">
        <v>3</v>
      </c>
      <c r="BG13" s="5">
        <v>5</v>
      </c>
      <c r="BH13" s="5">
        <v>3</v>
      </c>
      <c r="BI13" s="5">
        <v>4</v>
      </c>
      <c r="BJ13" s="5">
        <v>5</v>
      </c>
      <c r="BK13" s="5">
        <v>4</v>
      </c>
      <c r="BL13" s="2" t="s">
        <v>125</v>
      </c>
      <c r="BM13" s="1">
        <v>45574.869962129633</v>
      </c>
    </row>
    <row r="14" spans="1:65" ht="13.5" customHeight="1" x14ac:dyDescent="0.35">
      <c r="A14" t="s">
        <v>610</v>
      </c>
      <c r="B14" s="2" t="s">
        <v>48</v>
      </c>
      <c r="C14" s="2" t="s">
        <v>49</v>
      </c>
      <c r="D14" s="5">
        <v>5</v>
      </c>
      <c r="E14" s="5">
        <v>4</v>
      </c>
      <c r="F14" s="5">
        <v>3</v>
      </c>
      <c r="G14" s="5">
        <v>5</v>
      </c>
      <c r="H14" s="5">
        <v>4</v>
      </c>
      <c r="I14" s="5">
        <v>4</v>
      </c>
      <c r="J14" s="5">
        <v>5</v>
      </c>
      <c r="K14" s="5">
        <v>2</v>
      </c>
      <c r="L14" s="5">
        <v>4</v>
      </c>
      <c r="M14" s="5">
        <v>4</v>
      </c>
      <c r="N14" s="5">
        <v>3</v>
      </c>
      <c r="O14" s="5">
        <v>4</v>
      </c>
      <c r="P14" s="5">
        <v>5</v>
      </c>
      <c r="Q14" s="5">
        <v>2</v>
      </c>
      <c r="R14" s="5">
        <v>5</v>
      </c>
      <c r="S14" s="5">
        <v>4</v>
      </c>
      <c r="T14" s="5">
        <v>4</v>
      </c>
      <c r="U14" s="5">
        <v>5</v>
      </c>
      <c r="V14" s="5">
        <v>4</v>
      </c>
      <c r="W14" s="5">
        <v>4</v>
      </c>
      <c r="X14" s="5">
        <v>5</v>
      </c>
      <c r="Y14" s="5">
        <v>2</v>
      </c>
      <c r="Z14" s="5">
        <v>4</v>
      </c>
      <c r="AA14" s="5">
        <v>2</v>
      </c>
      <c r="AB14" s="5">
        <v>2</v>
      </c>
      <c r="AC14" s="5">
        <v>5</v>
      </c>
      <c r="AD14" s="5">
        <v>4</v>
      </c>
      <c r="AE14" s="5">
        <v>3</v>
      </c>
      <c r="AF14" s="5">
        <v>4</v>
      </c>
      <c r="AG14" s="5">
        <v>4</v>
      </c>
      <c r="AH14" s="5">
        <v>2</v>
      </c>
      <c r="AI14" s="5">
        <v>5</v>
      </c>
      <c r="AJ14" s="5">
        <v>3</v>
      </c>
      <c r="AK14" s="5">
        <v>5</v>
      </c>
      <c r="AL14" s="5">
        <v>4</v>
      </c>
      <c r="AM14" s="5">
        <v>1</v>
      </c>
      <c r="AN14" s="5">
        <v>3</v>
      </c>
      <c r="AO14" s="5">
        <v>4</v>
      </c>
      <c r="AP14" s="5">
        <v>5</v>
      </c>
      <c r="AQ14" s="5">
        <v>4</v>
      </c>
      <c r="AR14" s="5">
        <v>1</v>
      </c>
      <c r="AS14" s="5">
        <v>4</v>
      </c>
      <c r="AT14" s="5">
        <v>4</v>
      </c>
      <c r="AU14" s="5">
        <v>5</v>
      </c>
      <c r="AV14" s="5">
        <v>3</v>
      </c>
      <c r="AW14" s="5">
        <v>2</v>
      </c>
      <c r="AX14" s="5">
        <v>5</v>
      </c>
      <c r="AY14" s="5">
        <v>5</v>
      </c>
      <c r="AZ14" s="5">
        <v>4</v>
      </c>
      <c r="BA14" s="5">
        <v>5</v>
      </c>
      <c r="BB14" s="5">
        <v>4</v>
      </c>
      <c r="BC14" s="5">
        <v>5</v>
      </c>
      <c r="BD14" s="5">
        <v>3</v>
      </c>
      <c r="BE14" s="5">
        <v>5</v>
      </c>
      <c r="BF14" s="5">
        <v>4</v>
      </c>
      <c r="BG14" s="5">
        <v>5</v>
      </c>
      <c r="BH14" s="5">
        <v>5</v>
      </c>
      <c r="BI14" s="5">
        <v>5</v>
      </c>
      <c r="BJ14" s="5">
        <v>4</v>
      </c>
      <c r="BK14" s="5">
        <v>3</v>
      </c>
      <c r="BL14" s="2" t="s">
        <v>50</v>
      </c>
      <c r="BM14" s="1">
        <v>45574.867156192129</v>
      </c>
    </row>
    <row r="15" spans="1:65" ht="13.5" customHeight="1" x14ac:dyDescent="0.35">
      <c r="A15" t="s">
        <v>611</v>
      </c>
      <c r="B15" s="2" t="s">
        <v>95</v>
      </c>
      <c r="C15" s="2" t="s">
        <v>96</v>
      </c>
      <c r="D15" s="5">
        <v>4</v>
      </c>
      <c r="E15" s="5">
        <v>4</v>
      </c>
      <c r="F15" s="5">
        <v>2</v>
      </c>
      <c r="G15" s="5">
        <v>4</v>
      </c>
      <c r="H15" s="5">
        <v>4</v>
      </c>
      <c r="I15" s="5">
        <v>5</v>
      </c>
      <c r="J15" s="5">
        <v>4</v>
      </c>
      <c r="K15" s="5">
        <v>3</v>
      </c>
      <c r="L15" s="5">
        <v>4</v>
      </c>
      <c r="M15" s="5">
        <v>4</v>
      </c>
      <c r="N15" s="5">
        <v>3</v>
      </c>
      <c r="O15" s="5">
        <v>3</v>
      </c>
      <c r="P15" s="5">
        <v>4</v>
      </c>
      <c r="Q15" s="5">
        <v>3</v>
      </c>
      <c r="R15" s="5">
        <v>5</v>
      </c>
      <c r="S15" s="5">
        <v>3</v>
      </c>
      <c r="T15" s="5">
        <v>3</v>
      </c>
      <c r="U15" s="5">
        <v>3</v>
      </c>
      <c r="V15" s="5">
        <v>3</v>
      </c>
      <c r="W15" s="5">
        <v>2</v>
      </c>
      <c r="X15" s="5">
        <v>4</v>
      </c>
      <c r="Y15" s="5">
        <v>2</v>
      </c>
      <c r="Z15" s="5">
        <v>3</v>
      </c>
      <c r="AA15" s="5">
        <v>3</v>
      </c>
      <c r="AB15" s="5">
        <v>3</v>
      </c>
      <c r="AC15" s="5">
        <v>3</v>
      </c>
      <c r="AD15" s="5">
        <v>3</v>
      </c>
      <c r="AE15" s="5">
        <v>3</v>
      </c>
      <c r="AF15" s="5">
        <v>5</v>
      </c>
      <c r="AG15" s="5">
        <v>4</v>
      </c>
      <c r="AH15" s="5">
        <v>3</v>
      </c>
      <c r="AI15" s="5">
        <v>4</v>
      </c>
      <c r="AJ15" s="5">
        <v>3</v>
      </c>
      <c r="AK15" s="5">
        <v>4</v>
      </c>
      <c r="AL15" s="5">
        <v>4</v>
      </c>
      <c r="AM15" s="5">
        <v>3</v>
      </c>
      <c r="AN15" s="5">
        <v>4</v>
      </c>
      <c r="AO15" s="5">
        <v>4</v>
      </c>
      <c r="AP15" s="5">
        <v>4</v>
      </c>
      <c r="AQ15" s="5">
        <v>4</v>
      </c>
      <c r="AR15" s="5">
        <v>2</v>
      </c>
      <c r="AS15" s="5">
        <v>4</v>
      </c>
      <c r="AT15" s="5">
        <v>4</v>
      </c>
      <c r="AU15" s="5">
        <v>4</v>
      </c>
      <c r="AV15" s="5">
        <v>3</v>
      </c>
      <c r="AW15" s="5">
        <v>3</v>
      </c>
      <c r="AX15" s="5">
        <v>4</v>
      </c>
      <c r="AY15" s="5">
        <v>4</v>
      </c>
      <c r="AZ15" s="5">
        <v>3</v>
      </c>
      <c r="BA15" s="5">
        <v>4</v>
      </c>
      <c r="BB15" s="5">
        <v>3</v>
      </c>
      <c r="BC15" s="5">
        <v>2</v>
      </c>
      <c r="BD15" s="5">
        <v>4</v>
      </c>
      <c r="BE15" s="5">
        <v>4</v>
      </c>
      <c r="BF15" s="5">
        <v>3</v>
      </c>
      <c r="BG15" s="5">
        <v>3</v>
      </c>
      <c r="BH15" s="5">
        <v>4</v>
      </c>
      <c r="BI15" s="5">
        <v>3</v>
      </c>
      <c r="BJ15" s="5">
        <v>4</v>
      </c>
      <c r="BK15" s="5">
        <v>3</v>
      </c>
      <c r="BL15" s="2" t="s">
        <v>97</v>
      </c>
      <c r="BM15" s="1">
        <v>45574.869467118056</v>
      </c>
    </row>
    <row r="16" spans="1:65" ht="13.5" customHeight="1" x14ac:dyDescent="0.35">
      <c r="A16" t="s">
        <v>612</v>
      </c>
      <c r="B16" s="2" t="s">
        <v>74</v>
      </c>
      <c r="C16" s="2" t="s">
        <v>75</v>
      </c>
      <c r="D16" s="5">
        <v>5</v>
      </c>
      <c r="E16" s="5">
        <v>3</v>
      </c>
      <c r="F16" s="5">
        <v>2</v>
      </c>
      <c r="G16" s="5">
        <v>4</v>
      </c>
      <c r="H16" s="5">
        <v>5</v>
      </c>
      <c r="I16" s="5">
        <v>5</v>
      </c>
      <c r="J16" s="5">
        <v>4</v>
      </c>
      <c r="K16" s="5">
        <v>1</v>
      </c>
      <c r="L16" s="5">
        <v>4</v>
      </c>
      <c r="M16" s="5">
        <v>4</v>
      </c>
      <c r="N16" s="5">
        <v>4</v>
      </c>
      <c r="O16" s="5">
        <v>4</v>
      </c>
      <c r="P16" s="5">
        <v>5</v>
      </c>
      <c r="Q16" s="5">
        <v>3</v>
      </c>
      <c r="R16" s="5">
        <v>5</v>
      </c>
      <c r="S16" s="5">
        <v>4</v>
      </c>
      <c r="T16" s="5">
        <v>4</v>
      </c>
      <c r="U16" s="5">
        <v>4</v>
      </c>
      <c r="V16" s="5">
        <v>4</v>
      </c>
      <c r="W16" s="5">
        <v>2</v>
      </c>
      <c r="X16" s="5">
        <v>5</v>
      </c>
      <c r="Y16" s="5">
        <v>2</v>
      </c>
      <c r="Z16" s="5">
        <v>4</v>
      </c>
      <c r="AA16" s="5">
        <v>3</v>
      </c>
      <c r="AB16" s="5">
        <v>3</v>
      </c>
      <c r="AC16" s="5">
        <v>4</v>
      </c>
      <c r="AD16" s="5">
        <v>3</v>
      </c>
      <c r="AE16" s="5">
        <v>4</v>
      </c>
      <c r="AF16" s="5">
        <v>4</v>
      </c>
      <c r="AG16" s="5">
        <v>4</v>
      </c>
      <c r="AH16" s="5">
        <v>2</v>
      </c>
      <c r="AI16" s="5">
        <v>3</v>
      </c>
      <c r="AJ16" s="5">
        <v>5</v>
      </c>
      <c r="AK16" s="5">
        <v>4</v>
      </c>
      <c r="AL16" s="5">
        <v>3</v>
      </c>
      <c r="AM16" s="5">
        <v>2</v>
      </c>
      <c r="AN16" s="5">
        <v>4</v>
      </c>
      <c r="AO16" s="5">
        <v>5</v>
      </c>
      <c r="AP16" s="5">
        <v>4</v>
      </c>
      <c r="AQ16" s="5">
        <v>5</v>
      </c>
      <c r="AR16" s="5">
        <v>1</v>
      </c>
      <c r="AS16" s="5">
        <v>5</v>
      </c>
      <c r="AT16" s="5">
        <v>5</v>
      </c>
      <c r="AU16" s="5">
        <v>3</v>
      </c>
      <c r="AV16" s="5">
        <v>4</v>
      </c>
      <c r="AW16" s="5">
        <v>3</v>
      </c>
      <c r="AX16" s="5">
        <v>2</v>
      </c>
      <c r="AY16" s="5">
        <v>4</v>
      </c>
      <c r="AZ16" s="5">
        <v>3</v>
      </c>
      <c r="BA16" s="5">
        <v>5</v>
      </c>
      <c r="BB16" s="5">
        <v>4</v>
      </c>
      <c r="BC16" s="5">
        <v>3</v>
      </c>
      <c r="BD16" s="5">
        <v>4</v>
      </c>
      <c r="BE16" s="5">
        <v>4</v>
      </c>
      <c r="BF16" s="5">
        <v>4</v>
      </c>
      <c r="BG16" s="5">
        <v>4</v>
      </c>
      <c r="BH16" s="5">
        <v>5</v>
      </c>
      <c r="BI16" s="5">
        <v>4</v>
      </c>
      <c r="BJ16" s="5">
        <v>4</v>
      </c>
      <c r="BK16" s="5">
        <v>3</v>
      </c>
      <c r="BL16" s="2" t="s">
        <v>76</v>
      </c>
      <c r="BM16" s="1">
        <v>45574.868577685185</v>
      </c>
    </row>
    <row r="17" spans="1:65" ht="13.5" customHeight="1" x14ac:dyDescent="0.35">
      <c r="A17" t="s">
        <v>613</v>
      </c>
      <c r="B17" s="2" t="s">
        <v>79</v>
      </c>
      <c r="C17" s="2" t="s">
        <v>80</v>
      </c>
      <c r="D17" s="5">
        <v>4</v>
      </c>
      <c r="E17" s="5">
        <v>3</v>
      </c>
      <c r="F17" s="5">
        <v>4</v>
      </c>
      <c r="G17" s="5">
        <v>4</v>
      </c>
      <c r="H17" s="5">
        <v>5</v>
      </c>
      <c r="I17" s="5">
        <v>4</v>
      </c>
      <c r="J17" s="5">
        <v>3</v>
      </c>
      <c r="K17" s="5">
        <v>2</v>
      </c>
      <c r="L17" s="5">
        <v>5</v>
      </c>
      <c r="M17" s="5">
        <v>5</v>
      </c>
      <c r="N17" s="5">
        <v>4</v>
      </c>
      <c r="O17" s="5">
        <v>5</v>
      </c>
      <c r="P17" s="5">
        <v>4</v>
      </c>
      <c r="Q17" s="5">
        <v>4</v>
      </c>
      <c r="R17" s="5">
        <v>4</v>
      </c>
      <c r="S17" s="5">
        <v>2</v>
      </c>
      <c r="T17" s="5">
        <v>3</v>
      </c>
      <c r="U17" s="5">
        <v>5</v>
      </c>
      <c r="V17" s="5">
        <v>1</v>
      </c>
      <c r="W17" s="5">
        <v>1</v>
      </c>
      <c r="X17" s="5">
        <v>5</v>
      </c>
      <c r="Y17" s="5">
        <v>2</v>
      </c>
      <c r="Z17" s="5">
        <v>5</v>
      </c>
      <c r="AA17" s="5">
        <v>1</v>
      </c>
      <c r="AB17" s="5">
        <v>2</v>
      </c>
      <c r="AC17" s="5">
        <v>5</v>
      </c>
      <c r="AD17" s="5">
        <v>5</v>
      </c>
      <c r="AE17" s="5">
        <v>4</v>
      </c>
      <c r="AF17" s="5">
        <v>4</v>
      </c>
      <c r="AG17" s="5">
        <v>4</v>
      </c>
      <c r="AH17" s="5">
        <v>4</v>
      </c>
      <c r="AI17" s="5">
        <v>4</v>
      </c>
      <c r="AJ17" s="5">
        <v>5</v>
      </c>
      <c r="AK17" s="5">
        <v>3</v>
      </c>
      <c r="AL17" s="5">
        <v>3</v>
      </c>
      <c r="AM17" s="5">
        <v>2</v>
      </c>
      <c r="AN17" s="5">
        <v>4</v>
      </c>
      <c r="AO17" s="5">
        <v>4</v>
      </c>
      <c r="AP17" s="5">
        <v>4</v>
      </c>
      <c r="AQ17" s="5">
        <v>4</v>
      </c>
      <c r="AR17" s="5">
        <v>3</v>
      </c>
      <c r="AS17" s="5">
        <v>2</v>
      </c>
      <c r="AT17" s="5">
        <v>5</v>
      </c>
      <c r="AU17" s="5">
        <v>4</v>
      </c>
      <c r="AV17" s="5">
        <v>5</v>
      </c>
      <c r="AW17" s="5">
        <v>1</v>
      </c>
      <c r="AX17" s="5">
        <v>3</v>
      </c>
      <c r="AY17" s="5">
        <v>1</v>
      </c>
      <c r="AZ17" s="5">
        <v>4</v>
      </c>
      <c r="BA17" s="5">
        <v>4</v>
      </c>
      <c r="BB17" s="5">
        <v>4</v>
      </c>
      <c r="BC17" s="5">
        <v>3</v>
      </c>
      <c r="BD17" s="5">
        <v>3</v>
      </c>
      <c r="BE17" s="5">
        <v>4</v>
      </c>
      <c r="BF17" s="5">
        <v>4</v>
      </c>
      <c r="BG17" s="5">
        <v>3</v>
      </c>
      <c r="BH17" s="5">
        <v>4</v>
      </c>
      <c r="BI17" s="5">
        <v>5</v>
      </c>
      <c r="BJ17" s="5">
        <v>3</v>
      </c>
      <c r="BK17" s="5">
        <v>4</v>
      </c>
      <c r="BL17" s="2" t="s">
        <v>81</v>
      </c>
      <c r="BM17" s="1">
        <v>45574.868807592589</v>
      </c>
    </row>
    <row r="18" spans="1:65" ht="13.5" customHeight="1" x14ac:dyDescent="0.35">
      <c r="A18" t="s">
        <v>614</v>
      </c>
      <c r="B18" s="2" t="s">
        <v>112</v>
      </c>
      <c r="C18" s="2" t="s">
        <v>113</v>
      </c>
      <c r="D18" s="5">
        <v>5</v>
      </c>
      <c r="E18" s="5">
        <v>5</v>
      </c>
      <c r="F18" s="5">
        <v>3</v>
      </c>
      <c r="G18" s="5">
        <v>5</v>
      </c>
      <c r="H18" s="5">
        <v>4</v>
      </c>
      <c r="I18" s="5">
        <v>4</v>
      </c>
      <c r="J18" s="5">
        <v>4</v>
      </c>
      <c r="K18" s="5">
        <v>3</v>
      </c>
      <c r="L18" s="5">
        <v>2</v>
      </c>
      <c r="M18" s="5">
        <v>3</v>
      </c>
      <c r="N18" s="5">
        <v>3</v>
      </c>
      <c r="O18" s="5">
        <v>3</v>
      </c>
      <c r="P18" s="5">
        <v>4</v>
      </c>
      <c r="Q18" s="5">
        <v>5</v>
      </c>
      <c r="R18" s="5">
        <v>5</v>
      </c>
      <c r="S18" s="5">
        <v>2</v>
      </c>
      <c r="T18" s="5">
        <v>4</v>
      </c>
      <c r="U18" s="5">
        <v>2</v>
      </c>
      <c r="V18" s="5">
        <v>4</v>
      </c>
      <c r="W18" s="5">
        <v>3</v>
      </c>
      <c r="X18" s="5">
        <v>5</v>
      </c>
      <c r="Y18" s="5">
        <v>3</v>
      </c>
      <c r="Z18" s="5">
        <v>3</v>
      </c>
      <c r="AA18" s="5">
        <v>3</v>
      </c>
      <c r="AB18" s="5">
        <v>3</v>
      </c>
      <c r="AC18" s="5">
        <v>5</v>
      </c>
      <c r="AD18" s="5">
        <v>3</v>
      </c>
      <c r="AE18" s="5">
        <v>4</v>
      </c>
      <c r="AF18" s="5">
        <v>5</v>
      </c>
      <c r="AG18" s="5">
        <v>3</v>
      </c>
      <c r="AH18" s="5">
        <v>4</v>
      </c>
      <c r="AI18" s="5">
        <v>3</v>
      </c>
      <c r="AJ18" s="5">
        <v>5</v>
      </c>
      <c r="AK18" s="5">
        <v>2</v>
      </c>
      <c r="AL18" s="5">
        <v>4</v>
      </c>
      <c r="AM18" s="5">
        <v>4</v>
      </c>
      <c r="AN18" s="5">
        <v>4</v>
      </c>
      <c r="AO18" s="5">
        <v>3</v>
      </c>
      <c r="AP18" s="5">
        <v>4</v>
      </c>
      <c r="AQ18" s="5">
        <v>5</v>
      </c>
      <c r="AR18" s="5">
        <v>3</v>
      </c>
      <c r="AS18" s="5">
        <v>3</v>
      </c>
      <c r="AT18" s="5">
        <v>3</v>
      </c>
      <c r="AU18" s="5">
        <v>2</v>
      </c>
      <c r="AV18" s="5">
        <v>3</v>
      </c>
      <c r="AW18" s="5">
        <v>4</v>
      </c>
      <c r="AX18" s="5">
        <v>3</v>
      </c>
      <c r="AY18" s="5">
        <v>2</v>
      </c>
      <c r="AZ18" s="5">
        <v>2</v>
      </c>
      <c r="BA18" s="5">
        <v>5</v>
      </c>
      <c r="BB18" s="5">
        <v>5</v>
      </c>
      <c r="BC18" s="5">
        <v>3</v>
      </c>
      <c r="BD18" s="5">
        <v>5</v>
      </c>
      <c r="BE18" s="5">
        <v>4</v>
      </c>
      <c r="BF18" s="5">
        <v>3</v>
      </c>
      <c r="BG18" s="5">
        <v>5</v>
      </c>
      <c r="BH18" s="5">
        <v>4</v>
      </c>
      <c r="BI18" s="5">
        <v>3</v>
      </c>
      <c r="BJ18" s="5">
        <v>3</v>
      </c>
      <c r="BK18" s="5">
        <v>5</v>
      </c>
      <c r="BL18" s="2" t="s">
        <v>114</v>
      </c>
      <c r="BM18" s="1">
        <v>45574.869871678238</v>
      </c>
    </row>
    <row r="19" spans="1:65" ht="13.5" customHeight="1" x14ac:dyDescent="0.35">
      <c r="A19" t="s">
        <v>615</v>
      </c>
      <c r="B19" s="2" t="s">
        <v>180</v>
      </c>
      <c r="C19" s="2" t="s">
        <v>181</v>
      </c>
      <c r="D19" s="5">
        <v>3</v>
      </c>
      <c r="E19" s="5">
        <v>5</v>
      </c>
      <c r="F19" s="5">
        <v>5</v>
      </c>
      <c r="G19" s="5">
        <v>4</v>
      </c>
      <c r="H19" s="5">
        <v>5</v>
      </c>
      <c r="I19" s="5">
        <v>4</v>
      </c>
      <c r="J19" s="5">
        <v>5</v>
      </c>
      <c r="K19" s="5">
        <v>4</v>
      </c>
      <c r="L19" s="5">
        <v>1</v>
      </c>
      <c r="M19" s="5">
        <v>3</v>
      </c>
      <c r="N19" s="5">
        <v>5</v>
      </c>
      <c r="O19" s="5">
        <v>1</v>
      </c>
      <c r="P19" s="5">
        <v>5</v>
      </c>
      <c r="Q19" s="5">
        <v>5</v>
      </c>
      <c r="R19" s="5">
        <v>4</v>
      </c>
      <c r="S19" s="5">
        <v>4</v>
      </c>
      <c r="T19" s="5">
        <v>3</v>
      </c>
      <c r="U19" s="5">
        <v>3</v>
      </c>
      <c r="V19" s="5">
        <v>3</v>
      </c>
      <c r="W19" s="5">
        <v>1</v>
      </c>
      <c r="X19" s="5">
        <v>5</v>
      </c>
      <c r="Y19" s="5">
        <v>4</v>
      </c>
      <c r="Z19" s="5">
        <v>4</v>
      </c>
      <c r="AA19" s="5">
        <v>5</v>
      </c>
      <c r="AB19" s="5">
        <v>2</v>
      </c>
      <c r="AC19" s="5">
        <v>5</v>
      </c>
      <c r="AD19" s="5">
        <v>5</v>
      </c>
      <c r="AE19" s="5">
        <v>5</v>
      </c>
      <c r="AF19" s="5">
        <v>4</v>
      </c>
      <c r="AG19" s="5">
        <v>3</v>
      </c>
      <c r="AH19" s="5">
        <v>3</v>
      </c>
      <c r="AI19" s="5">
        <v>5</v>
      </c>
      <c r="AJ19" s="5">
        <v>5</v>
      </c>
      <c r="AK19" s="5">
        <v>5</v>
      </c>
      <c r="AL19" s="5">
        <v>3</v>
      </c>
      <c r="AM19" s="5">
        <v>3</v>
      </c>
      <c r="AN19" s="5">
        <v>2</v>
      </c>
      <c r="AO19" s="5">
        <v>1</v>
      </c>
      <c r="AP19" s="5">
        <v>5</v>
      </c>
      <c r="AQ19" s="5">
        <v>3</v>
      </c>
      <c r="AR19" s="5">
        <v>3</v>
      </c>
      <c r="AS19" s="5">
        <v>2</v>
      </c>
      <c r="AT19" s="5">
        <v>5</v>
      </c>
      <c r="AU19" s="5">
        <v>5</v>
      </c>
      <c r="AV19" s="5">
        <v>4</v>
      </c>
      <c r="AW19" s="5">
        <v>5</v>
      </c>
      <c r="AX19" s="5">
        <v>5</v>
      </c>
      <c r="AY19" s="5">
        <v>3</v>
      </c>
      <c r="AZ19" s="5">
        <v>5</v>
      </c>
      <c r="BA19" s="5">
        <v>5</v>
      </c>
      <c r="BB19" s="5">
        <v>5</v>
      </c>
      <c r="BC19" s="5">
        <v>2</v>
      </c>
      <c r="BD19" s="5">
        <v>2</v>
      </c>
      <c r="BE19" s="5">
        <v>4</v>
      </c>
      <c r="BF19" s="5">
        <v>5</v>
      </c>
      <c r="BG19" s="5">
        <v>1</v>
      </c>
      <c r="BH19" s="5">
        <v>1</v>
      </c>
      <c r="BI19" s="5">
        <v>5</v>
      </c>
      <c r="BJ19" s="5">
        <v>3</v>
      </c>
      <c r="BK19" s="5">
        <v>4</v>
      </c>
      <c r="BL19" s="2" t="s">
        <v>182</v>
      </c>
      <c r="BM19" s="1">
        <v>45574.873873819444</v>
      </c>
    </row>
    <row r="20" spans="1:65" ht="13.5" customHeight="1" x14ac:dyDescent="0.35">
      <c r="A20" t="s">
        <v>616</v>
      </c>
      <c r="B20" s="2" t="s">
        <v>106</v>
      </c>
      <c r="C20" s="2" t="s">
        <v>107</v>
      </c>
      <c r="D20" s="5">
        <v>4</v>
      </c>
      <c r="E20" s="5">
        <v>4</v>
      </c>
      <c r="F20" s="5">
        <v>2</v>
      </c>
      <c r="G20" s="5">
        <v>4</v>
      </c>
      <c r="H20" s="5">
        <v>4</v>
      </c>
      <c r="I20" s="5">
        <v>3</v>
      </c>
      <c r="J20" s="5">
        <v>4</v>
      </c>
      <c r="K20" s="5">
        <v>2</v>
      </c>
      <c r="L20" s="5">
        <v>2</v>
      </c>
      <c r="M20" s="5">
        <v>4</v>
      </c>
      <c r="N20" s="5">
        <v>3</v>
      </c>
      <c r="O20" s="5">
        <v>4</v>
      </c>
      <c r="P20" s="5">
        <v>4</v>
      </c>
      <c r="Q20" s="5">
        <v>2</v>
      </c>
      <c r="R20" s="5">
        <v>5</v>
      </c>
      <c r="S20" s="5">
        <v>3</v>
      </c>
      <c r="T20" s="5">
        <v>4</v>
      </c>
      <c r="U20" s="5">
        <v>3</v>
      </c>
      <c r="V20" s="5">
        <v>2</v>
      </c>
      <c r="W20" s="5">
        <v>4</v>
      </c>
      <c r="X20" s="5">
        <v>5</v>
      </c>
      <c r="Y20" s="5">
        <v>2</v>
      </c>
      <c r="Z20" s="5">
        <v>4</v>
      </c>
      <c r="AA20" s="5">
        <v>2</v>
      </c>
      <c r="AB20" s="5">
        <v>3</v>
      </c>
      <c r="AC20" s="5">
        <v>2</v>
      </c>
      <c r="AD20" s="5">
        <v>4</v>
      </c>
      <c r="AE20" s="5">
        <v>4</v>
      </c>
      <c r="AF20" s="5">
        <v>3</v>
      </c>
      <c r="AG20" s="5">
        <v>4</v>
      </c>
      <c r="AH20" s="5">
        <v>2</v>
      </c>
      <c r="AI20" s="5">
        <v>4</v>
      </c>
      <c r="AJ20" s="5">
        <v>2</v>
      </c>
      <c r="AK20" s="5">
        <v>3</v>
      </c>
      <c r="AL20" s="5">
        <v>4</v>
      </c>
      <c r="AM20" s="5">
        <v>3</v>
      </c>
      <c r="AN20" s="5">
        <v>4</v>
      </c>
      <c r="AO20" s="5">
        <v>3</v>
      </c>
      <c r="AP20" s="5">
        <v>3</v>
      </c>
      <c r="AQ20" s="5">
        <v>3</v>
      </c>
      <c r="AR20" s="5">
        <v>2</v>
      </c>
      <c r="AS20" s="5">
        <v>4</v>
      </c>
      <c r="AT20" s="5">
        <v>4</v>
      </c>
      <c r="AU20" s="5">
        <v>3</v>
      </c>
      <c r="AV20" s="5">
        <v>4</v>
      </c>
      <c r="AW20" s="5">
        <v>2</v>
      </c>
      <c r="AX20" s="5">
        <v>4</v>
      </c>
      <c r="AY20" s="5">
        <v>4</v>
      </c>
      <c r="AZ20" s="5">
        <v>3</v>
      </c>
      <c r="BA20" s="5">
        <v>2</v>
      </c>
      <c r="BB20" s="5">
        <v>4</v>
      </c>
      <c r="BC20" s="5">
        <v>3</v>
      </c>
      <c r="BD20" s="5">
        <v>4</v>
      </c>
      <c r="BE20" s="5">
        <v>3</v>
      </c>
      <c r="BF20" s="5">
        <v>3</v>
      </c>
      <c r="BG20" s="5">
        <v>2</v>
      </c>
      <c r="BH20" s="5">
        <v>4</v>
      </c>
      <c r="BI20" s="5">
        <v>3</v>
      </c>
      <c r="BJ20" s="5">
        <v>4</v>
      </c>
      <c r="BK20" s="5">
        <v>4</v>
      </c>
      <c r="BL20" s="2" t="s">
        <v>108</v>
      </c>
      <c r="BM20" s="1">
        <v>45574.869828506948</v>
      </c>
    </row>
    <row r="21" spans="1:65" ht="13.5" customHeight="1" x14ac:dyDescent="0.35">
      <c r="A21" t="s">
        <v>617</v>
      </c>
      <c r="B21" s="2" t="s">
        <v>61</v>
      </c>
      <c r="C21" s="2" t="s">
        <v>62</v>
      </c>
      <c r="D21" s="5">
        <v>4</v>
      </c>
      <c r="E21" s="5">
        <v>5</v>
      </c>
      <c r="F21" s="5">
        <v>5</v>
      </c>
      <c r="G21" s="5">
        <v>3</v>
      </c>
      <c r="H21" s="5">
        <v>5</v>
      </c>
      <c r="I21" s="5">
        <v>5</v>
      </c>
      <c r="J21" s="5">
        <v>4</v>
      </c>
      <c r="K21" s="5">
        <v>1</v>
      </c>
      <c r="L21" s="5">
        <v>3</v>
      </c>
      <c r="M21" s="5">
        <v>4</v>
      </c>
      <c r="N21" s="5">
        <v>5</v>
      </c>
      <c r="O21" s="5">
        <v>3</v>
      </c>
      <c r="P21" s="5">
        <v>3</v>
      </c>
      <c r="Q21" s="5">
        <v>4</v>
      </c>
      <c r="R21" s="5">
        <v>5</v>
      </c>
      <c r="S21" s="5">
        <v>3</v>
      </c>
      <c r="T21" s="5">
        <v>5</v>
      </c>
      <c r="U21" s="5">
        <v>3</v>
      </c>
      <c r="V21" s="5">
        <v>1</v>
      </c>
      <c r="W21" s="5">
        <v>5</v>
      </c>
      <c r="X21" s="5">
        <v>5</v>
      </c>
      <c r="Y21" s="5">
        <v>3</v>
      </c>
      <c r="Z21" s="5">
        <v>5</v>
      </c>
      <c r="AA21" s="5">
        <v>1</v>
      </c>
      <c r="AB21" s="5">
        <v>1</v>
      </c>
      <c r="AC21" s="5">
        <v>5</v>
      </c>
      <c r="AD21" s="5">
        <v>5</v>
      </c>
      <c r="AE21" s="5">
        <v>5</v>
      </c>
      <c r="AF21" s="5">
        <v>3</v>
      </c>
      <c r="AG21" s="5">
        <v>4</v>
      </c>
      <c r="AH21" s="5">
        <v>4</v>
      </c>
      <c r="AI21" s="5">
        <v>4</v>
      </c>
      <c r="AJ21" s="5">
        <v>5</v>
      </c>
      <c r="AK21" s="5">
        <v>2</v>
      </c>
      <c r="AL21" s="5">
        <v>4</v>
      </c>
      <c r="AM21" s="5">
        <v>1</v>
      </c>
      <c r="AN21" s="5">
        <v>5</v>
      </c>
      <c r="AO21" s="5">
        <v>5</v>
      </c>
      <c r="AP21" s="5">
        <v>4</v>
      </c>
      <c r="AQ21" s="5">
        <v>4</v>
      </c>
      <c r="AR21" s="5">
        <v>1</v>
      </c>
      <c r="AS21" s="5">
        <v>5</v>
      </c>
      <c r="AT21" s="5">
        <v>5</v>
      </c>
      <c r="AU21" s="5">
        <v>3</v>
      </c>
      <c r="AV21" s="5">
        <v>4</v>
      </c>
      <c r="AW21" s="5">
        <v>1</v>
      </c>
      <c r="AX21" s="5">
        <v>3</v>
      </c>
      <c r="AY21" s="5">
        <v>5</v>
      </c>
      <c r="AZ21" s="5">
        <v>4</v>
      </c>
      <c r="BA21" s="5">
        <v>5</v>
      </c>
      <c r="BB21" s="5">
        <v>5</v>
      </c>
      <c r="BC21" s="5">
        <v>3</v>
      </c>
      <c r="BD21" s="5">
        <v>3</v>
      </c>
      <c r="BE21" s="5">
        <v>3</v>
      </c>
      <c r="BF21" s="5">
        <v>3</v>
      </c>
      <c r="BG21" s="5">
        <v>5</v>
      </c>
      <c r="BH21" s="5">
        <v>5</v>
      </c>
      <c r="BI21" s="5">
        <v>3</v>
      </c>
      <c r="BJ21" s="5">
        <v>4</v>
      </c>
      <c r="BK21" s="5">
        <v>5</v>
      </c>
      <c r="BL21" s="2" t="s">
        <v>63</v>
      </c>
      <c r="BM21" s="1">
        <v>45574.868113518518</v>
      </c>
    </row>
    <row r="22" spans="1:65" ht="13.5" customHeight="1" x14ac:dyDescent="0.35">
      <c r="A22" t="s">
        <v>618</v>
      </c>
      <c r="B22" s="2" t="s">
        <v>212</v>
      </c>
      <c r="C22" s="2" t="s">
        <v>213</v>
      </c>
      <c r="D22" s="5">
        <v>3</v>
      </c>
      <c r="E22" s="5">
        <v>5</v>
      </c>
      <c r="F22" s="5">
        <v>4</v>
      </c>
      <c r="G22" s="5">
        <v>5</v>
      </c>
      <c r="H22" s="5">
        <v>3</v>
      </c>
      <c r="I22" s="5">
        <v>5</v>
      </c>
      <c r="J22" s="5">
        <v>4</v>
      </c>
      <c r="K22" s="5">
        <v>4</v>
      </c>
      <c r="L22" s="5">
        <v>2</v>
      </c>
      <c r="M22" s="5">
        <v>4</v>
      </c>
      <c r="N22" s="5">
        <v>3</v>
      </c>
      <c r="O22" s="5">
        <v>3</v>
      </c>
      <c r="P22" s="5">
        <v>3</v>
      </c>
      <c r="Q22" s="5">
        <v>5</v>
      </c>
      <c r="R22" s="5">
        <v>5</v>
      </c>
      <c r="S22" s="5">
        <v>3</v>
      </c>
      <c r="T22" s="5">
        <v>1</v>
      </c>
      <c r="U22" s="5">
        <v>1</v>
      </c>
      <c r="V22" s="5">
        <v>4</v>
      </c>
      <c r="W22" s="5">
        <v>2</v>
      </c>
      <c r="X22" s="5">
        <v>5</v>
      </c>
      <c r="Y22" s="5">
        <v>1</v>
      </c>
      <c r="Z22" s="5">
        <v>3</v>
      </c>
      <c r="AA22" s="5">
        <v>5</v>
      </c>
      <c r="AB22" s="5">
        <v>1</v>
      </c>
      <c r="AC22" s="5">
        <v>5</v>
      </c>
      <c r="AD22" s="5">
        <v>4</v>
      </c>
      <c r="AE22" s="5">
        <v>4</v>
      </c>
      <c r="AF22" s="5">
        <v>2</v>
      </c>
      <c r="AG22" s="5">
        <v>5</v>
      </c>
      <c r="AH22" s="5">
        <v>4</v>
      </c>
      <c r="AI22" s="5">
        <v>4</v>
      </c>
      <c r="AJ22" s="5">
        <v>3</v>
      </c>
      <c r="AK22" s="5">
        <v>4</v>
      </c>
      <c r="AL22" s="5">
        <v>5</v>
      </c>
      <c r="AM22" s="5">
        <v>3</v>
      </c>
      <c r="AN22" s="5">
        <v>5</v>
      </c>
      <c r="AO22" s="5">
        <v>2</v>
      </c>
      <c r="AP22" s="5">
        <v>2</v>
      </c>
      <c r="AQ22" s="5">
        <v>2</v>
      </c>
      <c r="AR22" s="5">
        <v>3</v>
      </c>
      <c r="AS22" s="5">
        <v>5</v>
      </c>
      <c r="AT22" s="5">
        <v>4</v>
      </c>
      <c r="AU22" s="5">
        <v>3</v>
      </c>
      <c r="AV22" s="5">
        <v>5</v>
      </c>
      <c r="AW22" s="5">
        <v>3</v>
      </c>
      <c r="AX22" s="5">
        <v>3</v>
      </c>
      <c r="AY22" s="5">
        <v>5</v>
      </c>
      <c r="AZ22" s="5">
        <v>3</v>
      </c>
      <c r="BA22" s="5">
        <v>5</v>
      </c>
      <c r="BB22" s="5">
        <v>2</v>
      </c>
      <c r="BC22" s="5">
        <v>2</v>
      </c>
      <c r="BD22" s="5">
        <v>4</v>
      </c>
      <c r="BE22" s="5">
        <v>3</v>
      </c>
      <c r="BF22" s="5">
        <v>3</v>
      </c>
      <c r="BG22" s="5">
        <v>5</v>
      </c>
      <c r="BH22" s="5">
        <v>1</v>
      </c>
      <c r="BI22" s="5">
        <v>3</v>
      </c>
      <c r="BJ22" s="5">
        <v>5</v>
      </c>
      <c r="BK22" s="5">
        <v>5</v>
      </c>
      <c r="BL22" s="2" t="s">
        <v>214</v>
      </c>
      <c r="BM22" s="1">
        <v>45574.877378750003</v>
      </c>
    </row>
    <row r="23" spans="1:65" ht="13.5" customHeight="1" x14ac:dyDescent="0.35">
      <c r="A23" t="s">
        <v>619</v>
      </c>
      <c r="B23" s="2" t="s">
        <v>139</v>
      </c>
      <c r="C23" s="2" t="s">
        <v>140</v>
      </c>
      <c r="D23" s="5">
        <v>5</v>
      </c>
      <c r="E23" s="5">
        <v>5</v>
      </c>
      <c r="F23" s="5">
        <v>5</v>
      </c>
      <c r="G23" s="5">
        <v>5</v>
      </c>
      <c r="H23" s="5">
        <v>4</v>
      </c>
      <c r="I23" s="5">
        <v>4</v>
      </c>
      <c r="J23" s="5">
        <v>2</v>
      </c>
      <c r="K23" s="5">
        <v>4</v>
      </c>
      <c r="L23" s="5">
        <v>1</v>
      </c>
      <c r="M23" s="5">
        <v>4</v>
      </c>
      <c r="N23" s="5">
        <v>4</v>
      </c>
      <c r="O23" s="5">
        <v>4</v>
      </c>
      <c r="P23" s="5">
        <v>1</v>
      </c>
      <c r="Q23" s="5">
        <v>4</v>
      </c>
      <c r="R23" s="5">
        <v>5</v>
      </c>
      <c r="S23" s="5">
        <v>5</v>
      </c>
      <c r="T23" s="5">
        <v>4</v>
      </c>
      <c r="U23" s="5">
        <v>1</v>
      </c>
      <c r="V23" s="5">
        <v>5</v>
      </c>
      <c r="W23" s="5">
        <v>1</v>
      </c>
      <c r="X23" s="5">
        <v>5</v>
      </c>
      <c r="Y23" s="5">
        <v>1</v>
      </c>
      <c r="Z23" s="5">
        <v>2</v>
      </c>
      <c r="AA23" s="5">
        <v>5</v>
      </c>
      <c r="AB23" s="5">
        <v>5</v>
      </c>
      <c r="AC23" s="5">
        <v>3</v>
      </c>
      <c r="AD23" s="5">
        <v>3</v>
      </c>
      <c r="AE23" s="5">
        <v>3</v>
      </c>
      <c r="AF23" s="5">
        <v>1</v>
      </c>
      <c r="AG23" s="5">
        <v>5</v>
      </c>
      <c r="AH23" s="5">
        <v>5</v>
      </c>
      <c r="AI23" s="5">
        <v>3</v>
      </c>
      <c r="AJ23" s="5">
        <v>1</v>
      </c>
      <c r="AK23" s="5">
        <v>1</v>
      </c>
      <c r="AL23" s="5">
        <v>5</v>
      </c>
      <c r="AM23" s="5">
        <v>5</v>
      </c>
      <c r="AN23" s="5">
        <v>5</v>
      </c>
      <c r="AO23" s="5">
        <v>3</v>
      </c>
      <c r="AP23" s="5">
        <v>2</v>
      </c>
      <c r="AQ23" s="5">
        <v>5</v>
      </c>
      <c r="AR23" s="5">
        <v>5</v>
      </c>
      <c r="AS23" s="5">
        <v>5</v>
      </c>
      <c r="AT23" s="5">
        <v>3</v>
      </c>
      <c r="AU23" s="5">
        <v>1</v>
      </c>
      <c r="AV23" s="5">
        <v>5</v>
      </c>
      <c r="AW23" s="5">
        <v>3</v>
      </c>
      <c r="AX23" s="5">
        <v>3</v>
      </c>
      <c r="AY23" s="5">
        <v>5</v>
      </c>
      <c r="AZ23" s="5">
        <v>5</v>
      </c>
      <c r="BA23" s="5">
        <v>4</v>
      </c>
      <c r="BB23" s="5">
        <v>3</v>
      </c>
      <c r="BC23" s="5">
        <v>5</v>
      </c>
      <c r="BD23" s="5">
        <v>5</v>
      </c>
      <c r="BE23" s="5">
        <v>1</v>
      </c>
      <c r="BF23" s="5">
        <v>4</v>
      </c>
      <c r="BG23" s="5">
        <v>3</v>
      </c>
      <c r="BH23" s="5">
        <v>5</v>
      </c>
      <c r="BI23" s="5">
        <v>1</v>
      </c>
      <c r="BJ23" s="5">
        <v>5</v>
      </c>
      <c r="BK23" s="5">
        <v>5</v>
      </c>
      <c r="BL23" s="2" t="s">
        <v>141</v>
      </c>
      <c r="BM23" s="1">
        <v>45574.871546145834</v>
      </c>
    </row>
    <row r="24" spans="1:65" ht="13.5" customHeight="1" x14ac:dyDescent="0.35">
      <c r="A24" t="s">
        <v>620</v>
      </c>
      <c r="B24" s="2" t="s">
        <v>185</v>
      </c>
      <c r="C24" s="2" t="s">
        <v>186</v>
      </c>
      <c r="D24" s="5">
        <v>4</v>
      </c>
      <c r="E24" s="5">
        <v>3</v>
      </c>
      <c r="F24" s="5">
        <v>3</v>
      </c>
      <c r="G24" s="5">
        <v>2</v>
      </c>
      <c r="H24" s="5">
        <v>3</v>
      </c>
      <c r="I24" s="5">
        <v>5</v>
      </c>
      <c r="J24" s="5">
        <v>3</v>
      </c>
      <c r="K24" s="5">
        <v>5</v>
      </c>
      <c r="L24" s="5">
        <v>1</v>
      </c>
      <c r="M24" s="5">
        <v>2</v>
      </c>
      <c r="N24" s="5">
        <v>5</v>
      </c>
      <c r="O24" s="5">
        <v>2</v>
      </c>
      <c r="P24" s="5">
        <v>2</v>
      </c>
      <c r="Q24" s="5">
        <v>4</v>
      </c>
      <c r="R24" s="5">
        <v>5</v>
      </c>
      <c r="S24" s="5">
        <v>1</v>
      </c>
      <c r="T24" s="5">
        <v>1</v>
      </c>
      <c r="U24" s="5">
        <v>3</v>
      </c>
      <c r="V24" s="5">
        <v>2</v>
      </c>
      <c r="W24" s="5">
        <v>3</v>
      </c>
      <c r="X24" s="5">
        <v>5</v>
      </c>
      <c r="Y24" s="5">
        <v>2</v>
      </c>
      <c r="Z24" s="5">
        <v>3</v>
      </c>
      <c r="AA24" s="5">
        <v>3</v>
      </c>
      <c r="AB24" s="5">
        <v>2</v>
      </c>
      <c r="AC24" s="5">
        <v>5</v>
      </c>
      <c r="AD24" s="5">
        <v>5</v>
      </c>
      <c r="AE24" s="5">
        <v>5</v>
      </c>
      <c r="AF24" s="5">
        <v>4</v>
      </c>
      <c r="AG24" s="5">
        <v>1</v>
      </c>
      <c r="AH24" s="5">
        <v>3</v>
      </c>
      <c r="AI24" s="5">
        <v>5</v>
      </c>
      <c r="AJ24" s="5">
        <v>4</v>
      </c>
      <c r="AK24" s="5">
        <v>3</v>
      </c>
      <c r="AL24" s="5">
        <v>4</v>
      </c>
      <c r="AM24" s="5">
        <v>2</v>
      </c>
      <c r="AN24" s="5">
        <v>4</v>
      </c>
      <c r="AO24" s="5">
        <v>5</v>
      </c>
      <c r="AP24" s="5">
        <v>2</v>
      </c>
      <c r="AQ24" s="5">
        <v>3</v>
      </c>
      <c r="AR24" s="5">
        <v>5</v>
      </c>
      <c r="AS24" s="5">
        <v>5</v>
      </c>
      <c r="AT24" s="5">
        <v>4</v>
      </c>
      <c r="AU24" s="5">
        <v>1</v>
      </c>
      <c r="AV24" s="5">
        <v>3</v>
      </c>
      <c r="AW24" s="5">
        <v>2</v>
      </c>
      <c r="AX24" s="5">
        <v>2</v>
      </c>
      <c r="AY24" s="5">
        <v>1</v>
      </c>
      <c r="AZ24" s="5">
        <v>4</v>
      </c>
      <c r="BA24" s="5">
        <v>4</v>
      </c>
      <c r="BB24" s="5">
        <v>5</v>
      </c>
      <c r="BC24" s="5">
        <v>1</v>
      </c>
      <c r="BD24" s="5">
        <v>5</v>
      </c>
      <c r="BE24" s="5">
        <v>4</v>
      </c>
      <c r="BF24" s="5">
        <v>3</v>
      </c>
      <c r="BG24" s="5">
        <v>4</v>
      </c>
      <c r="BH24" s="5">
        <v>3</v>
      </c>
      <c r="BI24" s="5">
        <v>2</v>
      </c>
      <c r="BJ24" s="5">
        <v>5</v>
      </c>
      <c r="BK24" s="5">
        <v>4</v>
      </c>
      <c r="BL24" s="2" t="s">
        <v>187</v>
      </c>
      <c r="BM24" s="1">
        <v>45574.874204872685</v>
      </c>
    </row>
    <row r="25" spans="1:65" ht="13.5" customHeight="1" x14ac:dyDescent="0.35">
      <c r="A25" t="s">
        <v>621</v>
      </c>
      <c r="B25" s="2" t="s">
        <v>207</v>
      </c>
      <c r="C25" s="2" t="s">
        <v>208</v>
      </c>
      <c r="D25" s="5">
        <v>5</v>
      </c>
      <c r="E25" s="5">
        <v>2</v>
      </c>
      <c r="F25" s="5">
        <v>2</v>
      </c>
      <c r="G25" s="5">
        <v>5</v>
      </c>
      <c r="H25" s="5">
        <v>4</v>
      </c>
      <c r="I25" s="5">
        <v>3</v>
      </c>
      <c r="J25" s="5">
        <v>3</v>
      </c>
      <c r="K25" s="5">
        <v>2</v>
      </c>
      <c r="L25" s="5">
        <v>2</v>
      </c>
      <c r="M25" s="5">
        <v>5</v>
      </c>
      <c r="N25" s="5">
        <v>3</v>
      </c>
      <c r="O25" s="5">
        <v>3</v>
      </c>
      <c r="P25" s="5">
        <v>4</v>
      </c>
      <c r="Q25" s="5">
        <v>3</v>
      </c>
      <c r="R25" s="5">
        <v>5</v>
      </c>
      <c r="S25" s="5">
        <v>3</v>
      </c>
      <c r="T25" s="5">
        <v>5</v>
      </c>
      <c r="U25" s="5">
        <v>4</v>
      </c>
      <c r="V25" s="5">
        <v>2</v>
      </c>
      <c r="W25" s="5">
        <v>4</v>
      </c>
      <c r="X25" s="5">
        <v>5</v>
      </c>
      <c r="Y25" s="5">
        <v>1</v>
      </c>
      <c r="Z25" s="5">
        <v>5</v>
      </c>
      <c r="AA25" s="5">
        <v>2</v>
      </c>
      <c r="AB25" s="5">
        <v>5</v>
      </c>
      <c r="AC25" s="5">
        <v>4</v>
      </c>
      <c r="AD25" s="5">
        <v>2</v>
      </c>
      <c r="AE25" s="5">
        <v>2</v>
      </c>
      <c r="AF25" s="5">
        <v>4</v>
      </c>
      <c r="AG25" s="5">
        <v>5</v>
      </c>
      <c r="AH25" s="5">
        <v>4</v>
      </c>
      <c r="AI25" s="5">
        <v>2</v>
      </c>
      <c r="AJ25" s="5">
        <v>4</v>
      </c>
      <c r="AK25" s="5">
        <v>4</v>
      </c>
      <c r="AL25" s="5">
        <v>3</v>
      </c>
      <c r="AM25" s="5">
        <v>3</v>
      </c>
      <c r="AN25" s="5">
        <v>3</v>
      </c>
      <c r="AO25" s="5">
        <v>4</v>
      </c>
      <c r="AP25" s="5">
        <v>2</v>
      </c>
      <c r="AQ25" s="5">
        <v>3</v>
      </c>
      <c r="AR25" s="5">
        <v>1</v>
      </c>
      <c r="AS25" s="5">
        <v>3</v>
      </c>
      <c r="AT25" s="5">
        <v>4</v>
      </c>
      <c r="AU25" s="5">
        <v>4</v>
      </c>
      <c r="AV25" s="5">
        <v>4</v>
      </c>
      <c r="AW25" s="5">
        <v>2</v>
      </c>
      <c r="AX25" s="5">
        <v>3</v>
      </c>
      <c r="AY25" s="5">
        <v>2</v>
      </c>
      <c r="AZ25" s="5">
        <v>2</v>
      </c>
      <c r="BA25" s="5">
        <v>3</v>
      </c>
      <c r="BB25" s="5">
        <v>4</v>
      </c>
      <c r="BC25" s="5">
        <v>4</v>
      </c>
      <c r="BD25" s="5">
        <v>5</v>
      </c>
      <c r="BE25" s="5">
        <v>3</v>
      </c>
      <c r="BF25" s="5">
        <v>4</v>
      </c>
      <c r="BG25" s="5">
        <v>4</v>
      </c>
      <c r="BH25" s="5">
        <v>5</v>
      </c>
      <c r="BI25" s="5">
        <v>5</v>
      </c>
      <c r="BJ25" s="5">
        <v>3</v>
      </c>
      <c r="BK25" s="5">
        <v>5</v>
      </c>
      <c r="BL25" s="2" t="s">
        <v>209</v>
      </c>
      <c r="BM25" s="1">
        <v>45574.87642291667</v>
      </c>
    </row>
    <row r="26" spans="1:65" ht="13.5" customHeight="1" x14ac:dyDescent="0.35">
      <c r="A26" t="s">
        <v>622</v>
      </c>
      <c r="B26" s="2" t="s">
        <v>175</v>
      </c>
      <c r="C26" s="2" t="s">
        <v>176</v>
      </c>
      <c r="D26" s="5">
        <v>5</v>
      </c>
      <c r="E26" s="5">
        <v>4</v>
      </c>
      <c r="F26" s="5">
        <v>3</v>
      </c>
      <c r="G26" s="5">
        <v>4</v>
      </c>
      <c r="H26" s="5">
        <v>4</v>
      </c>
      <c r="I26" s="5">
        <v>5</v>
      </c>
      <c r="J26" s="5">
        <v>3</v>
      </c>
      <c r="K26" s="5">
        <v>2</v>
      </c>
      <c r="L26" s="5">
        <v>3</v>
      </c>
      <c r="M26" s="5">
        <v>5</v>
      </c>
      <c r="N26" s="5">
        <v>2</v>
      </c>
      <c r="O26" s="5">
        <v>5</v>
      </c>
      <c r="P26" s="5">
        <v>3</v>
      </c>
      <c r="Q26" s="5">
        <v>4</v>
      </c>
      <c r="R26" s="5">
        <v>5</v>
      </c>
      <c r="S26" s="5">
        <v>4</v>
      </c>
      <c r="T26" s="5">
        <v>3</v>
      </c>
      <c r="U26" s="5">
        <v>3</v>
      </c>
      <c r="V26" s="5">
        <v>3</v>
      </c>
      <c r="W26" s="5">
        <v>3</v>
      </c>
      <c r="X26" s="5">
        <v>5</v>
      </c>
      <c r="Y26" s="5">
        <v>3</v>
      </c>
      <c r="Z26" s="5">
        <v>3</v>
      </c>
      <c r="AA26" s="5">
        <v>3</v>
      </c>
      <c r="AB26" s="5">
        <v>2</v>
      </c>
      <c r="AC26" s="5">
        <v>4</v>
      </c>
      <c r="AD26" s="5">
        <v>4</v>
      </c>
      <c r="AE26" s="5">
        <v>3</v>
      </c>
      <c r="AF26" s="5">
        <v>3</v>
      </c>
      <c r="AG26" s="5">
        <v>5</v>
      </c>
      <c r="AH26" s="5">
        <v>3</v>
      </c>
      <c r="AI26" s="5">
        <v>5</v>
      </c>
      <c r="AJ26" s="5">
        <v>1</v>
      </c>
      <c r="AK26" s="5">
        <v>2</v>
      </c>
      <c r="AL26" s="5">
        <v>3</v>
      </c>
      <c r="AM26" s="5">
        <v>5</v>
      </c>
      <c r="AN26" s="5">
        <v>3</v>
      </c>
      <c r="AO26" s="5">
        <v>2</v>
      </c>
      <c r="AP26" s="5">
        <v>3</v>
      </c>
      <c r="AQ26" s="5">
        <v>4</v>
      </c>
      <c r="AR26" s="5">
        <v>2</v>
      </c>
      <c r="AS26" s="5">
        <v>4</v>
      </c>
      <c r="AT26" s="5">
        <v>2</v>
      </c>
      <c r="AU26" s="5">
        <v>3</v>
      </c>
      <c r="AV26" s="5">
        <v>4</v>
      </c>
      <c r="AW26" s="5">
        <v>3</v>
      </c>
      <c r="AX26" s="5">
        <v>3</v>
      </c>
      <c r="AY26" s="5">
        <v>3</v>
      </c>
      <c r="AZ26" s="5">
        <v>3</v>
      </c>
      <c r="BA26" s="5">
        <v>4</v>
      </c>
      <c r="BB26" s="5">
        <v>4</v>
      </c>
      <c r="BC26" s="5">
        <v>2</v>
      </c>
      <c r="BD26" s="5">
        <v>5</v>
      </c>
      <c r="BE26" s="5">
        <v>3</v>
      </c>
      <c r="BF26" s="5">
        <v>4</v>
      </c>
      <c r="BG26" s="5">
        <v>4</v>
      </c>
      <c r="BH26" s="5">
        <v>5</v>
      </c>
      <c r="BI26" s="5">
        <v>3</v>
      </c>
      <c r="BJ26" s="5">
        <v>4</v>
      </c>
      <c r="BK26" s="5">
        <v>4</v>
      </c>
      <c r="BL26" s="2" t="s">
        <v>177</v>
      </c>
      <c r="BM26" s="1">
        <v>45574.873789884259</v>
      </c>
    </row>
    <row r="27" spans="1:65" ht="13.5" customHeight="1" x14ac:dyDescent="0.35">
      <c r="A27" t="s">
        <v>623</v>
      </c>
      <c r="B27" s="2" t="s">
        <v>155</v>
      </c>
      <c r="C27" s="2" t="s">
        <v>156</v>
      </c>
      <c r="D27" s="5">
        <v>5</v>
      </c>
      <c r="E27" s="5">
        <v>4</v>
      </c>
      <c r="F27" s="5">
        <v>4</v>
      </c>
      <c r="G27" s="5">
        <v>4</v>
      </c>
      <c r="H27" s="5">
        <v>3</v>
      </c>
      <c r="I27" s="5">
        <v>3</v>
      </c>
      <c r="J27" s="5">
        <v>3</v>
      </c>
      <c r="K27" s="5">
        <v>3</v>
      </c>
      <c r="L27" s="5">
        <v>1</v>
      </c>
      <c r="M27" s="5">
        <v>5</v>
      </c>
      <c r="N27" s="5">
        <v>2</v>
      </c>
      <c r="O27" s="5">
        <v>3</v>
      </c>
      <c r="P27" s="5">
        <v>2</v>
      </c>
      <c r="Q27" s="5">
        <v>4</v>
      </c>
      <c r="R27" s="5">
        <v>5</v>
      </c>
      <c r="S27" s="5">
        <v>4</v>
      </c>
      <c r="T27" s="5">
        <v>2</v>
      </c>
      <c r="U27" s="5">
        <v>2</v>
      </c>
      <c r="V27" s="5">
        <v>4</v>
      </c>
      <c r="W27" s="5">
        <v>2</v>
      </c>
      <c r="X27" s="5">
        <v>4</v>
      </c>
      <c r="Y27" s="5">
        <v>3</v>
      </c>
      <c r="Z27" s="5">
        <v>4</v>
      </c>
      <c r="AA27" s="5">
        <v>4</v>
      </c>
      <c r="AB27" s="5">
        <v>4</v>
      </c>
      <c r="AC27" s="5">
        <v>3</v>
      </c>
      <c r="AD27" s="5">
        <v>3</v>
      </c>
      <c r="AE27" s="5">
        <v>4</v>
      </c>
      <c r="AF27" s="5">
        <v>2</v>
      </c>
      <c r="AG27" s="5">
        <v>4</v>
      </c>
      <c r="AH27" s="5">
        <v>3</v>
      </c>
      <c r="AI27" s="5">
        <v>3</v>
      </c>
      <c r="AJ27" s="5">
        <v>4</v>
      </c>
      <c r="AK27" s="5">
        <v>2</v>
      </c>
      <c r="AL27" s="5">
        <v>3</v>
      </c>
      <c r="AM27" s="5">
        <v>4</v>
      </c>
      <c r="AN27" s="5">
        <v>2</v>
      </c>
      <c r="AO27" s="5">
        <v>3</v>
      </c>
      <c r="AP27" s="5">
        <v>2</v>
      </c>
      <c r="AQ27" s="5">
        <v>3</v>
      </c>
      <c r="AR27" s="5">
        <v>3</v>
      </c>
      <c r="AS27" s="5">
        <v>3</v>
      </c>
      <c r="AT27" s="5">
        <v>2</v>
      </c>
      <c r="AU27" s="5">
        <v>3</v>
      </c>
      <c r="AV27" s="5">
        <v>4</v>
      </c>
      <c r="AW27" s="5">
        <v>4</v>
      </c>
      <c r="AX27" s="5">
        <v>2</v>
      </c>
      <c r="AY27" s="5">
        <v>3</v>
      </c>
      <c r="AZ27" s="5">
        <v>2</v>
      </c>
      <c r="BA27" s="5">
        <v>3</v>
      </c>
      <c r="BB27" s="5">
        <v>2</v>
      </c>
      <c r="BC27" s="5">
        <v>1</v>
      </c>
      <c r="BD27" s="5">
        <v>5</v>
      </c>
      <c r="BE27" s="5">
        <v>2</v>
      </c>
      <c r="BF27" s="5">
        <v>3</v>
      </c>
      <c r="BG27" s="5">
        <v>4</v>
      </c>
      <c r="BH27" s="5">
        <v>4</v>
      </c>
      <c r="BI27" s="5">
        <v>2</v>
      </c>
      <c r="BJ27" s="5">
        <v>3</v>
      </c>
      <c r="BK27" s="5">
        <v>4</v>
      </c>
      <c r="BL27" s="2" t="s">
        <v>157</v>
      </c>
      <c r="BM27" s="1">
        <v>45574.87263322917</v>
      </c>
    </row>
    <row r="28" spans="1:65" ht="13.5" customHeight="1" x14ac:dyDescent="0.35">
      <c r="A28" t="s">
        <v>624</v>
      </c>
      <c r="B28" s="2" t="s">
        <v>117</v>
      </c>
      <c r="C28" s="2" t="s">
        <v>118</v>
      </c>
      <c r="D28" s="5">
        <v>5</v>
      </c>
      <c r="E28" s="5">
        <v>5</v>
      </c>
      <c r="F28" s="5">
        <v>5</v>
      </c>
      <c r="G28" s="5">
        <v>4</v>
      </c>
      <c r="H28" s="5">
        <v>3</v>
      </c>
      <c r="I28" s="5">
        <v>5</v>
      </c>
      <c r="J28" s="5">
        <v>5</v>
      </c>
      <c r="K28" s="5">
        <v>2</v>
      </c>
      <c r="L28" s="5">
        <v>5</v>
      </c>
      <c r="M28" s="5">
        <v>5</v>
      </c>
      <c r="N28" s="5">
        <v>3</v>
      </c>
      <c r="O28" s="5">
        <v>5</v>
      </c>
      <c r="P28" s="5">
        <v>5</v>
      </c>
      <c r="Q28" s="5">
        <v>5</v>
      </c>
      <c r="R28" s="5">
        <v>5</v>
      </c>
      <c r="S28" s="5">
        <v>2</v>
      </c>
      <c r="T28" s="5">
        <v>4</v>
      </c>
      <c r="U28" s="5">
        <v>5</v>
      </c>
      <c r="V28" s="5">
        <v>1</v>
      </c>
      <c r="W28" s="5">
        <v>2</v>
      </c>
      <c r="X28" s="5">
        <v>5</v>
      </c>
      <c r="Y28" s="5">
        <v>1</v>
      </c>
      <c r="Z28" s="5">
        <v>1</v>
      </c>
      <c r="AA28" s="5">
        <v>3</v>
      </c>
      <c r="AB28" s="5">
        <v>1</v>
      </c>
      <c r="AC28" s="5">
        <v>5</v>
      </c>
      <c r="AD28" s="5">
        <v>5</v>
      </c>
      <c r="AE28" s="5">
        <v>2</v>
      </c>
      <c r="AF28" s="5">
        <v>5</v>
      </c>
      <c r="AG28" s="5">
        <v>5</v>
      </c>
      <c r="AH28" s="5">
        <v>2</v>
      </c>
      <c r="AI28" s="5">
        <v>5</v>
      </c>
      <c r="AJ28" s="5">
        <v>1</v>
      </c>
      <c r="AK28" s="5">
        <v>5</v>
      </c>
      <c r="AL28" s="5">
        <v>3</v>
      </c>
      <c r="AM28" s="5">
        <v>2</v>
      </c>
      <c r="AN28" s="5">
        <v>5</v>
      </c>
      <c r="AO28" s="5">
        <v>4</v>
      </c>
      <c r="AP28" s="5">
        <v>5</v>
      </c>
      <c r="AQ28" s="5">
        <v>4</v>
      </c>
      <c r="AR28" s="5">
        <v>5</v>
      </c>
      <c r="AS28" s="5">
        <v>5</v>
      </c>
      <c r="AT28" s="5">
        <v>5</v>
      </c>
      <c r="AU28" s="5">
        <v>5</v>
      </c>
      <c r="AV28" s="5">
        <v>5</v>
      </c>
      <c r="AW28" s="5">
        <v>1</v>
      </c>
      <c r="AX28" s="5">
        <v>5</v>
      </c>
      <c r="AY28" s="5">
        <v>5</v>
      </c>
      <c r="AZ28" s="5">
        <v>3</v>
      </c>
      <c r="BA28" s="5">
        <v>5</v>
      </c>
      <c r="BB28" s="5">
        <v>5</v>
      </c>
      <c r="BC28" s="5">
        <v>4</v>
      </c>
      <c r="BD28" s="5">
        <v>5</v>
      </c>
      <c r="BE28" s="5">
        <v>5</v>
      </c>
      <c r="BF28" s="5">
        <v>1</v>
      </c>
      <c r="BG28" s="5">
        <v>5</v>
      </c>
      <c r="BH28" s="5">
        <v>5</v>
      </c>
      <c r="BI28" s="5">
        <v>5</v>
      </c>
      <c r="BJ28" s="5">
        <v>5</v>
      </c>
      <c r="BK28" s="5">
        <v>3</v>
      </c>
      <c r="BL28" s="2" t="s">
        <v>119</v>
      </c>
      <c r="BM28" s="1">
        <v>45574.869947268518</v>
      </c>
    </row>
    <row r="29" spans="1:65" ht="13.5" customHeight="1" x14ac:dyDescent="0.35">
      <c r="A29" t="s">
        <v>625</v>
      </c>
      <c r="B29" s="2" t="s">
        <v>190</v>
      </c>
      <c r="C29" s="2" t="s">
        <v>191</v>
      </c>
      <c r="D29" s="5">
        <v>4</v>
      </c>
      <c r="E29" s="5">
        <v>3</v>
      </c>
      <c r="F29" s="5">
        <v>2</v>
      </c>
      <c r="G29" s="5">
        <v>2</v>
      </c>
      <c r="H29" s="5">
        <v>4</v>
      </c>
      <c r="I29" s="5">
        <v>1</v>
      </c>
      <c r="J29" s="5">
        <v>1</v>
      </c>
      <c r="K29" s="5">
        <v>2</v>
      </c>
      <c r="L29" s="5">
        <v>1</v>
      </c>
      <c r="M29" s="5">
        <v>2</v>
      </c>
      <c r="N29" s="5">
        <v>1</v>
      </c>
      <c r="O29" s="5">
        <v>2</v>
      </c>
      <c r="P29" s="5">
        <v>1</v>
      </c>
      <c r="Q29" s="5">
        <v>5</v>
      </c>
      <c r="R29" s="5">
        <v>5</v>
      </c>
      <c r="S29" s="5">
        <v>3</v>
      </c>
      <c r="T29" s="5">
        <v>2</v>
      </c>
      <c r="U29" s="5">
        <v>1</v>
      </c>
      <c r="V29" s="5">
        <v>4</v>
      </c>
      <c r="W29" s="5">
        <v>3</v>
      </c>
      <c r="X29" s="5">
        <v>4</v>
      </c>
      <c r="Y29" s="5">
        <v>5</v>
      </c>
      <c r="Z29" s="5">
        <v>4</v>
      </c>
      <c r="AA29" s="5">
        <v>3</v>
      </c>
      <c r="AB29" s="5">
        <v>4</v>
      </c>
      <c r="AC29" s="5">
        <v>1</v>
      </c>
      <c r="AD29" s="5">
        <v>2</v>
      </c>
      <c r="AE29" s="5">
        <v>4</v>
      </c>
      <c r="AF29" s="5">
        <v>1</v>
      </c>
      <c r="AG29" s="5">
        <v>3</v>
      </c>
      <c r="AH29" s="5">
        <v>4</v>
      </c>
      <c r="AI29" s="5">
        <v>4</v>
      </c>
      <c r="AJ29" s="5">
        <v>3</v>
      </c>
      <c r="AK29" s="5">
        <v>1</v>
      </c>
      <c r="AL29" s="5">
        <v>3</v>
      </c>
      <c r="AM29" s="5">
        <v>5</v>
      </c>
      <c r="AN29" s="5">
        <v>1</v>
      </c>
      <c r="AO29" s="5">
        <v>3</v>
      </c>
      <c r="AP29" s="5">
        <v>1</v>
      </c>
      <c r="AQ29" s="5">
        <v>2</v>
      </c>
      <c r="AR29" s="5">
        <v>2</v>
      </c>
      <c r="AS29" s="5">
        <v>1</v>
      </c>
      <c r="AT29" s="5">
        <v>3</v>
      </c>
      <c r="AU29" s="5">
        <v>1</v>
      </c>
      <c r="AV29" s="5">
        <v>4</v>
      </c>
      <c r="AW29" s="5">
        <v>3</v>
      </c>
      <c r="AX29" s="5">
        <v>1</v>
      </c>
      <c r="AY29" s="5">
        <v>4</v>
      </c>
      <c r="AZ29" s="5">
        <v>4</v>
      </c>
      <c r="BA29" s="5">
        <v>3</v>
      </c>
      <c r="BB29" s="5">
        <v>2</v>
      </c>
      <c r="BC29" s="5">
        <v>1</v>
      </c>
      <c r="BD29" s="5">
        <v>5</v>
      </c>
      <c r="BE29" s="5">
        <v>1</v>
      </c>
      <c r="BF29" s="5">
        <v>5</v>
      </c>
      <c r="BG29" s="5">
        <v>1</v>
      </c>
      <c r="BH29" s="5">
        <v>4</v>
      </c>
      <c r="BI29" s="5">
        <v>1</v>
      </c>
      <c r="BJ29" s="5">
        <v>2</v>
      </c>
      <c r="BK29" s="5">
        <v>4</v>
      </c>
      <c r="BL29" s="2" t="s">
        <v>192</v>
      </c>
      <c r="BM29" s="1">
        <v>45574.87438671296</v>
      </c>
    </row>
    <row r="30" spans="1:65" ht="13.5" customHeight="1" x14ac:dyDescent="0.35">
      <c r="A30" t="s">
        <v>626</v>
      </c>
      <c r="B30" s="2" t="s">
        <v>41</v>
      </c>
      <c r="C30" s="2" t="s">
        <v>42</v>
      </c>
      <c r="D30" s="5">
        <v>4</v>
      </c>
      <c r="E30" s="5">
        <v>5</v>
      </c>
      <c r="F30" s="5">
        <v>2</v>
      </c>
      <c r="G30" s="5">
        <v>5</v>
      </c>
      <c r="H30" s="5">
        <v>2</v>
      </c>
      <c r="I30" s="5">
        <v>5</v>
      </c>
      <c r="J30" s="5">
        <v>5</v>
      </c>
      <c r="K30" s="5">
        <v>2</v>
      </c>
      <c r="L30" s="5">
        <v>3</v>
      </c>
      <c r="M30" s="5">
        <v>4</v>
      </c>
      <c r="N30" s="5">
        <v>3</v>
      </c>
      <c r="O30" s="5">
        <v>4</v>
      </c>
      <c r="P30" s="5">
        <v>4</v>
      </c>
      <c r="Q30" s="5">
        <v>3</v>
      </c>
      <c r="R30" s="5">
        <v>5</v>
      </c>
      <c r="S30" s="5">
        <v>3</v>
      </c>
      <c r="T30" s="5">
        <v>5</v>
      </c>
      <c r="U30" s="5">
        <v>4</v>
      </c>
      <c r="V30" s="5">
        <v>2</v>
      </c>
      <c r="W30" s="5">
        <v>4</v>
      </c>
      <c r="X30" s="5">
        <v>5</v>
      </c>
      <c r="Y30" s="5">
        <v>1</v>
      </c>
      <c r="Z30" s="5">
        <v>3</v>
      </c>
      <c r="AA30" s="5">
        <v>2</v>
      </c>
      <c r="AB30" s="5">
        <v>3</v>
      </c>
      <c r="AC30" s="5">
        <v>2</v>
      </c>
      <c r="AD30" s="5">
        <v>5</v>
      </c>
      <c r="AE30" s="5">
        <v>3</v>
      </c>
      <c r="AF30" s="5">
        <v>3</v>
      </c>
      <c r="AG30" s="5">
        <v>5</v>
      </c>
      <c r="AH30" s="5">
        <v>2</v>
      </c>
      <c r="AI30" s="5">
        <v>3</v>
      </c>
      <c r="AJ30" s="5">
        <v>4</v>
      </c>
      <c r="AK30" s="5">
        <v>2</v>
      </c>
      <c r="AL30" s="5">
        <v>5</v>
      </c>
      <c r="AM30" s="5">
        <v>2</v>
      </c>
      <c r="AN30" s="5">
        <v>5</v>
      </c>
      <c r="AO30" s="5">
        <v>5</v>
      </c>
      <c r="AP30" s="5">
        <v>5</v>
      </c>
      <c r="AQ30" s="5">
        <v>4</v>
      </c>
      <c r="AR30" s="5">
        <v>5</v>
      </c>
      <c r="AS30" s="5">
        <v>5</v>
      </c>
      <c r="AT30" s="5">
        <v>3</v>
      </c>
      <c r="AU30" s="5">
        <v>5</v>
      </c>
      <c r="AV30" s="5">
        <v>5</v>
      </c>
      <c r="AW30" s="5">
        <v>5</v>
      </c>
      <c r="AX30" s="5">
        <v>5</v>
      </c>
      <c r="AY30" s="5">
        <v>5</v>
      </c>
      <c r="AZ30" s="5">
        <v>4</v>
      </c>
      <c r="BA30" s="5">
        <v>5</v>
      </c>
      <c r="BB30" s="5">
        <v>5</v>
      </c>
      <c r="BC30" s="5">
        <v>4</v>
      </c>
      <c r="BD30" s="5">
        <v>5</v>
      </c>
      <c r="BE30" s="5">
        <v>3</v>
      </c>
      <c r="BF30" s="5">
        <v>3</v>
      </c>
      <c r="BG30" s="5">
        <v>5</v>
      </c>
      <c r="BH30" s="5">
        <v>5</v>
      </c>
      <c r="BI30" s="5">
        <v>4</v>
      </c>
      <c r="BJ30" s="5">
        <v>5</v>
      </c>
      <c r="BK30" s="5">
        <v>3</v>
      </c>
      <c r="BL30" s="2" t="s">
        <v>43</v>
      </c>
      <c r="BM30" s="1">
        <v>45574.866980127314</v>
      </c>
    </row>
    <row r="31" spans="1:65" ht="13.5" customHeight="1" x14ac:dyDescent="0.35">
      <c r="A31" t="s">
        <v>627</v>
      </c>
      <c r="B31" s="2" t="s">
        <v>134</v>
      </c>
      <c r="C31" s="2" t="s">
        <v>135</v>
      </c>
      <c r="D31" s="5">
        <v>5</v>
      </c>
      <c r="E31" s="5">
        <v>5</v>
      </c>
      <c r="F31" s="5">
        <v>2</v>
      </c>
      <c r="G31" s="5">
        <v>5</v>
      </c>
      <c r="H31" s="5">
        <v>4</v>
      </c>
      <c r="I31" s="5">
        <v>5</v>
      </c>
      <c r="J31" s="5">
        <v>5</v>
      </c>
      <c r="K31" s="5">
        <v>2</v>
      </c>
      <c r="L31" s="5">
        <v>4</v>
      </c>
      <c r="M31" s="5">
        <v>5</v>
      </c>
      <c r="N31" s="5">
        <v>4</v>
      </c>
      <c r="O31" s="5">
        <v>5</v>
      </c>
      <c r="P31" s="5">
        <v>5</v>
      </c>
      <c r="Q31" s="5">
        <v>2</v>
      </c>
      <c r="R31" s="5">
        <v>5</v>
      </c>
      <c r="S31" s="5">
        <v>1</v>
      </c>
      <c r="T31" s="5">
        <v>5</v>
      </c>
      <c r="U31" s="5">
        <v>5</v>
      </c>
      <c r="V31" s="5">
        <v>1</v>
      </c>
      <c r="W31" s="5">
        <v>3</v>
      </c>
      <c r="X31" s="5">
        <v>5</v>
      </c>
      <c r="Y31" s="5">
        <v>1</v>
      </c>
      <c r="Z31" s="5">
        <v>4</v>
      </c>
      <c r="AA31" s="5">
        <v>1</v>
      </c>
      <c r="AB31" s="5">
        <v>2</v>
      </c>
      <c r="AC31" s="5">
        <v>3</v>
      </c>
      <c r="AD31" s="5">
        <v>4</v>
      </c>
      <c r="AE31" s="5">
        <v>3</v>
      </c>
      <c r="AF31" s="5">
        <v>4</v>
      </c>
      <c r="AG31" s="5">
        <v>5</v>
      </c>
      <c r="AH31" s="5">
        <v>2</v>
      </c>
      <c r="AI31" s="5">
        <v>4</v>
      </c>
      <c r="AJ31" s="5">
        <v>4</v>
      </c>
      <c r="AK31" s="5">
        <v>5</v>
      </c>
      <c r="AL31" s="5">
        <v>4</v>
      </c>
      <c r="AM31" s="5">
        <v>2</v>
      </c>
      <c r="AN31" s="5">
        <v>4</v>
      </c>
      <c r="AO31" s="5">
        <v>3</v>
      </c>
      <c r="AP31" s="5">
        <v>5</v>
      </c>
      <c r="AQ31" s="5">
        <v>4</v>
      </c>
      <c r="AR31" s="5">
        <v>2</v>
      </c>
      <c r="AS31" s="5">
        <v>5</v>
      </c>
      <c r="AT31" s="5">
        <v>4</v>
      </c>
      <c r="AU31" s="5">
        <v>5</v>
      </c>
      <c r="AV31" s="5">
        <v>3</v>
      </c>
      <c r="AW31" s="5">
        <v>2</v>
      </c>
      <c r="AX31" s="5">
        <v>5</v>
      </c>
      <c r="AY31" s="5">
        <v>5</v>
      </c>
      <c r="AZ31" s="5">
        <v>4</v>
      </c>
      <c r="BA31" s="5">
        <v>5</v>
      </c>
      <c r="BB31" s="5">
        <v>5</v>
      </c>
      <c r="BC31" s="5">
        <v>3</v>
      </c>
      <c r="BD31" s="5">
        <v>5</v>
      </c>
      <c r="BE31" s="5">
        <v>5</v>
      </c>
      <c r="BF31" s="5">
        <v>4</v>
      </c>
      <c r="BG31" s="5">
        <v>4</v>
      </c>
      <c r="BH31" s="5">
        <v>5</v>
      </c>
      <c r="BI31" s="5">
        <v>5</v>
      </c>
      <c r="BJ31" s="5">
        <v>5</v>
      </c>
      <c r="BK31" s="5">
        <v>4</v>
      </c>
      <c r="BL31" s="2" t="s">
        <v>136</v>
      </c>
      <c r="BM31" s="1">
        <v>45574.870154189812</v>
      </c>
    </row>
    <row r="32" spans="1:65" ht="13.5" customHeight="1" x14ac:dyDescent="0.35">
      <c r="A32" t="s">
        <v>628</v>
      </c>
      <c r="B32" s="2" t="s">
        <v>160</v>
      </c>
      <c r="C32" s="2" t="s">
        <v>161</v>
      </c>
      <c r="D32" s="5">
        <v>4</v>
      </c>
      <c r="E32" s="5">
        <v>4</v>
      </c>
      <c r="F32" s="5">
        <v>2</v>
      </c>
      <c r="G32" s="5">
        <v>3</v>
      </c>
      <c r="H32" s="5">
        <v>3</v>
      </c>
      <c r="I32" s="5">
        <v>3</v>
      </c>
      <c r="J32" s="5">
        <v>2</v>
      </c>
      <c r="K32" s="5">
        <v>1</v>
      </c>
      <c r="L32" s="5">
        <v>2</v>
      </c>
      <c r="M32" s="5">
        <v>4</v>
      </c>
      <c r="N32" s="5">
        <v>2</v>
      </c>
      <c r="O32" s="5">
        <v>3</v>
      </c>
      <c r="P32" s="5">
        <v>2</v>
      </c>
      <c r="Q32" s="5">
        <v>3</v>
      </c>
      <c r="R32" s="5">
        <v>5</v>
      </c>
      <c r="S32" s="5">
        <v>3</v>
      </c>
      <c r="T32" s="5">
        <v>4</v>
      </c>
      <c r="U32" s="5">
        <v>3</v>
      </c>
      <c r="V32" s="5">
        <v>2</v>
      </c>
      <c r="W32" s="5">
        <v>4</v>
      </c>
      <c r="X32" s="5">
        <v>5</v>
      </c>
      <c r="Y32" s="5">
        <v>3</v>
      </c>
      <c r="Z32" s="5">
        <v>3</v>
      </c>
      <c r="AA32" s="5">
        <v>2</v>
      </c>
      <c r="AB32" s="5">
        <v>3</v>
      </c>
      <c r="AC32" s="5">
        <v>3</v>
      </c>
      <c r="AD32" s="5">
        <v>5</v>
      </c>
      <c r="AE32" s="5">
        <v>3</v>
      </c>
      <c r="AF32" s="5">
        <v>3</v>
      </c>
      <c r="AG32" s="5">
        <v>4</v>
      </c>
      <c r="AH32" s="5">
        <v>1</v>
      </c>
      <c r="AI32" s="5">
        <v>4</v>
      </c>
      <c r="AJ32" s="5">
        <v>4</v>
      </c>
      <c r="AK32" s="5">
        <v>2</v>
      </c>
      <c r="AL32" s="5">
        <v>4</v>
      </c>
      <c r="AM32" s="5">
        <v>2</v>
      </c>
      <c r="AN32" s="5">
        <v>3</v>
      </c>
      <c r="AO32" s="5">
        <v>4</v>
      </c>
      <c r="AP32" s="5">
        <v>4</v>
      </c>
      <c r="AQ32" s="5">
        <v>3</v>
      </c>
      <c r="AR32" s="5">
        <v>1</v>
      </c>
      <c r="AS32" s="5">
        <v>3</v>
      </c>
      <c r="AT32" s="5">
        <v>3</v>
      </c>
      <c r="AU32" s="5">
        <v>2</v>
      </c>
      <c r="AV32" s="5">
        <v>3</v>
      </c>
      <c r="AW32" s="5">
        <v>2</v>
      </c>
      <c r="AX32" s="5">
        <v>3</v>
      </c>
      <c r="AY32" s="5">
        <v>4</v>
      </c>
      <c r="AZ32" s="5">
        <v>3</v>
      </c>
      <c r="BA32" s="5">
        <v>4</v>
      </c>
      <c r="BB32" s="5">
        <v>4</v>
      </c>
      <c r="BC32" s="5">
        <v>3</v>
      </c>
      <c r="BD32" s="5">
        <v>3</v>
      </c>
      <c r="BE32" s="5">
        <v>2</v>
      </c>
      <c r="BF32" s="5">
        <v>3</v>
      </c>
      <c r="BG32" s="5">
        <v>4</v>
      </c>
      <c r="BH32" s="5">
        <v>4</v>
      </c>
      <c r="BI32" s="5">
        <v>3</v>
      </c>
      <c r="BJ32" s="5">
        <v>4</v>
      </c>
      <c r="BK32" s="5">
        <v>3</v>
      </c>
      <c r="BL32" s="2" t="s">
        <v>162</v>
      </c>
      <c r="BM32" s="1">
        <v>45574.872961006942</v>
      </c>
    </row>
    <row r="33" spans="1:65" ht="13.5" customHeight="1" x14ac:dyDescent="0.35">
      <c r="A33" t="s">
        <v>629</v>
      </c>
      <c r="B33" s="2" t="s">
        <v>144</v>
      </c>
      <c r="C33" s="2" t="s">
        <v>145</v>
      </c>
      <c r="D33" s="5">
        <v>3</v>
      </c>
      <c r="E33" s="5">
        <v>5</v>
      </c>
      <c r="F33" s="5">
        <v>3</v>
      </c>
      <c r="G33" s="5">
        <v>3</v>
      </c>
      <c r="H33" s="5">
        <v>2</v>
      </c>
      <c r="I33" s="5">
        <v>5</v>
      </c>
      <c r="J33" s="5">
        <v>3</v>
      </c>
      <c r="K33" s="5">
        <v>2</v>
      </c>
      <c r="L33" s="5">
        <v>2</v>
      </c>
      <c r="M33" s="5">
        <v>4</v>
      </c>
      <c r="N33" s="5">
        <v>2</v>
      </c>
      <c r="O33" s="5">
        <v>3</v>
      </c>
      <c r="P33" s="5">
        <v>3</v>
      </c>
      <c r="Q33" s="5">
        <v>5</v>
      </c>
      <c r="R33" s="5">
        <v>5</v>
      </c>
      <c r="S33" s="5">
        <v>5</v>
      </c>
      <c r="T33" s="5">
        <v>3</v>
      </c>
      <c r="U33" s="5">
        <v>3</v>
      </c>
      <c r="V33" s="5">
        <v>5</v>
      </c>
      <c r="W33" s="5">
        <v>1</v>
      </c>
      <c r="X33" s="5">
        <v>5</v>
      </c>
      <c r="Y33" s="5">
        <v>4</v>
      </c>
      <c r="Z33" s="5">
        <v>4</v>
      </c>
      <c r="AA33" s="5">
        <v>3</v>
      </c>
      <c r="AB33" s="5">
        <v>4</v>
      </c>
      <c r="AC33" s="5">
        <v>4</v>
      </c>
      <c r="AD33" s="5">
        <v>4</v>
      </c>
      <c r="AE33" s="5">
        <v>2</v>
      </c>
      <c r="AF33" s="5">
        <v>4</v>
      </c>
      <c r="AG33" s="5">
        <v>3</v>
      </c>
      <c r="AH33" s="5">
        <v>2</v>
      </c>
      <c r="AI33" s="5">
        <v>3</v>
      </c>
      <c r="AJ33" s="5">
        <v>1</v>
      </c>
      <c r="AK33" s="5">
        <v>4</v>
      </c>
      <c r="AL33" s="5">
        <v>3</v>
      </c>
      <c r="AM33" s="5">
        <v>3</v>
      </c>
      <c r="AN33" s="5">
        <v>5</v>
      </c>
      <c r="AO33" s="5">
        <v>2</v>
      </c>
      <c r="AP33" s="5">
        <v>3</v>
      </c>
      <c r="AQ33" s="5">
        <v>4</v>
      </c>
      <c r="AR33" s="5">
        <v>2</v>
      </c>
      <c r="AS33" s="5">
        <v>5</v>
      </c>
      <c r="AT33" s="5">
        <v>2</v>
      </c>
      <c r="AU33" s="5">
        <v>4</v>
      </c>
      <c r="AV33" s="5">
        <v>3</v>
      </c>
      <c r="AW33" s="5">
        <v>4</v>
      </c>
      <c r="AX33" s="5">
        <v>4</v>
      </c>
      <c r="AY33" s="5">
        <v>5</v>
      </c>
      <c r="AZ33" s="5">
        <v>2</v>
      </c>
      <c r="BA33" s="5">
        <v>4</v>
      </c>
      <c r="BB33" s="5">
        <v>3</v>
      </c>
      <c r="BC33" s="5">
        <v>3</v>
      </c>
      <c r="BD33" s="5">
        <v>4</v>
      </c>
      <c r="BE33" s="5">
        <v>1</v>
      </c>
      <c r="BF33" s="5">
        <v>3</v>
      </c>
      <c r="BG33" s="5">
        <v>4</v>
      </c>
      <c r="BH33" s="5">
        <v>4</v>
      </c>
      <c r="BI33" s="5">
        <v>5</v>
      </c>
      <c r="BJ33" s="5">
        <v>4</v>
      </c>
      <c r="BK33" s="5">
        <v>4</v>
      </c>
      <c r="BL33" s="2" t="s">
        <v>146</v>
      </c>
      <c r="BM33" s="1">
        <v>45574.871646041669</v>
      </c>
    </row>
    <row r="34" spans="1:65" ht="13.5" customHeight="1" x14ac:dyDescent="0.35">
      <c r="A34" t="s">
        <v>630</v>
      </c>
      <c r="B34" s="2" t="s">
        <v>196</v>
      </c>
      <c r="C34" s="2" t="s">
        <v>197</v>
      </c>
      <c r="D34" s="5">
        <v>4</v>
      </c>
      <c r="E34" s="5">
        <v>4</v>
      </c>
      <c r="F34" s="5">
        <v>3</v>
      </c>
      <c r="G34" s="5">
        <v>4</v>
      </c>
      <c r="H34" s="5">
        <v>2</v>
      </c>
      <c r="I34" s="5">
        <v>5</v>
      </c>
      <c r="J34" s="5">
        <v>5</v>
      </c>
      <c r="K34" s="5">
        <v>1</v>
      </c>
      <c r="L34" s="5">
        <v>2</v>
      </c>
      <c r="M34" s="5">
        <v>5</v>
      </c>
      <c r="N34" s="5">
        <v>2</v>
      </c>
      <c r="O34" s="5">
        <v>3</v>
      </c>
      <c r="P34" s="5">
        <v>3</v>
      </c>
      <c r="Q34" s="5">
        <v>3</v>
      </c>
      <c r="R34" s="5">
        <v>5</v>
      </c>
      <c r="S34" s="5">
        <v>3</v>
      </c>
      <c r="T34" s="5">
        <v>4</v>
      </c>
      <c r="U34" s="5">
        <v>3</v>
      </c>
      <c r="V34" s="5">
        <v>3</v>
      </c>
      <c r="W34" s="5">
        <v>5</v>
      </c>
      <c r="X34" s="5">
        <v>5</v>
      </c>
      <c r="Y34" s="5">
        <v>2</v>
      </c>
      <c r="Z34" s="5">
        <v>3</v>
      </c>
      <c r="AA34" s="5">
        <v>1</v>
      </c>
      <c r="AB34" s="5">
        <v>2</v>
      </c>
      <c r="AC34" s="5">
        <v>3</v>
      </c>
      <c r="AD34" s="5">
        <v>3</v>
      </c>
      <c r="AE34" s="5">
        <v>2</v>
      </c>
      <c r="AF34" s="5">
        <v>3</v>
      </c>
      <c r="AG34" s="5">
        <v>4</v>
      </c>
      <c r="AH34" s="5">
        <v>2</v>
      </c>
      <c r="AI34" s="5">
        <v>5</v>
      </c>
      <c r="AJ34" s="5">
        <v>3</v>
      </c>
      <c r="AK34" s="5">
        <v>3</v>
      </c>
      <c r="AL34" s="5">
        <v>4</v>
      </c>
      <c r="AM34" s="5">
        <v>2</v>
      </c>
      <c r="AN34" s="5">
        <v>4</v>
      </c>
      <c r="AO34" s="5">
        <v>3</v>
      </c>
      <c r="AP34" s="5">
        <v>3</v>
      </c>
      <c r="AQ34" s="5">
        <v>4</v>
      </c>
      <c r="AR34" s="5">
        <v>1</v>
      </c>
      <c r="AS34" s="5">
        <v>5</v>
      </c>
      <c r="AT34" s="5">
        <v>3</v>
      </c>
      <c r="AU34" s="5">
        <v>3</v>
      </c>
      <c r="AV34" s="5">
        <v>3</v>
      </c>
      <c r="AW34" s="5">
        <v>1</v>
      </c>
      <c r="AX34" s="5">
        <v>3</v>
      </c>
      <c r="AY34" s="5">
        <v>3</v>
      </c>
      <c r="AZ34" s="5">
        <v>3</v>
      </c>
      <c r="BA34" s="5">
        <v>4</v>
      </c>
      <c r="BB34" s="5">
        <v>4</v>
      </c>
      <c r="BC34" s="5">
        <v>2</v>
      </c>
      <c r="BD34" s="5">
        <v>4</v>
      </c>
      <c r="BE34" s="5">
        <v>3</v>
      </c>
      <c r="BF34" s="5">
        <v>4</v>
      </c>
      <c r="BG34" s="5">
        <v>4</v>
      </c>
      <c r="BH34" s="5">
        <v>4</v>
      </c>
      <c r="BI34" s="5">
        <v>3</v>
      </c>
      <c r="BJ34" s="5">
        <v>4</v>
      </c>
      <c r="BK34" s="5">
        <v>4</v>
      </c>
      <c r="BL34" s="2" t="s">
        <v>198</v>
      </c>
      <c r="BM34" s="1">
        <v>45574.875598194441</v>
      </c>
    </row>
    <row r="35" spans="1:65" ht="13.5" customHeight="1" x14ac:dyDescent="0.35">
      <c r="A35" t="s">
        <v>631</v>
      </c>
      <c r="B35" s="2" t="s">
        <v>217</v>
      </c>
      <c r="C35" s="2" t="s">
        <v>218</v>
      </c>
      <c r="D35" s="5">
        <v>5</v>
      </c>
      <c r="E35" s="5">
        <v>4</v>
      </c>
      <c r="F35" s="5">
        <v>5</v>
      </c>
      <c r="G35" s="5">
        <v>5</v>
      </c>
      <c r="H35" s="5">
        <v>5</v>
      </c>
      <c r="I35" s="5">
        <v>4</v>
      </c>
      <c r="J35" s="5">
        <v>4</v>
      </c>
      <c r="K35" s="5">
        <v>3</v>
      </c>
      <c r="L35" s="5">
        <v>3</v>
      </c>
      <c r="M35" s="5">
        <v>4</v>
      </c>
      <c r="N35" s="5">
        <v>4</v>
      </c>
      <c r="O35" s="5">
        <v>4</v>
      </c>
      <c r="P35" s="5">
        <v>3</v>
      </c>
      <c r="Q35" s="5">
        <v>4</v>
      </c>
      <c r="R35" s="5">
        <v>4</v>
      </c>
      <c r="S35" s="5">
        <v>2</v>
      </c>
      <c r="T35" s="5">
        <v>5</v>
      </c>
      <c r="U35" s="5">
        <v>4</v>
      </c>
      <c r="V35" s="5">
        <v>2</v>
      </c>
      <c r="W35" s="5">
        <v>2</v>
      </c>
      <c r="X35" s="5">
        <v>4</v>
      </c>
      <c r="Y35" s="5">
        <v>2</v>
      </c>
      <c r="Z35" s="5">
        <v>2</v>
      </c>
      <c r="AA35" s="5">
        <v>3</v>
      </c>
      <c r="AB35" s="5">
        <v>2</v>
      </c>
      <c r="AC35" s="5">
        <v>4</v>
      </c>
      <c r="AD35" s="5">
        <v>4</v>
      </c>
      <c r="AE35" s="5">
        <v>3</v>
      </c>
      <c r="AF35" s="5">
        <v>2</v>
      </c>
      <c r="AG35" s="5">
        <v>4</v>
      </c>
      <c r="AH35" s="5">
        <v>3</v>
      </c>
      <c r="AI35" s="5">
        <v>4</v>
      </c>
      <c r="AJ35" s="5">
        <v>4</v>
      </c>
      <c r="AK35" s="5">
        <v>2</v>
      </c>
      <c r="AL35" s="5">
        <v>4</v>
      </c>
      <c r="AM35" s="5">
        <v>4</v>
      </c>
      <c r="AN35" s="5">
        <v>4</v>
      </c>
      <c r="AO35" s="5">
        <v>5</v>
      </c>
      <c r="AP35" s="5">
        <v>2</v>
      </c>
      <c r="AQ35" s="5">
        <v>4</v>
      </c>
      <c r="AR35" s="5">
        <v>3</v>
      </c>
      <c r="AS35" s="5">
        <v>4</v>
      </c>
      <c r="AT35" s="5">
        <v>4</v>
      </c>
      <c r="AU35" s="5">
        <v>2</v>
      </c>
      <c r="AV35" s="5">
        <v>4</v>
      </c>
      <c r="AW35" s="5">
        <v>2</v>
      </c>
      <c r="AX35" s="5">
        <v>3</v>
      </c>
      <c r="AY35" s="5">
        <v>4</v>
      </c>
      <c r="AZ35" s="5">
        <v>4</v>
      </c>
      <c r="BA35" s="5">
        <v>5</v>
      </c>
      <c r="BB35" s="5">
        <v>5</v>
      </c>
      <c r="BC35" s="5">
        <v>1</v>
      </c>
      <c r="BD35" s="5">
        <v>5</v>
      </c>
      <c r="BE35" s="5">
        <v>3</v>
      </c>
      <c r="BF35" s="5">
        <v>4</v>
      </c>
      <c r="BG35" s="5">
        <v>4</v>
      </c>
      <c r="BH35" s="5">
        <v>4</v>
      </c>
      <c r="BI35" s="5">
        <v>2</v>
      </c>
      <c r="BJ35" s="5">
        <v>4</v>
      </c>
      <c r="BK35" s="5">
        <v>5</v>
      </c>
      <c r="BL35" s="2" t="s">
        <v>219</v>
      </c>
      <c r="BM35" s="1">
        <v>45574.886264340275</v>
      </c>
    </row>
    <row r="36" spans="1:65" ht="13.5" customHeight="1" x14ac:dyDescent="0.35">
      <c r="A36" t="s">
        <v>632</v>
      </c>
      <c r="B36" s="2" t="s">
        <v>202</v>
      </c>
      <c r="C36" s="2" t="s">
        <v>203</v>
      </c>
      <c r="D36" s="5">
        <v>4</v>
      </c>
      <c r="E36" s="5">
        <v>1</v>
      </c>
      <c r="F36" s="5">
        <v>3</v>
      </c>
      <c r="G36" s="5">
        <v>4</v>
      </c>
      <c r="H36" s="5">
        <v>3</v>
      </c>
      <c r="I36" s="5">
        <v>2</v>
      </c>
      <c r="J36" s="5">
        <v>2</v>
      </c>
      <c r="K36" s="5">
        <v>4</v>
      </c>
      <c r="L36" s="5">
        <v>2</v>
      </c>
      <c r="M36" s="5">
        <v>4</v>
      </c>
      <c r="N36" s="5">
        <v>3</v>
      </c>
      <c r="O36" s="5">
        <v>2</v>
      </c>
      <c r="P36" s="5">
        <v>4</v>
      </c>
      <c r="Q36" s="5">
        <v>4</v>
      </c>
      <c r="R36" s="5">
        <v>3</v>
      </c>
      <c r="S36" s="5">
        <v>5</v>
      </c>
      <c r="T36" s="5">
        <v>4</v>
      </c>
      <c r="U36" s="5">
        <v>1</v>
      </c>
      <c r="V36" s="5">
        <v>4</v>
      </c>
      <c r="W36" s="5">
        <v>2</v>
      </c>
      <c r="X36" s="5">
        <v>4</v>
      </c>
      <c r="Y36" s="5">
        <v>2</v>
      </c>
      <c r="Z36" s="5">
        <v>4</v>
      </c>
      <c r="AA36" s="5">
        <v>3</v>
      </c>
      <c r="AB36" s="5">
        <v>3</v>
      </c>
      <c r="AC36" s="5">
        <v>5</v>
      </c>
      <c r="AD36" s="5">
        <v>2</v>
      </c>
      <c r="AE36" s="5">
        <v>2</v>
      </c>
      <c r="AF36" s="5">
        <v>1</v>
      </c>
      <c r="AG36" s="5">
        <v>4</v>
      </c>
      <c r="AH36" s="5">
        <v>2</v>
      </c>
      <c r="AI36" s="5">
        <v>5</v>
      </c>
      <c r="AJ36" s="5">
        <v>3</v>
      </c>
      <c r="AK36" s="5">
        <v>2</v>
      </c>
      <c r="AL36" s="5">
        <v>3</v>
      </c>
      <c r="AM36" s="5">
        <v>4</v>
      </c>
      <c r="AN36" s="5">
        <v>3</v>
      </c>
      <c r="AO36" s="5">
        <v>3</v>
      </c>
      <c r="AP36" s="5">
        <v>3</v>
      </c>
      <c r="AQ36" s="5">
        <v>2</v>
      </c>
      <c r="AR36" s="5">
        <v>3</v>
      </c>
      <c r="AS36" s="5">
        <v>3</v>
      </c>
      <c r="AT36" s="5">
        <v>2</v>
      </c>
      <c r="AU36" s="5">
        <v>2</v>
      </c>
      <c r="AV36" s="5">
        <v>3</v>
      </c>
      <c r="AW36" s="5">
        <v>3</v>
      </c>
      <c r="AX36" s="5">
        <v>4</v>
      </c>
      <c r="AY36" s="5">
        <v>4</v>
      </c>
      <c r="AZ36" s="5">
        <v>4</v>
      </c>
      <c r="BA36" s="5">
        <v>4</v>
      </c>
      <c r="BB36" s="5">
        <v>3</v>
      </c>
      <c r="BC36" s="5">
        <v>1</v>
      </c>
      <c r="BD36" s="5">
        <v>3</v>
      </c>
      <c r="BE36" s="5">
        <v>2</v>
      </c>
      <c r="BF36" s="5">
        <v>4</v>
      </c>
      <c r="BG36" s="5">
        <v>4</v>
      </c>
      <c r="BH36" s="5">
        <v>3</v>
      </c>
      <c r="BI36" s="5">
        <v>2</v>
      </c>
      <c r="BJ36" s="5">
        <v>1</v>
      </c>
      <c r="BK36" s="5">
        <v>4</v>
      </c>
      <c r="BL36" s="2" t="s">
        <v>204</v>
      </c>
      <c r="BM36" s="1">
        <v>45574.87575634259</v>
      </c>
    </row>
    <row r="37" spans="1:65" ht="13.5" customHeight="1" x14ac:dyDescent="0.35">
      <c r="A37" t="s">
        <v>633</v>
      </c>
      <c r="B37" s="2" t="s">
        <v>222</v>
      </c>
      <c r="C37" s="2" t="s">
        <v>223</v>
      </c>
      <c r="D37" s="5">
        <v>4</v>
      </c>
      <c r="E37" s="5">
        <v>3</v>
      </c>
      <c r="F37" s="5">
        <v>2</v>
      </c>
      <c r="G37" s="5">
        <v>4</v>
      </c>
      <c r="H37" s="5">
        <v>4</v>
      </c>
      <c r="I37" s="5">
        <v>3</v>
      </c>
      <c r="J37" s="5">
        <v>3</v>
      </c>
      <c r="K37" s="5">
        <v>3</v>
      </c>
      <c r="L37" s="5">
        <v>3</v>
      </c>
      <c r="M37" s="5">
        <v>4</v>
      </c>
      <c r="N37" s="5">
        <v>2</v>
      </c>
      <c r="O37" s="5">
        <v>4</v>
      </c>
      <c r="P37" s="5">
        <v>3</v>
      </c>
      <c r="Q37" s="5">
        <v>2</v>
      </c>
      <c r="R37" s="5">
        <v>5</v>
      </c>
      <c r="S37" s="5">
        <v>4</v>
      </c>
      <c r="T37" s="5">
        <v>3</v>
      </c>
      <c r="U37" s="5">
        <v>3</v>
      </c>
      <c r="V37" s="5">
        <v>4</v>
      </c>
      <c r="W37" s="5">
        <v>2</v>
      </c>
      <c r="X37" s="5">
        <v>3</v>
      </c>
      <c r="Y37" s="5">
        <v>2</v>
      </c>
      <c r="Z37" s="5">
        <v>2</v>
      </c>
      <c r="AA37" s="5">
        <v>3</v>
      </c>
      <c r="AB37" s="5">
        <v>2</v>
      </c>
      <c r="AC37" s="5">
        <v>3</v>
      </c>
      <c r="AD37" s="5">
        <v>3</v>
      </c>
      <c r="AE37" s="5">
        <v>3</v>
      </c>
      <c r="AF37" s="5">
        <v>2</v>
      </c>
      <c r="AG37" s="5">
        <v>4</v>
      </c>
      <c r="AH37" s="5">
        <v>2</v>
      </c>
      <c r="AI37" s="5">
        <v>3</v>
      </c>
      <c r="AJ37" s="5">
        <v>2</v>
      </c>
      <c r="AK37" s="5">
        <v>4</v>
      </c>
      <c r="AL37" s="5">
        <v>4</v>
      </c>
      <c r="AM37" s="5">
        <v>4</v>
      </c>
      <c r="AN37" s="5">
        <v>3</v>
      </c>
      <c r="AO37" s="5">
        <v>4</v>
      </c>
      <c r="AP37" s="5">
        <v>4</v>
      </c>
      <c r="AQ37" s="5">
        <v>4</v>
      </c>
      <c r="AR37" s="5">
        <v>2</v>
      </c>
      <c r="AS37" s="5">
        <v>3</v>
      </c>
      <c r="AT37" s="5">
        <v>3</v>
      </c>
      <c r="AU37" s="5">
        <v>3</v>
      </c>
      <c r="AV37" s="5">
        <v>4</v>
      </c>
      <c r="AW37" s="5">
        <v>2</v>
      </c>
      <c r="AX37" s="5">
        <v>3</v>
      </c>
      <c r="AY37" s="5">
        <v>2</v>
      </c>
      <c r="AZ37" s="5">
        <v>2</v>
      </c>
      <c r="BA37" s="5">
        <v>4</v>
      </c>
      <c r="BB37" s="5">
        <v>4</v>
      </c>
      <c r="BC37" s="5">
        <v>2</v>
      </c>
      <c r="BD37" s="5">
        <v>4</v>
      </c>
      <c r="BE37" s="5">
        <v>4</v>
      </c>
      <c r="BF37" s="5">
        <v>4</v>
      </c>
      <c r="BG37" s="5">
        <v>3</v>
      </c>
      <c r="BH37" s="5">
        <v>4</v>
      </c>
      <c r="BI37" s="5">
        <v>3</v>
      </c>
      <c r="BJ37" s="5">
        <v>4</v>
      </c>
      <c r="BK37" s="5">
        <v>4</v>
      </c>
      <c r="BL37" s="2" t="s">
        <v>224</v>
      </c>
      <c r="BM37" s="1">
        <v>45574.893266250001</v>
      </c>
    </row>
    <row r="38" spans="1:65" ht="13.5" customHeight="1" x14ac:dyDescent="0.35">
      <c r="A38" t="s">
        <v>634</v>
      </c>
      <c r="B38" s="2" t="s">
        <v>227</v>
      </c>
      <c r="C38" s="2" t="s">
        <v>228</v>
      </c>
      <c r="D38" s="5">
        <v>5</v>
      </c>
      <c r="E38" s="5">
        <v>4</v>
      </c>
      <c r="F38" s="5">
        <v>1</v>
      </c>
      <c r="G38" s="5">
        <v>3</v>
      </c>
      <c r="H38" s="5">
        <v>2</v>
      </c>
      <c r="I38" s="5">
        <v>5</v>
      </c>
      <c r="J38" s="5">
        <v>5</v>
      </c>
      <c r="K38" s="5">
        <v>1</v>
      </c>
      <c r="L38" s="5">
        <v>3</v>
      </c>
      <c r="M38" s="5">
        <v>5</v>
      </c>
      <c r="N38" s="5">
        <v>1</v>
      </c>
      <c r="O38" s="5">
        <v>5</v>
      </c>
      <c r="P38" s="5">
        <v>5</v>
      </c>
      <c r="Q38" s="5">
        <v>1</v>
      </c>
      <c r="R38" s="5">
        <v>5</v>
      </c>
      <c r="S38" s="5">
        <v>1</v>
      </c>
      <c r="T38" s="5">
        <v>2</v>
      </c>
      <c r="U38" s="5">
        <v>3</v>
      </c>
      <c r="V38" s="5">
        <v>1</v>
      </c>
      <c r="W38" s="5">
        <v>5</v>
      </c>
      <c r="X38" s="5">
        <v>5</v>
      </c>
      <c r="Y38" s="5">
        <v>1</v>
      </c>
      <c r="Z38" s="5">
        <v>4</v>
      </c>
      <c r="AA38" s="5">
        <v>1</v>
      </c>
      <c r="AB38" s="5">
        <v>1</v>
      </c>
      <c r="AC38" s="5">
        <v>5</v>
      </c>
      <c r="AD38" s="5">
        <v>5</v>
      </c>
      <c r="AE38" s="5">
        <v>3</v>
      </c>
      <c r="AF38" s="5">
        <v>5</v>
      </c>
      <c r="AG38" s="5">
        <v>1</v>
      </c>
      <c r="AH38" s="5">
        <v>1</v>
      </c>
      <c r="AI38" s="5">
        <v>5</v>
      </c>
      <c r="AJ38" s="5">
        <v>2</v>
      </c>
      <c r="AK38" s="5">
        <v>3</v>
      </c>
      <c r="AL38" s="5">
        <v>4</v>
      </c>
      <c r="AM38" s="5">
        <v>1</v>
      </c>
      <c r="AN38" s="5">
        <v>5</v>
      </c>
      <c r="AO38" s="5">
        <v>2</v>
      </c>
      <c r="AP38" s="5">
        <v>4</v>
      </c>
      <c r="AQ38" s="5">
        <v>4</v>
      </c>
      <c r="AR38" s="5">
        <v>1</v>
      </c>
      <c r="AS38" s="5">
        <v>5</v>
      </c>
      <c r="AT38" s="5">
        <v>3</v>
      </c>
      <c r="AU38" s="5">
        <v>2</v>
      </c>
      <c r="AV38" s="5">
        <v>5</v>
      </c>
      <c r="AW38" s="5">
        <v>1</v>
      </c>
      <c r="AX38" s="5">
        <v>5</v>
      </c>
      <c r="AY38" s="5">
        <v>2</v>
      </c>
      <c r="AZ38" s="5">
        <v>3</v>
      </c>
      <c r="BA38" s="5">
        <v>5</v>
      </c>
      <c r="BB38" s="5">
        <v>5</v>
      </c>
      <c r="BC38" s="5">
        <v>2</v>
      </c>
      <c r="BD38" s="5">
        <v>3</v>
      </c>
      <c r="BE38" s="5">
        <v>5</v>
      </c>
      <c r="BF38" s="5">
        <v>4</v>
      </c>
      <c r="BG38" s="5">
        <v>5</v>
      </c>
      <c r="BH38" s="5">
        <v>5</v>
      </c>
      <c r="BI38" s="5">
        <v>2</v>
      </c>
      <c r="BJ38" s="5">
        <v>5</v>
      </c>
      <c r="BK38" s="5">
        <v>5</v>
      </c>
      <c r="BL38" s="2" t="s">
        <v>229</v>
      </c>
      <c r="BM38" s="1">
        <v>45574.92575667824</v>
      </c>
    </row>
    <row r="39" spans="1:65" ht="13.5" customHeight="1" x14ac:dyDescent="0.35">
      <c r="A39" t="s">
        <v>635</v>
      </c>
      <c r="B39" s="2" t="s">
        <v>234</v>
      </c>
      <c r="C39" s="2" t="s">
        <v>235</v>
      </c>
      <c r="D39" s="5">
        <v>5</v>
      </c>
      <c r="E39" s="5">
        <v>5</v>
      </c>
      <c r="F39" s="5">
        <v>5</v>
      </c>
      <c r="G39" s="5">
        <v>4</v>
      </c>
      <c r="H39" s="5">
        <v>3</v>
      </c>
      <c r="I39" s="5">
        <v>5</v>
      </c>
      <c r="J39" s="5">
        <v>4</v>
      </c>
      <c r="K39" s="5">
        <v>3</v>
      </c>
      <c r="L39" s="5">
        <v>4</v>
      </c>
      <c r="M39" s="5">
        <v>5</v>
      </c>
      <c r="N39" s="5">
        <v>3</v>
      </c>
      <c r="O39" s="5">
        <v>4</v>
      </c>
      <c r="P39" s="5">
        <v>5</v>
      </c>
      <c r="Q39" s="5">
        <v>3</v>
      </c>
      <c r="R39" s="5">
        <v>5</v>
      </c>
      <c r="S39" s="5">
        <v>2</v>
      </c>
      <c r="T39" s="5">
        <v>4</v>
      </c>
      <c r="U39" s="5">
        <v>3</v>
      </c>
      <c r="V39" s="5">
        <v>2</v>
      </c>
      <c r="W39" s="5">
        <v>3</v>
      </c>
      <c r="X39" s="5">
        <v>5</v>
      </c>
      <c r="Y39" s="5">
        <v>2</v>
      </c>
      <c r="Z39" s="5">
        <v>3</v>
      </c>
      <c r="AA39" s="5">
        <v>2</v>
      </c>
      <c r="AB39" s="5">
        <v>3</v>
      </c>
      <c r="AC39" s="5">
        <v>4</v>
      </c>
      <c r="AD39" s="5">
        <v>2</v>
      </c>
      <c r="AE39" s="5">
        <v>4</v>
      </c>
      <c r="AF39" s="5">
        <v>3</v>
      </c>
      <c r="AG39" s="5">
        <v>5</v>
      </c>
      <c r="AH39" s="5">
        <v>3</v>
      </c>
      <c r="AI39" s="5">
        <v>5</v>
      </c>
      <c r="AJ39" s="5">
        <v>3</v>
      </c>
      <c r="AK39" s="5">
        <v>4</v>
      </c>
      <c r="AL39" s="5">
        <v>3</v>
      </c>
      <c r="AM39" s="5">
        <v>3</v>
      </c>
      <c r="AN39" s="5">
        <v>5</v>
      </c>
      <c r="AO39" s="5">
        <v>4</v>
      </c>
      <c r="AP39" s="5">
        <v>4</v>
      </c>
      <c r="AQ39" s="5">
        <v>5</v>
      </c>
      <c r="AR39" s="5">
        <v>2</v>
      </c>
      <c r="AS39" s="5">
        <v>4</v>
      </c>
      <c r="AT39" s="5">
        <v>4</v>
      </c>
      <c r="AU39" s="5">
        <v>4</v>
      </c>
      <c r="AV39" s="5">
        <v>5</v>
      </c>
      <c r="AW39" s="5">
        <v>2</v>
      </c>
      <c r="AX39" s="5">
        <v>4</v>
      </c>
      <c r="AY39" s="5">
        <v>4</v>
      </c>
      <c r="AZ39" s="5">
        <v>2</v>
      </c>
      <c r="BA39" s="5">
        <v>5</v>
      </c>
      <c r="BB39" s="5">
        <v>4</v>
      </c>
      <c r="BC39" s="5">
        <v>3</v>
      </c>
      <c r="BD39" s="5">
        <v>5</v>
      </c>
      <c r="BE39" s="5">
        <v>3</v>
      </c>
      <c r="BF39" s="5">
        <v>3</v>
      </c>
      <c r="BG39" s="5">
        <v>4</v>
      </c>
      <c r="BH39" s="5">
        <v>4</v>
      </c>
      <c r="BI39" s="5">
        <v>4</v>
      </c>
      <c r="BJ39" s="5">
        <v>4</v>
      </c>
      <c r="BK39" s="5">
        <v>4</v>
      </c>
      <c r="BL39" s="2" t="s">
        <v>236</v>
      </c>
      <c r="BM39" s="1">
        <v>45587.788187719911</v>
      </c>
    </row>
    <row r="40" spans="1:65" ht="13.5" customHeight="1" x14ac:dyDescent="0.35">
      <c r="A40" t="s">
        <v>636</v>
      </c>
      <c r="B40" s="2" t="s">
        <v>239</v>
      </c>
      <c r="C40" s="2" t="s">
        <v>240</v>
      </c>
      <c r="D40" s="5">
        <v>4</v>
      </c>
      <c r="E40" s="5">
        <v>5</v>
      </c>
      <c r="F40" s="5">
        <v>1</v>
      </c>
      <c r="G40" s="5">
        <v>4</v>
      </c>
      <c r="H40" s="5">
        <v>3</v>
      </c>
      <c r="I40" s="5">
        <v>5</v>
      </c>
      <c r="J40" s="5">
        <v>3</v>
      </c>
      <c r="K40" s="5">
        <v>2</v>
      </c>
      <c r="L40" s="5">
        <v>3</v>
      </c>
      <c r="M40" s="5">
        <v>5</v>
      </c>
      <c r="N40" s="5">
        <v>2</v>
      </c>
      <c r="O40" s="5">
        <v>4</v>
      </c>
      <c r="P40" s="5">
        <v>4</v>
      </c>
      <c r="Q40" s="5">
        <v>5</v>
      </c>
      <c r="R40" s="5">
        <v>5</v>
      </c>
      <c r="S40" s="5">
        <v>4</v>
      </c>
      <c r="T40" s="5">
        <v>4</v>
      </c>
      <c r="U40" s="5">
        <v>3</v>
      </c>
      <c r="V40" s="5">
        <v>5</v>
      </c>
      <c r="W40" s="5">
        <v>3</v>
      </c>
      <c r="X40" s="5">
        <v>5</v>
      </c>
      <c r="Y40" s="5">
        <v>2</v>
      </c>
      <c r="Z40" s="5">
        <v>1</v>
      </c>
      <c r="AA40" s="5">
        <v>4</v>
      </c>
      <c r="AB40" s="5">
        <v>5</v>
      </c>
      <c r="AC40" s="5">
        <v>5</v>
      </c>
      <c r="AD40" s="5">
        <v>5</v>
      </c>
      <c r="AE40" s="5">
        <v>3</v>
      </c>
      <c r="AF40" s="5">
        <v>3</v>
      </c>
      <c r="AG40" s="5">
        <v>4</v>
      </c>
      <c r="AH40" s="5">
        <v>2</v>
      </c>
      <c r="AI40" s="5">
        <v>5</v>
      </c>
      <c r="AJ40" s="5">
        <v>2</v>
      </c>
      <c r="AK40" s="5">
        <v>3</v>
      </c>
      <c r="AL40" s="5">
        <v>4</v>
      </c>
      <c r="AM40" s="5">
        <v>4</v>
      </c>
      <c r="AN40" s="5">
        <v>5</v>
      </c>
      <c r="AO40" s="5">
        <v>3</v>
      </c>
      <c r="AP40" s="5">
        <v>3</v>
      </c>
      <c r="AQ40" s="5">
        <v>4</v>
      </c>
      <c r="AR40" s="5">
        <v>1</v>
      </c>
      <c r="AS40" s="5">
        <v>5</v>
      </c>
      <c r="AT40" s="5">
        <v>2</v>
      </c>
      <c r="AU40" s="5">
        <v>4</v>
      </c>
      <c r="AV40" s="5">
        <v>3</v>
      </c>
      <c r="AW40" s="5">
        <v>4</v>
      </c>
      <c r="AX40" s="5">
        <v>5</v>
      </c>
      <c r="AY40" s="5">
        <v>5</v>
      </c>
      <c r="AZ40" s="5">
        <v>1</v>
      </c>
      <c r="BA40" s="5">
        <v>5</v>
      </c>
      <c r="BB40" s="5">
        <v>4</v>
      </c>
      <c r="BC40" s="5">
        <v>3</v>
      </c>
      <c r="BD40" s="5">
        <v>4</v>
      </c>
      <c r="BE40" s="5">
        <v>3</v>
      </c>
      <c r="BF40" s="5">
        <v>1</v>
      </c>
      <c r="BG40" s="5">
        <v>5</v>
      </c>
      <c r="BH40" s="5">
        <v>4</v>
      </c>
      <c r="BI40" s="5">
        <v>3</v>
      </c>
      <c r="BJ40" s="5">
        <v>5</v>
      </c>
      <c r="BK40" s="5">
        <v>4</v>
      </c>
      <c r="BL40" s="2" t="s">
        <v>241</v>
      </c>
      <c r="BM40" s="1">
        <v>45587.789338402778</v>
      </c>
    </row>
    <row r="41" spans="1:65" ht="13.5" customHeight="1" x14ac:dyDescent="0.35">
      <c r="A41" t="s">
        <v>637</v>
      </c>
      <c r="B41" s="2" t="s">
        <v>244</v>
      </c>
      <c r="C41" s="2" t="s">
        <v>245</v>
      </c>
      <c r="D41" s="5">
        <v>3</v>
      </c>
      <c r="E41" s="5">
        <v>3</v>
      </c>
      <c r="F41" s="5">
        <v>5</v>
      </c>
      <c r="G41" s="5">
        <v>4</v>
      </c>
      <c r="H41" s="5">
        <v>2</v>
      </c>
      <c r="I41" s="5">
        <v>5</v>
      </c>
      <c r="J41" s="5">
        <v>3</v>
      </c>
      <c r="K41" s="5">
        <v>5</v>
      </c>
      <c r="L41" s="5">
        <v>2</v>
      </c>
      <c r="M41" s="5">
        <v>5</v>
      </c>
      <c r="N41" s="5">
        <v>2</v>
      </c>
      <c r="O41" s="5">
        <v>5</v>
      </c>
      <c r="P41" s="5">
        <v>4</v>
      </c>
      <c r="Q41" s="5">
        <v>5</v>
      </c>
      <c r="R41" s="5">
        <v>5</v>
      </c>
      <c r="S41" s="5">
        <v>5</v>
      </c>
      <c r="T41" s="5">
        <v>4</v>
      </c>
      <c r="U41" s="5">
        <v>1</v>
      </c>
      <c r="V41" s="5">
        <v>5</v>
      </c>
      <c r="W41" s="5">
        <v>1</v>
      </c>
      <c r="X41" s="5">
        <v>5</v>
      </c>
      <c r="Y41" s="5">
        <v>3</v>
      </c>
      <c r="Z41" s="5">
        <v>2</v>
      </c>
      <c r="AA41" s="5">
        <v>5</v>
      </c>
      <c r="AB41" s="5">
        <v>4</v>
      </c>
      <c r="AC41" s="5">
        <v>5</v>
      </c>
      <c r="AD41" s="5">
        <v>5</v>
      </c>
      <c r="AE41" s="5">
        <v>3</v>
      </c>
      <c r="AF41" s="5">
        <v>2</v>
      </c>
      <c r="AG41" s="5">
        <v>5</v>
      </c>
      <c r="AH41" s="5">
        <v>3</v>
      </c>
      <c r="AI41" s="5">
        <v>4</v>
      </c>
      <c r="AJ41" s="5">
        <v>2</v>
      </c>
      <c r="AK41" s="5">
        <v>1</v>
      </c>
      <c r="AL41" s="5">
        <v>2</v>
      </c>
      <c r="AM41" s="5">
        <v>4</v>
      </c>
      <c r="AN41" s="5">
        <v>5</v>
      </c>
      <c r="AO41" s="5">
        <v>3</v>
      </c>
      <c r="AP41" s="5">
        <v>2</v>
      </c>
      <c r="AQ41" s="5">
        <v>5</v>
      </c>
      <c r="AR41" s="5">
        <v>3</v>
      </c>
      <c r="AS41" s="5">
        <v>5</v>
      </c>
      <c r="AT41" s="5">
        <v>3</v>
      </c>
      <c r="AU41" s="5">
        <v>2</v>
      </c>
      <c r="AV41" s="5">
        <v>5</v>
      </c>
      <c r="AW41" s="5">
        <v>1</v>
      </c>
      <c r="AX41" s="5">
        <v>5</v>
      </c>
      <c r="AY41" s="5">
        <v>1</v>
      </c>
      <c r="AZ41" s="5">
        <v>3</v>
      </c>
      <c r="BA41" s="5">
        <v>5</v>
      </c>
      <c r="BB41" s="5">
        <v>3</v>
      </c>
      <c r="BC41" s="5">
        <v>1</v>
      </c>
      <c r="BD41" s="5">
        <v>4</v>
      </c>
      <c r="BE41" s="5">
        <v>3</v>
      </c>
      <c r="BF41" s="5">
        <v>3</v>
      </c>
      <c r="BG41" s="5">
        <v>5</v>
      </c>
      <c r="BH41" s="5">
        <v>4</v>
      </c>
      <c r="BI41" s="5">
        <v>4</v>
      </c>
      <c r="BJ41" s="5">
        <v>5</v>
      </c>
      <c r="BK41" s="5">
        <v>5</v>
      </c>
      <c r="BL41" s="2" t="s">
        <v>246</v>
      </c>
      <c r="BM41" s="1">
        <v>45587.790302430556</v>
      </c>
    </row>
    <row r="42" spans="1:65" ht="13.5" customHeight="1" x14ac:dyDescent="0.35">
      <c r="A42" t="s">
        <v>638</v>
      </c>
      <c r="B42" s="2" t="s">
        <v>249</v>
      </c>
      <c r="C42" s="2" t="s">
        <v>250</v>
      </c>
      <c r="D42" s="5">
        <v>4</v>
      </c>
      <c r="E42" s="5">
        <v>4</v>
      </c>
      <c r="F42" s="5">
        <v>2</v>
      </c>
      <c r="G42" s="5">
        <v>3</v>
      </c>
      <c r="H42" s="5">
        <v>4</v>
      </c>
      <c r="I42" s="5">
        <v>4</v>
      </c>
      <c r="J42" s="5">
        <v>4</v>
      </c>
      <c r="K42" s="5">
        <v>4</v>
      </c>
      <c r="L42" s="5">
        <v>3</v>
      </c>
      <c r="M42" s="5">
        <v>3</v>
      </c>
      <c r="N42" s="5">
        <v>2</v>
      </c>
      <c r="O42" s="5">
        <v>4</v>
      </c>
      <c r="P42" s="5">
        <v>4</v>
      </c>
      <c r="Q42" s="5">
        <v>4</v>
      </c>
      <c r="R42" s="5">
        <v>5</v>
      </c>
      <c r="S42" s="5">
        <v>4</v>
      </c>
      <c r="T42" s="5">
        <v>4</v>
      </c>
      <c r="U42" s="5">
        <v>4</v>
      </c>
      <c r="V42" s="5">
        <v>4</v>
      </c>
      <c r="W42" s="5">
        <v>3</v>
      </c>
      <c r="X42" s="5">
        <v>4</v>
      </c>
      <c r="Y42" s="5">
        <v>4</v>
      </c>
      <c r="Z42" s="5">
        <v>4</v>
      </c>
      <c r="AA42" s="5">
        <v>2</v>
      </c>
      <c r="AB42" s="5">
        <v>4</v>
      </c>
      <c r="AC42" s="5">
        <v>4</v>
      </c>
      <c r="AD42" s="5">
        <v>4</v>
      </c>
      <c r="AE42" s="5">
        <v>4</v>
      </c>
      <c r="AF42" s="5">
        <v>1</v>
      </c>
      <c r="AG42" s="5">
        <v>4</v>
      </c>
      <c r="AH42" s="5">
        <v>4</v>
      </c>
      <c r="AI42" s="5">
        <v>3</v>
      </c>
      <c r="AJ42" s="5">
        <v>2</v>
      </c>
      <c r="AK42" s="5">
        <v>3</v>
      </c>
      <c r="AL42" s="5">
        <v>4</v>
      </c>
      <c r="AM42" s="5">
        <v>3</v>
      </c>
      <c r="AN42" s="5">
        <v>4</v>
      </c>
      <c r="AO42" s="5">
        <v>3</v>
      </c>
      <c r="AP42" s="5">
        <v>4</v>
      </c>
      <c r="AQ42" s="5">
        <v>4</v>
      </c>
      <c r="AR42" s="5">
        <v>4</v>
      </c>
      <c r="AS42" s="5">
        <v>4</v>
      </c>
      <c r="AT42" s="5">
        <v>3</v>
      </c>
      <c r="AU42" s="5">
        <v>4</v>
      </c>
      <c r="AV42" s="5">
        <v>4</v>
      </c>
      <c r="AW42" s="5">
        <v>4</v>
      </c>
      <c r="AX42" s="5">
        <v>4</v>
      </c>
      <c r="AY42" s="5">
        <v>3</v>
      </c>
      <c r="AZ42" s="5">
        <v>4</v>
      </c>
      <c r="BA42" s="5">
        <v>4</v>
      </c>
      <c r="BB42" s="5">
        <v>2</v>
      </c>
      <c r="BC42" s="5">
        <v>2</v>
      </c>
      <c r="BD42" s="5">
        <v>2</v>
      </c>
      <c r="BE42" s="5">
        <v>4</v>
      </c>
      <c r="BF42" s="5">
        <v>4</v>
      </c>
      <c r="BG42" s="5">
        <v>2</v>
      </c>
      <c r="BH42" s="5">
        <v>2</v>
      </c>
      <c r="BI42" s="5">
        <v>2</v>
      </c>
      <c r="BJ42" s="5">
        <v>4</v>
      </c>
      <c r="BK42" s="5">
        <v>4</v>
      </c>
      <c r="BL42" s="2" t="s">
        <v>251</v>
      </c>
      <c r="BM42" s="1">
        <v>45600.787842175923</v>
      </c>
    </row>
    <row r="43" spans="1:65" ht="13.5" customHeight="1" x14ac:dyDescent="0.35">
      <c r="A43" t="s">
        <v>639</v>
      </c>
      <c r="B43" s="2" t="s">
        <v>279</v>
      </c>
      <c r="C43" s="2" t="s">
        <v>280</v>
      </c>
      <c r="D43" s="5">
        <v>5</v>
      </c>
      <c r="E43" s="5">
        <v>4</v>
      </c>
      <c r="F43" s="5">
        <v>3</v>
      </c>
      <c r="G43" s="5">
        <v>4</v>
      </c>
      <c r="H43" s="5">
        <v>5</v>
      </c>
      <c r="I43" s="5">
        <v>5</v>
      </c>
      <c r="J43" s="5">
        <v>5</v>
      </c>
      <c r="K43" s="5">
        <v>2</v>
      </c>
      <c r="L43" s="5">
        <v>2</v>
      </c>
      <c r="M43" s="5">
        <v>5</v>
      </c>
      <c r="N43" s="5">
        <v>4</v>
      </c>
      <c r="O43" s="5">
        <v>4</v>
      </c>
      <c r="P43" s="5">
        <v>4</v>
      </c>
      <c r="Q43" s="5">
        <v>2</v>
      </c>
      <c r="R43" s="5">
        <v>5</v>
      </c>
      <c r="S43" s="5">
        <v>1</v>
      </c>
      <c r="T43" s="5">
        <v>5</v>
      </c>
      <c r="U43" s="5">
        <v>4</v>
      </c>
      <c r="V43" s="5">
        <v>2</v>
      </c>
      <c r="W43" s="5">
        <v>3</v>
      </c>
      <c r="X43" s="5">
        <v>3</v>
      </c>
      <c r="Y43" s="5">
        <v>2</v>
      </c>
      <c r="Z43" s="5">
        <v>4</v>
      </c>
      <c r="AA43" s="5">
        <v>1</v>
      </c>
      <c r="AB43" s="5">
        <v>1</v>
      </c>
      <c r="AC43" s="5">
        <v>2</v>
      </c>
      <c r="AD43" s="5">
        <v>4</v>
      </c>
      <c r="AE43" s="5">
        <v>4</v>
      </c>
      <c r="AF43" s="5">
        <v>3</v>
      </c>
      <c r="AG43" s="5">
        <v>4</v>
      </c>
      <c r="AH43" s="5">
        <v>2</v>
      </c>
      <c r="AI43" s="5">
        <v>4</v>
      </c>
      <c r="AJ43" s="5">
        <v>4</v>
      </c>
      <c r="AK43" s="5">
        <v>4</v>
      </c>
      <c r="AL43" s="5">
        <v>4</v>
      </c>
      <c r="AM43" s="5">
        <v>2</v>
      </c>
      <c r="AN43" s="5">
        <v>4</v>
      </c>
      <c r="AO43" s="5">
        <v>3</v>
      </c>
      <c r="AP43" s="5">
        <v>3</v>
      </c>
      <c r="AQ43" s="5">
        <v>4</v>
      </c>
      <c r="AR43" s="5">
        <v>3</v>
      </c>
      <c r="AS43" s="5">
        <v>4</v>
      </c>
      <c r="AT43" s="5">
        <v>5</v>
      </c>
      <c r="AU43" s="5">
        <v>3</v>
      </c>
      <c r="AV43" s="5">
        <v>4</v>
      </c>
      <c r="AW43" s="5">
        <v>2</v>
      </c>
      <c r="AX43" s="5">
        <v>2</v>
      </c>
      <c r="AY43" s="5">
        <v>1</v>
      </c>
      <c r="AZ43" s="5">
        <v>4</v>
      </c>
      <c r="BA43" s="5">
        <v>3</v>
      </c>
      <c r="BB43" s="5">
        <v>4</v>
      </c>
      <c r="BC43" s="5">
        <v>3</v>
      </c>
      <c r="BD43" s="5">
        <v>2</v>
      </c>
      <c r="BE43" s="5">
        <v>3</v>
      </c>
      <c r="BF43" s="5">
        <v>4</v>
      </c>
      <c r="BG43" s="5">
        <v>3</v>
      </c>
      <c r="BH43" s="5">
        <v>3</v>
      </c>
      <c r="BI43" s="5">
        <v>2</v>
      </c>
      <c r="BJ43" s="5">
        <v>3</v>
      </c>
      <c r="BK43" s="5">
        <v>3</v>
      </c>
      <c r="BL43" s="2" t="s">
        <v>281</v>
      </c>
      <c r="BM43" s="1">
        <v>45600.797050868059</v>
      </c>
    </row>
    <row r="44" spans="1:65" ht="13.5" customHeight="1" x14ac:dyDescent="0.35">
      <c r="A44" t="s">
        <v>640</v>
      </c>
      <c r="B44" s="2" t="s">
        <v>254</v>
      </c>
      <c r="C44" s="2" t="s">
        <v>255</v>
      </c>
      <c r="D44" s="5">
        <v>5</v>
      </c>
      <c r="E44" s="5">
        <v>3</v>
      </c>
      <c r="F44" s="5">
        <v>3</v>
      </c>
      <c r="G44" s="5">
        <v>5</v>
      </c>
      <c r="H44" s="5">
        <v>4</v>
      </c>
      <c r="I44" s="5">
        <v>4</v>
      </c>
      <c r="J44" s="5">
        <v>4</v>
      </c>
      <c r="K44" s="5">
        <v>3</v>
      </c>
      <c r="L44" s="5">
        <v>3</v>
      </c>
      <c r="M44" s="5">
        <v>5</v>
      </c>
      <c r="N44" s="5">
        <v>3</v>
      </c>
      <c r="O44" s="5">
        <v>5</v>
      </c>
      <c r="P44" s="5">
        <v>3</v>
      </c>
      <c r="Q44" s="5">
        <v>4</v>
      </c>
      <c r="R44" s="5">
        <v>4</v>
      </c>
      <c r="S44" s="5">
        <v>3</v>
      </c>
      <c r="T44" s="5">
        <v>4</v>
      </c>
      <c r="U44" s="5">
        <v>2</v>
      </c>
      <c r="V44" s="5">
        <v>3</v>
      </c>
      <c r="W44" s="5">
        <v>3</v>
      </c>
      <c r="X44" s="5">
        <v>3</v>
      </c>
      <c r="Y44" s="5">
        <v>2</v>
      </c>
      <c r="Z44" s="5">
        <v>3</v>
      </c>
      <c r="AA44" s="5">
        <v>3</v>
      </c>
      <c r="AB44" s="5">
        <v>1</v>
      </c>
      <c r="AC44" s="5">
        <v>3</v>
      </c>
      <c r="AD44" s="5">
        <v>5</v>
      </c>
      <c r="AE44" s="5">
        <v>4</v>
      </c>
      <c r="AF44" s="5">
        <v>1</v>
      </c>
      <c r="AG44" s="5">
        <v>5</v>
      </c>
      <c r="AH44" s="5">
        <v>3</v>
      </c>
      <c r="AI44" s="5">
        <v>3</v>
      </c>
      <c r="AJ44" s="5">
        <v>4</v>
      </c>
      <c r="AK44" s="5">
        <v>2</v>
      </c>
      <c r="AL44" s="5">
        <v>4</v>
      </c>
      <c r="AM44" s="5">
        <v>3</v>
      </c>
      <c r="AN44" s="5">
        <v>3</v>
      </c>
      <c r="AO44" s="5">
        <v>4</v>
      </c>
      <c r="AP44" s="5">
        <v>4</v>
      </c>
      <c r="AQ44" s="5">
        <v>4</v>
      </c>
      <c r="AR44" s="5">
        <v>2</v>
      </c>
      <c r="AS44" s="5">
        <v>4</v>
      </c>
      <c r="AT44" s="5">
        <v>3</v>
      </c>
      <c r="AU44" s="5">
        <v>3</v>
      </c>
      <c r="AV44" s="5">
        <v>4</v>
      </c>
      <c r="AW44" s="5">
        <v>3</v>
      </c>
      <c r="AX44" s="5">
        <v>4</v>
      </c>
      <c r="AY44" s="5">
        <v>3</v>
      </c>
      <c r="AZ44" s="5">
        <v>2</v>
      </c>
      <c r="BA44" s="5">
        <v>4</v>
      </c>
      <c r="BB44" s="5">
        <v>2</v>
      </c>
      <c r="BC44" s="5">
        <v>2</v>
      </c>
      <c r="BD44" s="5">
        <v>4</v>
      </c>
      <c r="BE44" s="5">
        <v>3</v>
      </c>
      <c r="BF44" s="5">
        <v>4</v>
      </c>
      <c r="BG44" s="5">
        <v>3</v>
      </c>
      <c r="BH44" s="5">
        <v>3</v>
      </c>
      <c r="BI44" s="5">
        <v>3</v>
      </c>
      <c r="BJ44" s="5">
        <v>4</v>
      </c>
      <c r="BK44" s="5">
        <v>5</v>
      </c>
      <c r="BL44" s="2" t="s">
        <v>256</v>
      </c>
      <c r="BM44" s="1">
        <v>45600.789661423609</v>
      </c>
    </row>
    <row r="45" spans="1:65" ht="13.5" customHeight="1" x14ac:dyDescent="0.35">
      <c r="A45" t="s">
        <v>641</v>
      </c>
      <c r="B45" s="2" t="s">
        <v>264</v>
      </c>
      <c r="C45" s="2" t="s">
        <v>265</v>
      </c>
      <c r="D45" s="5">
        <v>3</v>
      </c>
      <c r="E45" s="5">
        <v>3</v>
      </c>
      <c r="F45" s="5">
        <v>2</v>
      </c>
      <c r="G45" s="5">
        <v>3</v>
      </c>
      <c r="H45" s="5">
        <v>4</v>
      </c>
      <c r="I45" s="5">
        <v>3</v>
      </c>
      <c r="J45" s="5">
        <v>5</v>
      </c>
      <c r="K45" s="5">
        <v>1</v>
      </c>
      <c r="L45" s="5">
        <v>4</v>
      </c>
      <c r="M45" s="5">
        <v>4</v>
      </c>
      <c r="N45" s="5">
        <v>5</v>
      </c>
      <c r="O45" s="5">
        <v>3</v>
      </c>
      <c r="P45" s="5">
        <v>5</v>
      </c>
      <c r="Q45" s="5">
        <v>2</v>
      </c>
      <c r="R45" s="5">
        <v>4</v>
      </c>
      <c r="S45" s="5">
        <v>2</v>
      </c>
      <c r="T45" s="5">
        <v>5</v>
      </c>
      <c r="U45" s="5">
        <v>4</v>
      </c>
      <c r="V45" s="5">
        <v>2</v>
      </c>
      <c r="W45" s="5">
        <v>4</v>
      </c>
      <c r="X45" s="5">
        <v>4</v>
      </c>
      <c r="Y45" s="5">
        <v>1</v>
      </c>
      <c r="Z45" s="5">
        <v>4</v>
      </c>
      <c r="AA45" s="5">
        <v>2</v>
      </c>
      <c r="AB45" s="5">
        <v>2</v>
      </c>
      <c r="AC45" s="5">
        <v>4</v>
      </c>
      <c r="AD45" s="5">
        <v>3</v>
      </c>
      <c r="AE45" s="5">
        <v>4</v>
      </c>
      <c r="AF45" s="5">
        <v>4</v>
      </c>
      <c r="AG45" s="5">
        <v>4</v>
      </c>
      <c r="AH45" s="5">
        <v>2</v>
      </c>
      <c r="AI45" s="5">
        <v>5</v>
      </c>
      <c r="AJ45" s="5">
        <v>4</v>
      </c>
      <c r="AK45" s="5">
        <v>4</v>
      </c>
      <c r="AL45" s="5">
        <v>3</v>
      </c>
      <c r="AM45" s="5">
        <v>2</v>
      </c>
      <c r="AN45" s="5">
        <v>4</v>
      </c>
      <c r="AO45" s="5">
        <v>4</v>
      </c>
      <c r="AP45" s="5">
        <v>4</v>
      </c>
      <c r="AQ45" s="5">
        <v>4</v>
      </c>
      <c r="AR45" s="5">
        <v>2</v>
      </c>
      <c r="AS45" s="5">
        <v>3</v>
      </c>
      <c r="AT45" s="5">
        <v>5</v>
      </c>
      <c r="AU45" s="5">
        <v>4</v>
      </c>
      <c r="AV45" s="5">
        <v>4</v>
      </c>
      <c r="AW45" s="5">
        <v>2</v>
      </c>
      <c r="AX45" s="5">
        <v>4</v>
      </c>
      <c r="AY45" s="5">
        <v>2</v>
      </c>
      <c r="AZ45" s="5">
        <v>4</v>
      </c>
      <c r="BA45" s="5">
        <v>3</v>
      </c>
      <c r="BB45" s="5">
        <v>4</v>
      </c>
      <c r="BC45" s="5">
        <v>4</v>
      </c>
      <c r="BD45" s="5">
        <v>3</v>
      </c>
      <c r="BE45" s="5">
        <v>4</v>
      </c>
      <c r="BF45" s="5">
        <v>4</v>
      </c>
      <c r="BG45" s="5">
        <v>3</v>
      </c>
      <c r="BH45" s="5">
        <v>3</v>
      </c>
      <c r="BI45" s="5">
        <v>4</v>
      </c>
      <c r="BJ45" s="5">
        <v>3</v>
      </c>
      <c r="BK45" s="5">
        <v>4</v>
      </c>
      <c r="BL45" s="2" t="s">
        <v>266</v>
      </c>
      <c r="BM45" s="1">
        <v>45600.7921722338</v>
      </c>
    </row>
    <row r="46" spans="1:65" ht="13.5" customHeight="1" x14ac:dyDescent="0.35">
      <c r="A46" t="s">
        <v>642</v>
      </c>
      <c r="B46" s="2" t="s">
        <v>269</v>
      </c>
      <c r="C46" s="2" t="s">
        <v>270</v>
      </c>
      <c r="D46" s="5">
        <v>4</v>
      </c>
      <c r="E46" s="5">
        <v>1</v>
      </c>
      <c r="F46" s="5">
        <v>5</v>
      </c>
      <c r="G46" s="5">
        <v>5</v>
      </c>
      <c r="H46" s="5">
        <v>3</v>
      </c>
      <c r="I46" s="5">
        <v>3</v>
      </c>
      <c r="J46" s="5">
        <v>1</v>
      </c>
      <c r="K46" s="5">
        <v>5</v>
      </c>
      <c r="L46" s="5">
        <v>1</v>
      </c>
      <c r="M46" s="5">
        <v>4</v>
      </c>
      <c r="N46" s="5">
        <v>1</v>
      </c>
      <c r="O46" s="5">
        <v>4</v>
      </c>
      <c r="P46" s="5">
        <v>1</v>
      </c>
      <c r="Q46" s="5">
        <v>5</v>
      </c>
      <c r="R46" s="5">
        <v>5</v>
      </c>
      <c r="S46" s="5">
        <v>5</v>
      </c>
      <c r="T46" s="5">
        <v>2</v>
      </c>
      <c r="U46" s="5">
        <v>2</v>
      </c>
      <c r="V46" s="5">
        <v>5</v>
      </c>
      <c r="W46" s="5">
        <v>1</v>
      </c>
      <c r="X46" s="5">
        <v>2</v>
      </c>
      <c r="Y46" s="5">
        <v>1</v>
      </c>
      <c r="Z46" s="5">
        <v>1</v>
      </c>
      <c r="AA46" s="5">
        <v>5</v>
      </c>
      <c r="AB46" s="5">
        <v>5</v>
      </c>
      <c r="AC46" s="5">
        <v>5</v>
      </c>
      <c r="AD46" s="5">
        <v>4</v>
      </c>
      <c r="AE46" s="5">
        <v>1</v>
      </c>
      <c r="AF46" s="5">
        <v>2</v>
      </c>
      <c r="AG46" s="5">
        <v>4</v>
      </c>
      <c r="AH46" s="5">
        <v>3</v>
      </c>
      <c r="AI46" s="5">
        <v>1</v>
      </c>
      <c r="AJ46" s="5">
        <v>1</v>
      </c>
      <c r="AK46" s="5">
        <v>1</v>
      </c>
      <c r="AL46" s="5">
        <v>4</v>
      </c>
      <c r="AM46" s="5">
        <v>5</v>
      </c>
      <c r="AN46" s="5">
        <v>1</v>
      </c>
      <c r="AO46" s="5">
        <v>4</v>
      </c>
      <c r="AP46" s="5">
        <v>1</v>
      </c>
      <c r="AQ46" s="5">
        <v>1</v>
      </c>
      <c r="AR46" s="5">
        <v>4</v>
      </c>
      <c r="AS46" s="5">
        <v>3</v>
      </c>
      <c r="AT46" s="5">
        <v>3</v>
      </c>
      <c r="AU46" s="5">
        <v>1</v>
      </c>
      <c r="AV46" s="5">
        <v>1</v>
      </c>
      <c r="AW46" s="5">
        <v>3</v>
      </c>
      <c r="AX46" s="5">
        <v>1</v>
      </c>
      <c r="AY46" s="5">
        <v>1</v>
      </c>
      <c r="AZ46" s="5">
        <v>1</v>
      </c>
      <c r="BA46" s="5">
        <v>4</v>
      </c>
      <c r="BB46" s="5">
        <v>2</v>
      </c>
      <c r="BC46" s="5">
        <v>2</v>
      </c>
      <c r="BD46" s="5">
        <v>5</v>
      </c>
      <c r="BE46" s="5">
        <v>1</v>
      </c>
      <c r="BF46" s="5">
        <v>1</v>
      </c>
      <c r="BG46" s="5">
        <v>5</v>
      </c>
      <c r="BH46" s="5">
        <v>5</v>
      </c>
      <c r="BI46" s="5">
        <v>2</v>
      </c>
      <c r="BJ46" s="5">
        <v>4</v>
      </c>
      <c r="BK46" s="5">
        <v>1</v>
      </c>
      <c r="BL46" s="2" t="s">
        <v>271</v>
      </c>
      <c r="BM46" s="1">
        <v>45600.793920613425</v>
      </c>
    </row>
    <row r="47" spans="1:65" ht="13.5" customHeight="1" x14ac:dyDescent="0.35">
      <c r="A47" t="s">
        <v>643</v>
      </c>
      <c r="B47" s="2" t="s">
        <v>259</v>
      </c>
      <c r="C47" s="2" t="s">
        <v>260</v>
      </c>
      <c r="D47" s="5">
        <v>4</v>
      </c>
      <c r="E47" s="5">
        <v>4</v>
      </c>
      <c r="F47" s="5">
        <v>4</v>
      </c>
      <c r="G47" s="5">
        <v>4</v>
      </c>
      <c r="H47" s="5">
        <v>3</v>
      </c>
      <c r="I47" s="5">
        <v>4</v>
      </c>
      <c r="J47" s="5">
        <v>5</v>
      </c>
      <c r="K47" s="5">
        <v>3</v>
      </c>
      <c r="L47" s="5">
        <v>3</v>
      </c>
      <c r="M47" s="5">
        <v>5</v>
      </c>
      <c r="N47" s="5">
        <v>2</v>
      </c>
      <c r="O47" s="5">
        <v>4</v>
      </c>
      <c r="P47" s="5">
        <v>4</v>
      </c>
      <c r="Q47" s="5">
        <v>4</v>
      </c>
      <c r="R47" s="5">
        <v>4</v>
      </c>
      <c r="S47" s="5">
        <v>4</v>
      </c>
      <c r="T47" s="5">
        <v>2</v>
      </c>
      <c r="U47" s="5">
        <v>3</v>
      </c>
      <c r="V47" s="5">
        <v>2</v>
      </c>
      <c r="W47" s="5">
        <v>2</v>
      </c>
      <c r="X47" s="5">
        <v>4</v>
      </c>
      <c r="Y47" s="5">
        <v>2</v>
      </c>
      <c r="Z47" s="5">
        <v>1</v>
      </c>
      <c r="AA47" s="5">
        <v>4</v>
      </c>
      <c r="AB47" s="5">
        <v>3</v>
      </c>
      <c r="AC47" s="5">
        <v>4</v>
      </c>
      <c r="AD47" s="5">
        <v>4</v>
      </c>
      <c r="AE47" s="5">
        <v>5</v>
      </c>
      <c r="AF47" s="5">
        <v>3</v>
      </c>
      <c r="AG47" s="5">
        <v>4</v>
      </c>
      <c r="AH47" s="5">
        <v>3</v>
      </c>
      <c r="AI47" s="5">
        <v>5</v>
      </c>
      <c r="AJ47" s="5">
        <v>3</v>
      </c>
      <c r="AK47" s="5">
        <v>3</v>
      </c>
      <c r="AL47" s="5">
        <v>4</v>
      </c>
      <c r="AM47" s="5">
        <v>3</v>
      </c>
      <c r="AN47" s="5">
        <v>3</v>
      </c>
      <c r="AO47" s="5">
        <v>2</v>
      </c>
      <c r="AP47" s="5">
        <v>3</v>
      </c>
      <c r="AQ47" s="5">
        <v>4</v>
      </c>
      <c r="AR47" s="5">
        <v>3</v>
      </c>
      <c r="AS47" s="5">
        <v>4</v>
      </c>
      <c r="AT47" s="5">
        <v>2</v>
      </c>
      <c r="AU47" s="5">
        <v>4</v>
      </c>
      <c r="AV47" s="5">
        <v>4</v>
      </c>
      <c r="AW47" s="5">
        <v>3</v>
      </c>
      <c r="AX47" s="5">
        <v>3</v>
      </c>
      <c r="AY47" s="5">
        <v>3</v>
      </c>
      <c r="AZ47" s="5">
        <v>3</v>
      </c>
      <c r="BA47" s="5">
        <v>4</v>
      </c>
      <c r="BB47" s="5">
        <v>4</v>
      </c>
      <c r="BC47" s="5">
        <v>4</v>
      </c>
      <c r="BD47" s="5">
        <v>4</v>
      </c>
      <c r="BE47" s="5">
        <v>4</v>
      </c>
      <c r="BF47" s="5">
        <v>4</v>
      </c>
      <c r="BG47" s="5">
        <v>4</v>
      </c>
      <c r="BH47" s="5">
        <v>3</v>
      </c>
      <c r="BI47" s="5">
        <v>4</v>
      </c>
      <c r="BJ47" s="5">
        <v>5</v>
      </c>
      <c r="BK47" s="5">
        <v>3</v>
      </c>
      <c r="BL47" s="2" t="s">
        <v>261</v>
      </c>
      <c r="BM47" s="1">
        <v>45600.791395312503</v>
      </c>
    </row>
    <row r="48" spans="1:65" ht="13.5" customHeight="1" x14ac:dyDescent="0.35">
      <c r="A48" t="s">
        <v>644</v>
      </c>
      <c r="B48" s="2" t="s">
        <v>289</v>
      </c>
      <c r="C48" s="2" t="s">
        <v>290</v>
      </c>
      <c r="D48" s="5">
        <v>4</v>
      </c>
      <c r="E48" s="5">
        <v>5</v>
      </c>
      <c r="F48" s="5">
        <v>1</v>
      </c>
      <c r="G48" s="5">
        <v>3</v>
      </c>
      <c r="H48" s="5">
        <v>5</v>
      </c>
      <c r="I48" s="5">
        <v>5</v>
      </c>
      <c r="J48" s="5">
        <v>4</v>
      </c>
      <c r="K48" s="5">
        <v>1</v>
      </c>
      <c r="L48" s="5">
        <v>4</v>
      </c>
      <c r="M48" s="5">
        <v>5</v>
      </c>
      <c r="N48" s="5">
        <v>4</v>
      </c>
      <c r="O48" s="5">
        <v>5</v>
      </c>
      <c r="P48" s="5">
        <v>5</v>
      </c>
      <c r="Q48" s="5">
        <v>4</v>
      </c>
      <c r="R48" s="5">
        <v>1</v>
      </c>
      <c r="S48" s="5">
        <v>1</v>
      </c>
      <c r="T48" s="5">
        <v>5</v>
      </c>
      <c r="U48" s="5">
        <v>5</v>
      </c>
      <c r="V48" s="5">
        <v>1</v>
      </c>
      <c r="W48" s="5">
        <v>1</v>
      </c>
      <c r="X48" s="5">
        <v>5</v>
      </c>
      <c r="Y48" s="5">
        <v>2</v>
      </c>
      <c r="Z48" s="5">
        <v>4</v>
      </c>
      <c r="AA48" s="5">
        <v>1</v>
      </c>
      <c r="AB48" s="5">
        <v>1</v>
      </c>
      <c r="AC48" s="5">
        <v>3</v>
      </c>
      <c r="AD48" s="5">
        <v>5</v>
      </c>
      <c r="AE48" s="5">
        <v>5</v>
      </c>
      <c r="AF48" s="5">
        <v>5</v>
      </c>
      <c r="AG48" s="5">
        <v>5</v>
      </c>
      <c r="AH48" s="5">
        <v>2</v>
      </c>
      <c r="AI48" s="5">
        <v>4</v>
      </c>
      <c r="AJ48" s="5">
        <v>4</v>
      </c>
      <c r="AK48" s="5">
        <v>5</v>
      </c>
      <c r="AL48" s="5">
        <v>4</v>
      </c>
      <c r="AM48" s="5">
        <v>1</v>
      </c>
      <c r="AN48" s="5">
        <v>5</v>
      </c>
      <c r="AO48" s="5">
        <v>5</v>
      </c>
      <c r="AP48" s="5">
        <v>5</v>
      </c>
      <c r="AQ48" s="5">
        <v>5</v>
      </c>
      <c r="AR48" s="5">
        <v>1</v>
      </c>
      <c r="AS48" s="5">
        <v>5</v>
      </c>
      <c r="AT48" s="5">
        <v>4</v>
      </c>
      <c r="AU48" s="5">
        <v>4</v>
      </c>
      <c r="AV48" s="5">
        <v>4</v>
      </c>
      <c r="AW48" s="5">
        <v>1</v>
      </c>
      <c r="AX48" s="5">
        <v>5</v>
      </c>
      <c r="AY48" s="5">
        <v>5</v>
      </c>
      <c r="AZ48" s="5">
        <v>5</v>
      </c>
      <c r="BA48" s="5">
        <v>5</v>
      </c>
      <c r="BB48" s="5">
        <v>5</v>
      </c>
      <c r="BC48" s="5">
        <v>4</v>
      </c>
      <c r="BD48" s="5">
        <v>3</v>
      </c>
      <c r="BE48" s="5">
        <v>5</v>
      </c>
      <c r="BF48" s="5">
        <v>4</v>
      </c>
      <c r="BG48" s="5">
        <v>4</v>
      </c>
      <c r="BH48" s="5">
        <v>4</v>
      </c>
      <c r="BI48" s="5">
        <v>5</v>
      </c>
      <c r="BJ48" s="5">
        <v>5</v>
      </c>
      <c r="BK48" s="5">
        <v>5</v>
      </c>
      <c r="BL48" s="2" t="s">
        <v>291</v>
      </c>
      <c r="BM48" s="1">
        <v>45600.807335555553</v>
      </c>
    </row>
    <row r="49" spans="1:65" ht="13.5" customHeight="1" x14ac:dyDescent="0.35">
      <c r="A49" t="s">
        <v>645</v>
      </c>
      <c r="B49" s="2" t="s">
        <v>274</v>
      </c>
      <c r="C49" s="2" t="s">
        <v>275</v>
      </c>
      <c r="D49" s="5">
        <v>5</v>
      </c>
      <c r="E49" s="5">
        <v>5</v>
      </c>
      <c r="F49" s="5">
        <v>4</v>
      </c>
      <c r="G49" s="5">
        <v>5</v>
      </c>
      <c r="H49" s="5">
        <v>5</v>
      </c>
      <c r="I49" s="5">
        <v>5</v>
      </c>
      <c r="J49" s="5">
        <v>3</v>
      </c>
      <c r="K49" s="5">
        <v>3</v>
      </c>
      <c r="L49" s="5">
        <v>2</v>
      </c>
      <c r="M49" s="5">
        <v>5</v>
      </c>
      <c r="N49" s="5">
        <v>3</v>
      </c>
      <c r="O49" s="5">
        <v>4</v>
      </c>
      <c r="P49" s="5">
        <v>5</v>
      </c>
      <c r="Q49" s="5">
        <v>5</v>
      </c>
      <c r="R49" s="5">
        <v>5</v>
      </c>
      <c r="S49" s="5">
        <v>5</v>
      </c>
      <c r="T49" s="5">
        <v>5</v>
      </c>
      <c r="U49" s="5">
        <v>3</v>
      </c>
      <c r="V49" s="5">
        <v>1</v>
      </c>
      <c r="W49" s="5">
        <v>3</v>
      </c>
      <c r="X49" s="5">
        <v>5</v>
      </c>
      <c r="Y49" s="5">
        <v>1</v>
      </c>
      <c r="Z49" s="5">
        <v>5</v>
      </c>
      <c r="AA49" s="5">
        <v>3</v>
      </c>
      <c r="AB49" s="5">
        <v>1</v>
      </c>
      <c r="AC49" s="5">
        <v>5</v>
      </c>
      <c r="AD49" s="5">
        <v>5</v>
      </c>
      <c r="AE49" s="5">
        <v>5</v>
      </c>
      <c r="AF49" s="5">
        <v>2</v>
      </c>
      <c r="AG49" s="5">
        <v>5</v>
      </c>
      <c r="AH49" s="5">
        <v>3</v>
      </c>
      <c r="AI49" s="5">
        <v>5</v>
      </c>
      <c r="AJ49" s="5">
        <v>3</v>
      </c>
      <c r="AK49" s="5">
        <v>1</v>
      </c>
      <c r="AL49" s="5">
        <v>5</v>
      </c>
      <c r="AM49" s="5">
        <v>3</v>
      </c>
      <c r="AN49" s="5">
        <v>5</v>
      </c>
      <c r="AO49" s="5">
        <v>5</v>
      </c>
      <c r="AP49" s="5">
        <v>3</v>
      </c>
      <c r="AQ49" s="5">
        <v>5</v>
      </c>
      <c r="AR49" s="5">
        <v>3</v>
      </c>
      <c r="AS49" s="5">
        <v>5</v>
      </c>
      <c r="AT49" s="5">
        <v>5</v>
      </c>
      <c r="AU49" s="5">
        <v>5</v>
      </c>
      <c r="AV49" s="5">
        <v>5</v>
      </c>
      <c r="AW49" s="5">
        <v>3</v>
      </c>
      <c r="AX49" s="5">
        <v>2</v>
      </c>
      <c r="AY49" s="5">
        <v>5</v>
      </c>
      <c r="AZ49" s="5">
        <v>5</v>
      </c>
      <c r="BA49" s="5">
        <v>5</v>
      </c>
      <c r="BB49" s="5">
        <v>5</v>
      </c>
      <c r="BC49" s="5">
        <v>1</v>
      </c>
      <c r="BD49" s="5">
        <v>3</v>
      </c>
      <c r="BE49" s="5">
        <v>1</v>
      </c>
      <c r="BF49" s="5">
        <v>5</v>
      </c>
      <c r="BG49" s="5">
        <v>5</v>
      </c>
      <c r="BH49" s="5">
        <v>5</v>
      </c>
      <c r="BI49" s="5">
        <v>1</v>
      </c>
      <c r="BJ49" s="5">
        <v>5</v>
      </c>
      <c r="BK49" s="5">
        <v>5</v>
      </c>
      <c r="BL49" s="2" t="s">
        <v>276</v>
      </c>
      <c r="BM49" s="1">
        <v>45600.794085277776</v>
      </c>
    </row>
    <row r="50" spans="1:65" ht="13.5" customHeight="1" x14ac:dyDescent="0.35">
      <c r="A50" t="s">
        <v>646</v>
      </c>
      <c r="B50" s="2" t="s">
        <v>284</v>
      </c>
      <c r="C50" s="2" t="s">
        <v>285</v>
      </c>
      <c r="D50" s="5">
        <v>3</v>
      </c>
      <c r="E50" s="5">
        <v>5</v>
      </c>
      <c r="F50" s="5">
        <v>3</v>
      </c>
      <c r="G50" s="5">
        <v>2</v>
      </c>
      <c r="H50" s="5">
        <v>2</v>
      </c>
      <c r="I50" s="5">
        <v>5</v>
      </c>
      <c r="J50" s="5">
        <v>5</v>
      </c>
      <c r="K50" s="5">
        <v>2</v>
      </c>
      <c r="L50" s="5">
        <v>3</v>
      </c>
      <c r="M50" s="5">
        <v>4</v>
      </c>
      <c r="N50" s="5">
        <v>1</v>
      </c>
      <c r="O50" s="5">
        <v>3</v>
      </c>
      <c r="P50" s="5">
        <v>3</v>
      </c>
      <c r="Q50" s="5">
        <v>2</v>
      </c>
      <c r="R50" s="5">
        <v>3</v>
      </c>
      <c r="S50" s="5">
        <v>3</v>
      </c>
      <c r="T50" s="5">
        <v>5</v>
      </c>
      <c r="U50" s="5">
        <v>3</v>
      </c>
      <c r="V50" s="5">
        <v>2</v>
      </c>
      <c r="W50" s="5">
        <v>2</v>
      </c>
      <c r="X50" s="5">
        <v>5</v>
      </c>
      <c r="Y50" s="5">
        <v>3</v>
      </c>
      <c r="Z50" s="5">
        <v>2</v>
      </c>
      <c r="AA50" s="5">
        <v>2</v>
      </c>
      <c r="AB50" s="5">
        <v>2</v>
      </c>
      <c r="AC50" s="5">
        <v>4</v>
      </c>
      <c r="AD50" s="5">
        <v>3</v>
      </c>
      <c r="AE50" s="5">
        <v>3</v>
      </c>
      <c r="AF50" s="5">
        <v>4</v>
      </c>
      <c r="AG50" s="5">
        <v>4</v>
      </c>
      <c r="AH50" s="5">
        <v>2</v>
      </c>
      <c r="AI50" s="5">
        <v>5</v>
      </c>
      <c r="AJ50" s="5">
        <v>3</v>
      </c>
      <c r="AK50" s="5">
        <v>4</v>
      </c>
      <c r="AL50" s="5">
        <v>4</v>
      </c>
      <c r="AM50" s="5">
        <v>2</v>
      </c>
      <c r="AN50" s="5">
        <v>4</v>
      </c>
      <c r="AO50" s="5">
        <v>4</v>
      </c>
      <c r="AP50" s="5">
        <v>3</v>
      </c>
      <c r="AQ50" s="5">
        <v>4</v>
      </c>
      <c r="AR50" s="5">
        <v>2</v>
      </c>
      <c r="AS50" s="5">
        <v>4</v>
      </c>
      <c r="AT50" s="5">
        <v>2</v>
      </c>
      <c r="AU50" s="5">
        <v>3</v>
      </c>
      <c r="AV50" s="5">
        <v>4</v>
      </c>
      <c r="AW50" s="5">
        <v>2</v>
      </c>
      <c r="AX50" s="5">
        <v>2</v>
      </c>
      <c r="AY50" s="5">
        <v>5</v>
      </c>
      <c r="AZ50" s="5">
        <v>2</v>
      </c>
      <c r="BA50" s="5">
        <v>5</v>
      </c>
      <c r="BB50" s="5">
        <v>1</v>
      </c>
      <c r="BC50" s="5">
        <v>3</v>
      </c>
      <c r="BD50" s="5">
        <v>3</v>
      </c>
      <c r="BE50" s="5">
        <v>3</v>
      </c>
      <c r="BF50" s="5">
        <v>2</v>
      </c>
      <c r="BG50" s="5">
        <v>4</v>
      </c>
      <c r="BH50" s="5">
        <v>4</v>
      </c>
      <c r="BI50" s="5">
        <v>4</v>
      </c>
      <c r="BJ50" s="5">
        <v>4</v>
      </c>
      <c r="BK50" s="5">
        <v>3</v>
      </c>
      <c r="BL50" s="2" t="s">
        <v>286</v>
      </c>
      <c r="BM50" s="1">
        <v>45600.799559027779</v>
      </c>
    </row>
    <row r="51" spans="1:65" ht="13.5" customHeight="1" x14ac:dyDescent="0.35">
      <c r="A51" t="s">
        <v>647</v>
      </c>
      <c r="B51" s="2" t="s">
        <v>294</v>
      </c>
      <c r="C51" s="2" t="s">
        <v>295</v>
      </c>
      <c r="D51" s="5">
        <v>4</v>
      </c>
      <c r="E51" s="5">
        <v>5</v>
      </c>
      <c r="F51" s="5">
        <v>4</v>
      </c>
      <c r="G51" s="5">
        <v>5</v>
      </c>
      <c r="H51" s="5">
        <v>3</v>
      </c>
      <c r="I51" s="5">
        <v>5</v>
      </c>
      <c r="J51" s="5">
        <v>3</v>
      </c>
      <c r="K51" s="5">
        <v>4</v>
      </c>
      <c r="L51" s="5">
        <v>1</v>
      </c>
      <c r="M51" s="5">
        <v>5</v>
      </c>
      <c r="N51" s="5">
        <v>3</v>
      </c>
      <c r="O51" s="5">
        <v>4</v>
      </c>
      <c r="P51" s="5">
        <v>3</v>
      </c>
      <c r="Q51" s="5">
        <v>5</v>
      </c>
      <c r="R51" s="5">
        <v>5</v>
      </c>
      <c r="S51" s="5">
        <v>4</v>
      </c>
      <c r="T51" s="5">
        <v>2</v>
      </c>
      <c r="U51" s="5">
        <v>2</v>
      </c>
      <c r="V51" s="5">
        <v>5</v>
      </c>
      <c r="W51" s="5">
        <v>1</v>
      </c>
      <c r="X51" s="5">
        <v>5</v>
      </c>
      <c r="Y51" s="5">
        <v>2</v>
      </c>
      <c r="Z51" s="5">
        <v>2</v>
      </c>
      <c r="AA51" s="5">
        <v>4</v>
      </c>
      <c r="AB51" s="5">
        <v>3</v>
      </c>
      <c r="AC51" s="5">
        <v>3</v>
      </c>
      <c r="AD51" s="5">
        <v>3</v>
      </c>
      <c r="AE51" s="5">
        <v>3</v>
      </c>
      <c r="AF51" s="5">
        <v>2</v>
      </c>
      <c r="AG51" s="5">
        <v>4</v>
      </c>
      <c r="AH51" s="5">
        <v>4</v>
      </c>
      <c r="AI51" s="5">
        <v>4</v>
      </c>
      <c r="AJ51" s="5">
        <v>2</v>
      </c>
      <c r="AK51" s="5">
        <v>2</v>
      </c>
      <c r="AL51" s="5">
        <v>3</v>
      </c>
      <c r="AM51" s="5">
        <v>4</v>
      </c>
      <c r="AN51" s="5">
        <v>5</v>
      </c>
      <c r="AO51" s="5">
        <v>3</v>
      </c>
      <c r="AP51" s="5">
        <v>3</v>
      </c>
      <c r="AQ51" s="5">
        <v>4</v>
      </c>
      <c r="AR51" s="5">
        <v>3</v>
      </c>
      <c r="AS51" s="5">
        <v>5</v>
      </c>
      <c r="AT51" s="5">
        <v>3</v>
      </c>
      <c r="AU51" s="5">
        <v>2</v>
      </c>
      <c r="AV51" s="5">
        <v>4</v>
      </c>
      <c r="AW51" s="5">
        <v>2</v>
      </c>
      <c r="AX51" s="5">
        <v>4</v>
      </c>
      <c r="AY51" s="5">
        <v>5</v>
      </c>
      <c r="AZ51" s="5">
        <v>3</v>
      </c>
      <c r="BA51" s="5">
        <v>4</v>
      </c>
      <c r="BB51" s="5">
        <v>4</v>
      </c>
      <c r="BC51" s="5">
        <v>2</v>
      </c>
      <c r="BD51" s="5">
        <v>5</v>
      </c>
      <c r="BE51" s="5">
        <v>2</v>
      </c>
      <c r="BF51" s="5">
        <v>2</v>
      </c>
      <c r="BG51" s="5">
        <v>4</v>
      </c>
      <c r="BH51" s="5">
        <v>5</v>
      </c>
      <c r="BI51" s="5">
        <v>3</v>
      </c>
      <c r="BJ51" s="5">
        <v>4</v>
      </c>
      <c r="BK51" s="5">
        <v>4</v>
      </c>
      <c r="BL51" s="2" t="s">
        <v>296</v>
      </c>
      <c r="BM51" s="1">
        <v>45600.845985636573</v>
      </c>
    </row>
    <row r="52" spans="1:65" ht="13.5" customHeight="1" x14ac:dyDescent="0.35">
      <c r="A52" t="s">
        <v>648</v>
      </c>
      <c r="B52" s="2" t="s">
        <v>299</v>
      </c>
      <c r="C52" s="2" t="s">
        <v>300</v>
      </c>
      <c r="D52" s="5">
        <v>4</v>
      </c>
      <c r="E52" s="5">
        <v>3</v>
      </c>
      <c r="F52" s="5">
        <v>3</v>
      </c>
      <c r="G52" s="5">
        <v>3</v>
      </c>
      <c r="H52" s="5">
        <v>3</v>
      </c>
      <c r="I52" s="5">
        <v>4</v>
      </c>
      <c r="J52" s="5">
        <v>3</v>
      </c>
      <c r="K52" s="5">
        <v>3</v>
      </c>
      <c r="L52" s="5">
        <v>5</v>
      </c>
      <c r="M52" s="5">
        <v>5</v>
      </c>
      <c r="N52" s="5">
        <v>3</v>
      </c>
      <c r="O52" s="5">
        <v>4</v>
      </c>
      <c r="P52" s="5">
        <v>3</v>
      </c>
      <c r="Q52" s="5">
        <v>2</v>
      </c>
      <c r="R52" s="5">
        <v>5</v>
      </c>
      <c r="S52" s="5">
        <v>3</v>
      </c>
      <c r="T52" s="5">
        <v>3</v>
      </c>
      <c r="U52" s="5">
        <v>3</v>
      </c>
      <c r="V52" s="5">
        <v>2</v>
      </c>
      <c r="W52" s="5">
        <v>3</v>
      </c>
      <c r="X52" s="5">
        <v>3</v>
      </c>
      <c r="Y52" s="5">
        <v>2</v>
      </c>
      <c r="Z52" s="5">
        <v>4</v>
      </c>
      <c r="AA52" s="5">
        <v>1</v>
      </c>
      <c r="AB52" s="5">
        <v>3</v>
      </c>
      <c r="AC52" s="5">
        <v>4</v>
      </c>
      <c r="AD52" s="5">
        <v>4</v>
      </c>
      <c r="AE52" s="5">
        <v>3</v>
      </c>
      <c r="AF52" s="5">
        <v>3</v>
      </c>
      <c r="AG52" s="5">
        <v>4</v>
      </c>
      <c r="AH52" s="5">
        <v>3</v>
      </c>
      <c r="AI52" s="5">
        <v>4</v>
      </c>
      <c r="AJ52" s="5">
        <v>3</v>
      </c>
      <c r="AK52" s="5">
        <v>4</v>
      </c>
      <c r="AL52" s="5">
        <v>4</v>
      </c>
      <c r="AM52" s="5">
        <v>3</v>
      </c>
      <c r="AN52" s="5">
        <v>4</v>
      </c>
      <c r="AO52" s="5">
        <v>4</v>
      </c>
      <c r="AP52" s="5">
        <v>3</v>
      </c>
      <c r="AQ52" s="5">
        <v>5</v>
      </c>
      <c r="AR52" s="5">
        <v>2</v>
      </c>
      <c r="AS52" s="5">
        <v>3</v>
      </c>
      <c r="AT52" s="5">
        <v>4</v>
      </c>
      <c r="AU52" s="5">
        <v>3</v>
      </c>
      <c r="AV52" s="5">
        <v>4</v>
      </c>
      <c r="AW52" s="5">
        <v>2</v>
      </c>
      <c r="AX52" s="5">
        <v>2</v>
      </c>
      <c r="AY52" s="5">
        <v>2</v>
      </c>
      <c r="AZ52" s="5">
        <v>3</v>
      </c>
      <c r="BA52" s="5">
        <v>4</v>
      </c>
      <c r="BB52" s="5">
        <v>3</v>
      </c>
      <c r="BC52" s="5">
        <v>3</v>
      </c>
      <c r="BD52" s="5">
        <v>3</v>
      </c>
      <c r="BE52" s="5">
        <v>3</v>
      </c>
      <c r="BF52" s="5">
        <v>4</v>
      </c>
      <c r="BG52" s="5">
        <v>3</v>
      </c>
      <c r="BH52" s="5">
        <v>3</v>
      </c>
      <c r="BI52" s="5">
        <v>3</v>
      </c>
      <c r="BJ52" s="5">
        <v>3</v>
      </c>
      <c r="BK52" s="5">
        <v>4</v>
      </c>
      <c r="BL52" s="2" t="s">
        <v>301</v>
      </c>
      <c r="BM52" s="1">
        <v>45600.847374201388</v>
      </c>
    </row>
    <row r="53" spans="1:65" ht="13.5" customHeight="1" x14ac:dyDescent="0.35">
      <c r="A53" t="s">
        <v>649</v>
      </c>
      <c r="B53" s="2" t="s">
        <v>304</v>
      </c>
      <c r="C53" s="2" t="s">
        <v>305</v>
      </c>
      <c r="D53" s="5">
        <v>4</v>
      </c>
      <c r="E53" s="5">
        <v>1</v>
      </c>
      <c r="F53" s="5">
        <v>3</v>
      </c>
      <c r="G53" s="5">
        <v>4</v>
      </c>
      <c r="H53" s="5">
        <v>3</v>
      </c>
      <c r="I53" s="5">
        <v>2</v>
      </c>
      <c r="J53" s="5">
        <v>2</v>
      </c>
      <c r="K53" s="5">
        <v>4</v>
      </c>
      <c r="L53" s="5">
        <v>1</v>
      </c>
      <c r="M53" s="5">
        <v>3</v>
      </c>
      <c r="N53" s="5">
        <v>1</v>
      </c>
      <c r="O53" s="5">
        <v>3</v>
      </c>
      <c r="P53" s="5">
        <v>3</v>
      </c>
      <c r="Q53" s="5">
        <v>5</v>
      </c>
      <c r="R53" s="5">
        <v>2</v>
      </c>
      <c r="S53" s="5">
        <v>4</v>
      </c>
      <c r="T53" s="5">
        <v>3</v>
      </c>
      <c r="U53" s="5">
        <v>3</v>
      </c>
      <c r="V53" s="5">
        <v>5</v>
      </c>
      <c r="W53" s="5">
        <v>1</v>
      </c>
      <c r="X53" s="5">
        <v>1</v>
      </c>
      <c r="Y53" s="5">
        <v>3</v>
      </c>
      <c r="Z53" s="5">
        <v>4</v>
      </c>
      <c r="AA53" s="5">
        <v>4</v>
      </c>
      <c r="AB53" s="5">
        <v>3</v>
      </c>
      <c r="AC53" s="5">
        <v>2</v>
      </c>
      <c r="AD53" s="5">
        <v>1</v>
      </c>
      <c r="AE53" s="5">
        <v>2</v>
      </c>
      <c r="AF53" s="5">
        <v>3</v>
      </c>
      <c r="AG53" s="5">
        <v>3</v>
      </c>
      <c r="AH53" s="5">
        <v>4</v>
      </c>
      <c r="AI53" s="5">
        <v>2</v>
      </c>
      <c r="AJ53" s="5">
        <v>3</v>
      </c>
      <c r="AK53" s="5">
        <v>3</v>
      </c>
      <c r="AL53" s="5">
        <v>2</v>
      </c>
      <c r="AM53" s="5">
        <v>4</v>
      </c>
      <c r="AN53" s="5">
        <v>1</v>
      </c>
      <c r="AO53" s="5">
        <v>3</v>
      </c>
      <c r="AP53" s="5">
        <v>2</v>
      </c>
      <c r="AQ53" s="5">
        <v>3</v>
      </c>
      <c r="AR53" s="5">
        <v>4</v>
      </c>
      <c r="AS53" s="5">
        <v>1</v>
      </c>
      <c r="AT53" s="5">
        <v>3</v>
      </c>
      <c r="AU53" s="5">
        <v>3</v>
      </c>
      <c r="AV53" s="5">
        <v>2</v>
      </c>
      <c r="AW53" s="5">
        <v>4</v>
      </c>
      <c r="AX53" s="5">
        <v>3</v>
      </c>
      <c r="AY53" s="5">
        <v>1</v>
      </c>
      <c r="AZ53" s="5">
        <v>1</v>
      </c>
      <c r="BA53" s="5">
        <v>1</v>
      </c>
      <c r="BB53" s="5">
        <v>3</v>
      </c>
      <c r="BC53" s="5">
        <v>3</v>
      </c>
      <c r="BD53" s="5">
        <v>4</v>
      </c>
      <c r="BE53" s="5">
        <v>2</v>
      </c>
      <c r="BF53" s="5">
        <v>3</v>
      </c>
      <c r="BG53" s="5">
        <v>1</v>
      </c>
      <c r="BH53" s="5">
        <v>3</v>
      </c>
      <c r="BI53" s="5">
        <v>3</v>
      </c>
      <c r="BJ53" s="5">
        <v>3</v>
      </c>
      <c r="BK53" s="5">
        <v>3</v>
      </c>
      <c r="BL53" s="2" t="s">
        <v>306</v>
      </c>
      <c r="BM53" s="1">
        <v>45609.834333749997</v>
      </c>
    </row>
    <row r="54" spans="1:65" ht="13.5" customHeight="1" x14ac:dyDescent="0.35">
      <c r="A54" t="s">
        <v>650</v>
      </c>
      <c r="B54" s="2" t="s">
        <v>309</v>
      </c>
      <c r="C54" s="2" t="s">
        <v>310</v>
      </c>
      <c r="D54" s="5">
        <v>3</v>
      </c>
      <c r="E54" s="5">
        <v>5</v>
      </c>
      <c r="F54" s="5">
        <v>2</v>
      </c>
      <c r="G54" s="5">
        <v>4</v>
      </c>
      <c r="H54" s="5">
        <v>5</v>
      </c>
      <c r="I54" s="5">
        <v>4</v>
      </c>
      <c r="J54" s="5">
        <v>4</v>
      </c>
      <c r="K54" s="5">
        <v>3</v>
      </c>
      <c r="L54" s="5">
        <v>3</v>
      </c>
      <c r="M54" s="5">
        <v>4</v>
      </c>
      <c r="N54" s="5">
        <v>4</v>
      </c>
      <c r="O54" s="5">
        <v>4</v>
      </c>
      <c r="P54" s="5">
        <v>5</v>
      </c>
      <c r="Q54" s="5">
        <v>2</v>
      </c>
      <c r="R54" s="5">
        <v>2</v>
      </c>
      <c r="S54" s="5">
        <v>1</v>
      </c>
      <c r="T54" s="5">
        <v>4</v>
      </c>
      <c r="U54" s="5">
        <v>3</v>
      </c>
      <c r="V54" s="5">
        <v>2</v>
      </c>
      <c r="W54" s="5">
        <v>2</v>
      </c>
      <c r="X54" s="5">
        <v>5</v>
      </c>
      <c r="Y54" s="5">
        <v>4</v>
      </c>
      <c r="Z54" s="5">
        <v>4</v>
      </c>
      <c r="AA54" s="5">
        <v>2</v>
      </c>
      <c r="AB54" s="5">
        <v>2</v>
      </c>
      <c r="AC54" s="5">
        <v>4</v>
      </c>
      <c r="AD54" s="5">
        <v>4</v>
      </c>
      <c r="AE54" s="5">
        <v>4</v>
      </c>
      <c r="AF54" s="5">
        <v>4</v>
      </c>
      <c r="AG54" s="5">
        <v>2</v>
      </c>
      <c r="AH54" s="5">
        <v>3</v>
      </c>
      <c r="AI54" s="5">
        <v>3</v>
      </c>
      <c r="AJ54" s="5">
        <v>4</v>
      </c>
      <c r="AK54" s="5">
        <v>3</v>
      </c>
      <c r="AL54" s="5">
        <v>4</v>
      </c>
      <c r="AM54" s="5">
        <v>2</v>
      </c>
      <c r="AN54" s="5">
        <v>4</v>
      </c>
      <c r="AO54" s="5">
        <v>3</v>
      </c>
      <c r="AP54" s="5">
        <v>4</v>
      </c>
      <c r="AQ54" s="5">
        <v>5</v>
      </c>
      <c r="AR54" s="5">
        <v>2</v>
      </c>
      <c r="AS54" s="5">
        <v>4</v>
      </c>
      <c r="AT54" s="5">
        <v>3</v>
      </c>
      <c r="AU54" s="5">
        <v>4</v>
      </c>
      <c r="AV54" s="5">
        <v>3</v>
      </c>
      <c r="AW54" s="5">
        <v>3</v>
      </c>
      <c r="AX54" s="5">
        <v>3</v>
      </c>
      <c r="AY54" s="5">
        <v>4</v>
      </c>
      <c r="AZ54" s="5">
        <v>3</v>
      </c>
      <c r="BA54" s="5">
        <v>5</v>
      </c>
      <c r="BB54" s="5">
        <v>4</v>
      </c>
      <c r="BC54" s="5">
        <v>3</v>
      </c>
      <c r="BD54" s="5">
        <v>4</v>
      </c>
      <c r="BE54" s="5">
        <v>2</v>
      </c>
      <c r="BF54" s="5">
        <v>4</v>
      </c>
      <c r="BG54" s="5">
        <v>5</v>
      </c>
      <c r="BH54" s="5">
        <v>4</v>
      </c>
      <c r="BI54" s="5">
        <v>4</v>
      </c>
      <c r="BJ54" s="5">
        <v>5</v>
      </c>
      <c r="BK54" s="5">
        <v>4</v>
      </c>
      <c r="BL54" s="2" t="s">
        <v>311</v>
      </c>
      <c r="BM54" s="1">
        <v>45609.901363622688</v>
      </c>
    </row>
    <row r="55" spans="1:65" ht="13.5" customHeight="1" x14ac:dyDescent="0.35">
      <c r="A55" t="s">
        <v>651</v>
      </c>
      <c r="B55" s="2" t="s">
        <v>314</v>
      </c>
      <c r="C55" s="2" t="s">
        <v>315</v>
      </c>
      <c r="D55" s="5">
        <v>5</v>
      </c>
      <c r="E55" s="5">
        <v>5</v>
      </c>
      <c r="F55" s="5">
        <v>1</v>
      </c>
      <c r="G55" s="5">
        <v>1</v>
      </c>
      <c r="H55" s="5">
        <v>4</v>
      </c>
      <c r="I55" s="5">
        <v>5</v>
      </c>
      <c r="J55" s="5">
        <v>5</v>
      </c>
      <c r="K55" s="5">
        <v>5</v>
      </c>
      <c r="L55" s="5">
        <v>1</v>
      </c>
      <c r="M55" s="5">
        <v>5</v>
      </c>
      <c r="N55" s="5">
        <v>5</v>
      </c>
      <c r="O55" s="5">
        <v>5</v>
      </c>
      <c r="P55" s="5">
        <v>2</v>
      </c>
      <c r="Q55" s="5">
        <v>1</v>
      </c>
      <c r="R55" s="5">
        <v>4</v>
      </c>
      <c r="S55" s="5">
        <v>1</v>
      </c>
      <c r="T55" s="5">
        <v>5</v>
      </c>
      <c r="U55" s="5">
        <v>1</v>
      </c>
      <c r="V55" s="5">
        <v>1</v>
      </c>
      <c r="W55" s="5">
        <v>1</v>
      </c>
      <c r="X55" s="5">
        <v>5</v>
      </c>
      <c r="Y55" s="5">
        <v>5</v>
      </c>
      <c r="Z55" s="5">
        <v>5</v>
      </c>
      <c r="AA55" s="5">
        <v>1</v>
      </c>
      <c r="AB55" s="5">
        <v>1</v>
      </c>
      <c r="AC55" s="5">
        <v>5</v>
      </c>
      <c r="AD55" s="5">
        <v>5</v>
      </c>
      <c r="AE55" s="5">
        <v>5</v>
      </c>
      <c r="AF55" s="5">
        <v>3</v>
      </c>
      <c r="AG55" s="5">
        <v>3</v>
      </c>
      <c r="AH55" s="5">
        <v>3</v>
      </c>
      <c r="AI55" s="5">
        <v>5</v>
      </c>
      <c r="AJ55" s="5">
        <v>5</v>
      </c>
      <c r="AK55" s="5">
        <v>1</v>
      </c>
      <c r="AL55" s="5">
        <v>5</v>
      </c>
      <c r="AM55" s="5">
        <v>1</v>
      </c>
      <c r="AN55" s="5">
        <v>2</v>
      </c>
      <c r="AO55" s="5">
        <v>5</v>
      </c>
      <c r="AP55" s="5">
        <v>3</v>
      </c>
      <c r="AQ55" s="5">
        <v>5</v>
      </c>
      <c r="AR55" s="5">
        <v>1</v>
      </c>
      <c r="AS55" s="5">
        <v>3</v>
      </c>
      <c r="AT55" s="5">
        <v>5</v>
      </c>
      <c r="AU55" s="5">
        <v>2</v>
      </c>
      <c r="AV55" s="5">
        <v>3</v>
      </c>
      <c r="AW55" s="5">
        <v>1</v>
      </c>
      <c r="AX55" s="5">
        <v>2</v>
      </c>
      <c r="AY55" s="5">
        <v>5</v>
      </c>
      <c r="AZ55" s="5">
        <v>5</v>
      </c>
      <c r="BA55" s="5">
        <v>5</v>
      </c>
      <c r="BB55" s="5">
        <v>5</v>
      </c>
      <c r="BC55" s="5">
        <v>1</v>
      </c>
      <c r="BD55" s="5">
        <v>5</v>
      </c>
      <c r="BE55" s="5">
        <v>2</v>
      </c>
      <c r="BF55" s="5">
        <v>5</v>
      </c>
      <c r="BG55" s="5">
        <v>3</v>
      </c>
      <c r="BH55" s="5">
        <v>5</v>
      </c>
      <c r="BI55" s="5">
        <v>4</v>
      </c>
      <c r="BJ55" s="5">
        <v>5</v>
      </c>
      <c r="BK55" s="5">
        <v>5</v>
      </c>
      <c r="BL55" s="2" t="s">
        <v>316</v>
      </c>
      <c r="BM55" s="1">
        <v>45610.61472140046</v>
      </c>
    </row>
    <row r="56" spans="1:65" ht="13.5" customHeight="1" x14ac:dyDescent="0.35">
      <c r="A56" t="s">
        <v>652</v>
      </c>
      <c r="B56" s="2" t="s">
        <v>329</v>
      </c>
      <c r="C56" s="2" t="s">
        <v>330</v>
      </c>
      <c r="D56" s="5">
        <v>5</v>
      </c>
      <c r="E56" s="5">
        <v>4</v>
      </c>
      <c r="F56" s="5">
        <v>4</v>
      </c>
      <c r="G56" s="5">
        <v>5</v>
      </c>
      <c r="H56" s="5">
        <v>3</v>
      </c>
      <c r="I56" s="5">
        <v>1</v>
      </c>
      <c r="J56" s="5">
        <v>2</v>
      </c>
      <c r="K56" s="5">
        <v>4</v>
      </c>
      <c r="L56" s="5">
        <v>1</v>
      </c>
      <c r="M56" s="5">
        <v>5</v>
      </c>
      <c r="N56" s="5">
        <v>4</v>
      </c>
      <c r="O56" s="5">
        <v>3</v>
      </c>
      <c r="P56" s="5">
        <v>2</v>
      </c>
      <c r="Q56" s="5">
        <v>4</v>
      </c>
      <c r="R56" s="5">
        <v>4</v>
      </c>
      <c r="S56" s="5">
        <v>4</v>
      </c>
      <c r="T56" s="5">
        <v>3</v>
      </c>
      <c r="U56" s="5">
        <v>4</v>
      </c>
      <c r="V56" s="5">
        <v>4</v>
      </c>
      <c r="W56" s="5">
        <v>1</v>
      </c>
      <c r="X56" s="5">
        <v>4</v>
      </c>
      <c r="Y56" s="5">
        <v>2</v>
      </c>
      <c r="Z56" s="5">
        <v>3</v>
      </c>
      <c r="AA56" s="5">
        <v>3</v>
      </c>
      <c r="AB56" s="5">
        <v>2</v>
      </c>
      <c r="AC56" s="5">
        <v>3</v>
      </c>
      <c r="AD56" s="5">
        <v>1</v>
      </c>
      <c r="AE56" s="5">
        <v>4</v>
      </c>
      <c r="AF56" s="5">
        <v>4</v>
      </c>
      <c r="AG56" s="5">
        <v>3</v>
      </c>
      <c r="AH56" s="5">
        <v>4</v>
      </c>
      <c r="AI56" s="5">
        <v>2</v>
      </c>
      <c r="AJ56" s="5">
        <v>1</v>
      </c>
      <c r="AK56" s="5">
        <v>4</v>
      </c>
      <c r="AL56" s="5">
        <v>4</v>
      </c>
      <c r="AM56" s="5">
        <v>3</v>
      </c>
      <c r="AN56" s="5">
        <v>2</v>
      </c>
      <c r="AO56" s="5">
        <v>3</v>
      </c>
      <c r="AP56" s="5">
        <v>2</v>
      </c>
      <c r="AQ56" s="5">
        <v>2</v>
      </c>
      <c r="AR56" s="5">
        <v>4</v>
      </c>
      <c r="AS56" s="5">
        <v>1</v>
      </c>
      <c r="AT56" s="5">
        <v>5</v>
      </c>
      <c r="AU56" s="5">
        <v>3</v>
      </c>
      <c r="AV56" s="5">
        <v>2</v>
      </c>
      <c r="AW56" s="5">
        <v>4</v>
      </c>
      <c r="AX56" s="5">
        <v>3</v>
      </c>
      <c r="AY56" s="5">
        <v>3</v>
      </c>
      <c r="AZ56" s="5">
        <v>2</v>
      </c>
      <c r="BA56" s="5">
        <v>2</v>
      </c>
      <c r="BB56" s="5">
        <v>2</v>
      </c>
      <c r="BC56" s="5">
        <v>3</v>
      </c>
      <c r="BD56" s="5">
        <v>3</v>
      </c>
      <c r="BE56" s="5">
        <v>2</v>
      </c>
      <c r="BF56" s="5">
        <v>2</v>
      </c>
      <c r="BG56" s="5">
        <v>4</v>
      </c>
      <c r="BH56" s="5">
        <v>2</v>
      </c>
      <c r="BI56" s="5">
        <v>5</v>
      </c>
      <c r="BJ56" s="5">
        <v>3</v>
      </c>
      <c r="BK56" s="5">
        <v>5</v>
      </c>
      <c r="BL56" s="2" t="s">
        <v>331</v>
      </c>
      <c r="BM56" s="1">
        <v>45610.765535787039</v>
      </c>
    </row>
    <row r="57" spans="1:65" ht="13.5" customHeight="1" x14ac:dyDescent="0.35">
      <c r="A57" t="s">
        <v>653</v>
      </c>
      <c r="B57" s="2" t="s">
        <v>324</v>
      </c>
      <c r="C57" s="2" t="s">
        <v>325</v>
      </c>
      <c r="D57" s="5">
        <v>4</v>
      </c>
      <c r="E57" s="5">
        <v>3</v>
      </c>
      <c r="F57" s="5">
        <v>4</v>
      </c>
      <c r="G57" s="5">
        <v>3</v>
      </c>
      <c r="H57" s="5">
        <v>4</v>
      </c>
      <c r="I57" s="5">
        <v>3</v>
      </c>
      <c r="J57" s="5">
        <v>4</v>
      </c>
      <c r="K57" s="5">
        <v>3</v>
      </c>
      <c r="L57" s="5">
        <v>3</v>
      </c>
      <c r="M57" s="5">
        <v>4</v>
      </c>
      <c r="N57" s="5">
        <v>4</v>
      </c>
      <c r="O57" s="5">
        <v>4</v>
      </c>
      <c r="P57" s="5">
        <v>4</v>
      </c>
      <c r="Q57" s="5">
        <v>5</v>
      </c>
      <c r="R57" s="5">
        <v>4</v>
      </c>
      <c r="S57" s="5">
        <v>4</v>
      </c>
      <c r="T57" s="5">
        <v>3</v>
      </c>
      <c r="U57" s="5">
        <v>3</v>
      </c>
      <c r="V57" s="5">
        <v>3</v>
      </c>
      <c r="W57" s="5">
        <v>3</v>
      </c>
      <c r="X57" s="5">
        <v>1</v>
      </c>
      <c r="Y57" s="5">
        <v>2</v>
      </c>
      <c r="Z57" s="5">
        <v>2</v>
      </c>
      <c r="AA57" s="5">
        <v>4</v>
      </c>
      <c r="AB57" s="5">
        <v>3</v>
      </c>
      <c r="AC57" s="5">
        <v>3</v>
      </c>
      <c r="AD57" s="5">
        <v>4</v>
      </c>
      <c r="AE57" s="5">
        <v>4</v>
      </c>
      <c r="AF57" s="5">
        <v>3</v>
      </c>
      <c r="AG57" s="5">
        <v>4</v>
      </c>
      <c r="AH57" s="5">
        <v>4</v>
      </c>
      <c r="AI57" s="5">
        <v>4</v>
      </c>
      <c r="AJ57" s="5">
        <v>2</v>
      </c>
      <c r="AK57" s="5">
        <v>3</v>
      </c>
      <c r="AL57" s="5">
        <v>4</v>
      </c>
      <c r="AM57" s="5">
        <v>4</v>
      </c>
      <c r="AN57" s="5">
        <v>3</v>
      </c>
      <c r="AO57" s="5">
        <v>4</v>
      </c>
      <c r="AP57" s="5">
        <v>4</v>
      </c>
      <c r="AQ57" s="5">
        <v>4</v>
      </c>
      <c r="AR57" s="5">
        <v>4</v>
      </c>
      <c r="AS57" s="5">
        <v>4</v>
      </c>
      <c r="AT57" s="5">
        <v>4</v>
      </c>
      <c r="AU57" s="5">
        <v>4</v>
      </c>
      <c r="AV57" s="5">
        <v>4</v>
      </c>
      <c r="AW57" s="5">
        <v>3</v>
      </c>
      <c r="AX57" s="5">
        <v>4</v>
      </c>
      <c r="AY57" s="5">
        <v>1</v>
      </c>
      <c r="AZ57" s="5">
        <v>4</v>
      </c>
      <c r="BA57" s="5">
        <v>4</v>
      </c>
      <c r="BB57" s="5">
        <v>3</v>
      </c>
      <c r="BC57" s="5">
        <v>2</v>
      </c>
      <c r="BD57" s="5">
        <v>3</v>
      </c>
      <c r="BE57" s="5">
        <v>4</v>
      </c>
      <c r="BF57" s="5">
        <v>4</v>
      </c>
      <c r="BG57" s="5">
        <v>2</v>
      </c>
      <c r="BH57" s="5">
        <v>3</v>
      </c>
      <c r="BI57" s="5">
        <v>4</v>
      </c>
      <c r="BJ57" s="5">
        <v>4</v>
      </c>
      <c r="BK57" s="5">
        <v>4</v>
      </c>
      <c r="BL57" s="2" t="s">
        <v>326</v>
      </c>
      <c r="BM57" s="1">
        <v>45610.763074537041</v>
      </c>
    </row>
    <row r="58" spans="1:65" ht="13.5" customHeight="1" x14ac:dyDescent="0.35">
      <c r="A58" t="s">
        <v>654</v>
      </c>
      <c r="B58" s="2" t="s">
        <v>339</v>
      </c>
      <c r="C58" s="2" t="s">
        <v>340</v>
      </c>
      <c r="D58" s="5">
        <v>4</v>
      </c>
      <c r="E58" s="5">
        <v>3</v>
      </c>
      <c r="F58" s="5">
        <v>2</v>
      </c>
      <c r="G58" s="5">
        <v>3</v>
      </c>
      <c r="H58" s="5">
        <v>3</v>
      </c>
      <c r="I58" s="5">
        <v>1</v>
      </c>
      <c r="J58" s="5">
        <v>2</v>
      </c>
      <c r="K58" s="5">
        <v>2</v>
      </c>
      <c r="L58" s="5">
        <v>1</v>
      </c>
      <c r="M58" s="5">
        <v>3</v>
      </c>
      <c r="N58" s="5">
        <v>1</v>
      </c>
      <c r="O58" s="5">
        <v>3</v>
      </c>
      <c r="P58" s="5">
        <v>2</v>
      </c>
      <c r="Q58" s="5">
        <v>5</v>
      </c>
      <c r="R58" s="5">
        <v>5</v>
      </c>
      <c r="S58" s="5">
        <v>4</v>
      </c>
      <c r="T58" s="5">
        <v>2</v>
      </c>
      <c r="U58" s="5">
        <v>2</v>
      </c>
      <c r="V58" s="5">
        <v>4</v>
      </c>
      <c r="W58" s="5">
        <v>1</v>
      </c>
      <c r="X58" s="5">
        <v>5</v>
      </c>
      <c r="Y58" s="5">
        <v>3</v>
      </c>
      <c r="Z58" s="5">
        <v>5</v>
      </c>
      <c r="AA58" s="5">
        <v>3</v>
      </c>
      <c r="AB58" s="5">
        <v>3</v>
      </c>
      <c r="AC58" s="5">
        <v>5</v>
      </c>
      <c r="AD58" s="5">
        <v>3</v>
      </c>
      <c r="AE58" s="5">
        <v>4</v>
      </c>
      <c r="AF58" s="5">
        <v>2</v>
      </c>
      <c r="AG58" s="5">
        <v>4</v>
      </c>
      <c r="AH58" s="5">
        <v>4</v>
      </c>
      <c r="AI58" s="5">
        <v>4</v>
      </c>
      <c r="AJ58" s="5">
        <v>5</v>
      </c>
      <c r="AK58" s="5">
        <v>2</v>
      </c>
      <c r="AL58" s="5">
        <v>3</v>
      </c>
      <c r="AM58" s="5">
        <v>3</v>
      </c>
      <c r="AN58" s="5">
        <v>1</v>
      </c>
      <c r="AO58" s="5">
        <v>1</v>
      </c>
      <c r="AP58" s="5">
        <v>1</v>
      </c>
      <c r="AQ58" s="5">
        <v>4</v>
      </c>
      <c r="AR58" s="5">
        <v>3</v>
      </c>
      <c r="AS58" s="5">
        <v>1</v>
      </c>
      <c r="AT58" s="5">
        <v>3</v>
      </c>
      <c r="AU58" s="5">
        <v>1</v>
      </c>
      <c r="AV58" s="5">
        <v>3</v>
      </c>
      <c r="AW58" s="5">
        <v>4</v>
      </c>
      <c r="AX58" s="5">
        <v>2</v>
      </c>
      <c r="AY58" s="5">
        <v>5</v>
      </c>
      <c r="AZ58" s="5">
        <v>2</v>
      </c>
      <c r="BA58" s="5">
        <v>4</v>
      </c>
      <c r="BB58" s="5">
        <v>5</v>
      </c>
      <c r="BC58" s="5">
        <v>2</v>
      </c>
      <c r="BD58" s="5">
        <v>4</v>
      </c>
      <c r="BE58" s="5">
        <v>2</v>
      </c>
      <c r="BF58" s="5">
        <v>4</v>
      </c>
      <c r="BG58" s="5">
        <v>5</v>
      </c>
      <c r="BH58" s="5">
        <v>3</v>
      </c>
      <c r="BI58" s="5">
        <v>2</v>
      </c>
      <c r="BJ58" s="5">
        <v>5</v>
      </c>
      <c r="BK58" s="5">
        <v>4</v>
      </c>
      <c r="BL58" s="2" t="s">
        <v>341</v>
      </c>
      <c r="BM58" s="1">
        <v>45610.770937280089</v>
      </c>
    </row>
    <row r="59" spans="1:65" ht="13.5" customHeight="1" x14ac:dyDescent="0.35">
      <c r="A59" t="s">
        <v>655</v>
      </c>
      <c r="B59" s="2" t="s">
        <v>334</v>
      </c>
      <c r="C59" s="2" t="s">
        <v>335</v>
      </c>
      <c r="D59" s="5">
        <v>5</v>
      </c>
      <c r="E59" s="5">
        <v>5</v>
      </c>
      <c r="F59" s="5">
        <v>3</v>
      </c>
      <c r="G59" s="5">
        <v>5</v>
      </c>
      <c r="H59" s="5">
        <v>4</v>
      </c>
      <c r="I59" s="5">
        <v>5</v>
      </c>
      <c r="J59" s="5">
        <v>4</v>
      </c>
      <c r="K59" s="5">
        <v>3</v>
      </c>
      <c r="L59" s="5">
        <v>3</v>
      </c>
      <c r="M59" s="5">
        <v>5</v>
      </c>
      <c r="N59" s="5">
        <v>3</v>
      </c>
      <c r="O59" s="5">
        <v>5</v>
      </c>
      <c r="P59" s="5">
        <v>4</v>
      </c>
      <c r="Q59" s="5">
        <v>3</v>
      </c>
      <c r="R59" s="5">
        <v>5</v>
      </c>
      <c r="S59" s="5">
        <v>4</v>
      </c>
      <c r="T59" s="5">
        <v>5</v>
      </c>
      <c r="U59" s="5">
        <v>3</v>
      </c>
      <c r="V59" s="5">
        <v>3</v>
      </c>
      <c r="W59" s="5">
        <v>1</v>
      </c>
      <c r="X59" s="5">
        <v>5</v>
      </c>
      <c r="Y59" s="5">
        <v>1</v>
      </c>
      <c r="Z59" s="5">
        <v>4</v>
      </c>
      <c r="AA59" s="5">
        <v>3</v>
      </c>
      <c r="AB59" s="5">
        <v>3</v>
      </c>
      <c r="AC59" s="5">
        <v>5</v>
      </c>
      <c r="AD59" s="5">
        <v>5</v>
      </c>
      <c r="AE59" s="5">
        <v>4</v>
      </c>
      <c r="AF59" s="5">
        <v>5</v>
      </c>
      <c r="AG59" s="5">
        <v>4</v>
      </c>
      <c r="AH59" s="5">
        <v>1</v>
      </c>
      <c r="AI59" s="5">
        <v>5</v>
      </c>
      <c r="AJ59" s="5">
        <v>5</v>
      </c>
      <c r="AK59" s="5">
        <v>2</v>
      </c>
      <c r="AL59" s="5">
        <v>5</v>
      </c>
      <c r="AM59" s="5">
        <v>2</v>
      </c>
      <c r="AN59" s="5">
        <v>5</v>
      </c>
      <c r="AO59" s="5">
        <v>5</v>
      </c>
      <c r="AP59" s="5">
        <v>2</v>
      </c>
      <c r="AQ59" s="5">
        <v>5</v>
      </c>
      <c r="AR59" s="5">
        <v>1</v>
      </c>
      <c r="AS59" s="5">
        <v>5</v>
      </c>
      <c r="AT59" s="5">
        <v>4</v>
      </c>
      <c r="AU59" s="5">
        <v>3</v>
      </c>
      <c r="AV59" s="5">
        <v>5</v>
      </c>
      <c r="AW59" s="5">
        <v>3</v>
      </c>
      <c r="AX59" s="5">
        <v>3</v>
      </c>
      <c r="AY59" s="5">
        <v>5</v>
      </c>
      <c r="AZ59" s="5">
        <v>3</v>
      </c>
      <c r="BA59" s="5">
        <v>5</v>
      </c>
      <c r="BB59" s="5">
        <v>4</v>
      </c>
      <c r="BC59" s="5">
        <v>1</v>
      </c>
      <c r="BD59" s="5">
        <v>5</v>
      </c>
      <c r="BE59" s="5">
        <v>3</v>
      </c>
      <c r="BF59" s="5">
        <v>3</v>
      </c>
      <c r="BG59" s="5">
        <v>5</v>
      </c>
      <c r="BH59" s="5">
        <v>5</v>
      </c>
      <c r="BI59" s="5">
        <v>3</v>
      </c>
      <c r="BJ59" s="5">
        <v>5</v>
      </c>
      <c r="BK59" s="5">
        <v>4</v>
      </c>
      <c r="BL59" s="2" t="s">
        <v>336</v>
      </c>
      <c r="BM59" s="1">
        <v>45610.768877812501</v>
      </c>
    </row>
    <row r="60" spans="1:65" ht="13.5" customHeight="1" x14ac:dyDescent="0.35">
      <c r="A60" t="s">
        <v>656</v>
      </c>
      <c r="B60" s="2" t="s">
        <v>319</v>
      </c>
      <c r="C60" s="2" t="s">
        <v>320</v>
      </c>
      <c r="D60" s="5">
        <v>5</v>
      </c>
      <c r="E60" s="5">
        <v>4</v>
      </c>
      <c r="F60" s="5">
        <v>4</v>
      </c>
      <c r="G60" s="5">
        <v>5</v>
      </c>
      <c r="H60" s="5">
        <v>5</v>
      </c>
      <c r="I60" s="5">
        <v>5</v>
      </c>
      <c r="J60" s="5">
        <v>5</v>
      </c>
      <c r="K60" s="5">
        <v>4</v>
      </c>
      <c r="L60" s="5">
        <v>4</v>
      </c>
      <c r="M60" s="5">
        <v>4</v>
      </c>
      <c r="N60" s="5">
        <v>5</v>
      </c>
      <c r="O60" s="5">
        <v>5</v>
      </c>
      <c r="P60" s="5">
        <v>5</v>
      </c>
      <c r="Q60" s="5">
        <v>5</v>
      </c>
      <c r="R60" s="5">
        <v>1</v>
      </c>
      <c r="S60" s="5">
        <v>4</v>
      </c>
      <c r="T60" s="5">
        <v>2</v>
      </c>
      <c r="U60" s="5">
        <v>1</v>
      </c>
      <c r="V60" s="5">
        <v>5</v>
      </c>
      <c r="W60" s="5">
        <v>5</v>
      </c>
      <c r="X60" s="5">
        <v>1</v>
      </c>
      <c r="Y60" s="5">
        <v>1</v>
      </c>
      <c r="Z60" s="5">
        <v>1</v>
      </c>
      <c r="AA60" s="5">
        <v>5</v>
      </c>
      <c r="AB60" s="5">
        <v>1</v>
      </c>
      <c r="AC60" s="5">
        <v>3</v>
      </c>
      <c r="AD60" s="5">
        <v>5</v>
      </c>
      <c r="AE60" s="5">
        <v>5</v>
      </c>
      <c r="AF60" s="5">
        <v>2</v>
      </c>
      <c r="AG60" s="5">
        <v>4</v>
      </c>
      <c r="AH60" s="5">
        <v>4</v>
      </c>
      <c r="AI60" s="5">
        <v>4</v>
      </c>
      <c r="AJ60" s="5">
        <v>3</v>
      </c>
      <c r="AK60" s="5">
        <v>1</v>
      </c>
      <c r="AL60" s="5">
        <v>5</v>
      </c>
      <c r="AM60" s="5">
        <v>5</v>
      </c>
      <c r="AN60" s="5">
        <v>5</v>
      </c>
      <c r="AO60" s="5">
        <v>5</v>
      </c>
      <c r="AP60" s="5">
        <v>5</v>
      </c>
      <c r="AQ60" s="5">
        <v>5</v>
      </c>
      <c r="AR60" s="5">
        <v>5</v>
      </c>
      <c r="AS60" s="5">
        <v>5</v>
      </c>
      <c r="AT60" s="5">
        <v>5</v>
      </c>
      <c r="AU60" s="5">
        <v>3</v>
      </c>
      <c r="AV60" s="5">
        <v>5</v>
      </c>
      <c r="AW60" s="5">
        <v>3</v>
      </c>
      <c r="AX60" s="5">
        <v>5</v>
      </c>
      <c r="AY60" s="5">
        <v>5</v>
      </c>
      <c r="AZ60" s="5">
        <v>5</v>
      </c>
      <c r="BA60" s="5">
        <v>5</v>
      </c>
      <c r="BB60" s="5">
        <v>1</v>
      </c>
      <c r="BC60" s="5">
        <v>1</v>
      </c>
      <c r="BD60" s="5">
        <v>2</v>
      </c>
      <c r="BE60" s="5">
        <v>5</v>
      </c>
      <c r="BF60" s="5">
        <v>5</v>
      </c>
      <c r="BG60" s="5">
        <v>1</v>
      </c>
      <c r="BH60" s="5">
        <v>1</v>
      </c>
      <c r="BI60" s="5">
        <v>1</v>
      </c>
      <c r="BJ60" s="5">
        <v>5</v>
      </c>
      <c r="BK60" s="5">
        <v>5</v>
      </c>
      <c r="BL60" s="2" t="s">
        <v>321</v>
      </c>
      <c r="BM60" s="1">
        <v>45610.762267013888</v>
      </c>
    </row>
    <row r="61" spans="1:65" ht="13.5" customHeight="1" x14ac:dyDescent="0.35">
      <c r="A61" t="s">
        <v>657</v>
      </c>
      <c r="B61" s="2" t="s">
        <v>344</v>
      </c>
      <c r="C61" s="2" t="s">
        <v>345</v>
      </c>
      <c r="D61" s="5">
        <v>5</v>
      </c>
      <c r="E61" s="5">
        <v>5</v>
      </c>
      <c r="F61" s="5">
        <v>3</v>
      </c>
      <c r="G61" s="5">
        <v>4</v>
      </c>
      <c r="H61" s="5">
        <v>3</v>
      </c>
      <c r="I61" s="5">
        <v>4</v>
      </c>
      <c r="J61" s="5">
        <v>3</v>
      </c>
      <c r="K61" s="5">
        <v>3</v>
      </c>
      <c r="L61" s="5">
        <v>2</v>
      </c>
      <c r="M61" s="5">
        <v>4</v>
      </c>
      <c r="N61" s="5">
        <v>2</v>
      </c>
      <c r="O61" s="5">
        <v>3</v>
      </c>
      <c r="P61" s="5">
        <v>3</v>
      </c>
      <c r="Q61" s="5">
        <v>3</v>
      </c>
      <c r="R61" s="5">
        <v>5</v>
      </c>
      <c r="S61" s="5">
        <v>2</v>
      </c>
      <c r="T61" s="5">
        <v>4</v>
      </c>
      <c r="U61" s="5">
        <v>2</v>
      </c>
      <c r="V61" s="5">
        <v>3</v>
      </c>
      <c r="W61" s="5">
        <v>2</v>
      </c>
      <c r="X61" s="5">
        <v>5</v>
      </c>
      <c r="Y61" s="5">
        <v>3</v>
      </c>
      <c r="Z61" s="5">
        <v>4</v>
      </c>
      <c r="AA61" s="5">
        <v>3</v>
      </c>
      <c r="AB61" s="5">
        <v>3</v>
      </c>
      <c r="AC61" s="5">
        <v>3</v>
      </c>
      <c r="AD61" s="5">
        <v>3</v>
      </c>
      <c r="AE61" s="5">
        <v>2</v>
      </c>
      <c r="AF61" s="5">
        <v>2</v>
      </c>
      <c r="AG61" s="5">
        <v>4</v>
      </c>
      <c r="AH61" s="5">
        <v>2</v>
      </c>
      <c r="AI61" s="5">
        <v>3</v>
      </c>
      <c r="AJ61" s="5">
        <v>3</v>
      </c>
      <c r="AK61" s="5">
        <v>2</v>
      </c>
      <c r="AL61" s="5">
        <v>4</v>
      </c>
      <c r="AM61" s="5">
        <v>2</v>
      </c>
      <c r="AN61" s="5">
        <v>4</v>
      </c>
      <c r="AO61" s="5">
        <v>2</v>
      </c>
      <c r="AP61" s="5">
        <v>2</v>
      </c>
      <c r="AQ61" s="5">
        <v>3</v>
      </c>
      <c r="AR61" s="5">
        <v>2</v>
      </c>
      <c r="AS61" s="5">
        <v>3</v>
      </c>
      <c r="AT61" s="5">
        <v>3</v>
      </c>
      <c r="AU61" s="5">
        <v>2</v>
      </c>
      <c r="AV61" s="5">
        <v>5</v>
      </c>
      <c r="AW61" s="5">
        <v>3</v>
      </c>
      <c r="AX61" s="5">
        <v>2</v>
      </c>
      <c r="AY61" s="5">
        <v>4</v>
      </c>
      <c r="AZ61" s="5">
        <v>3</v>
      </c>
      <c r="BA61" s="5">
        <v>2</v>
      </c>
      <c r="BB61" s="5">
        <v>3</v>
      </c>
      <c r="BC61" s="5">
        <v>1</v>
      </c>
      <c r="BD61" s="5">
        <v>4</v>
      </c>
      <c r="BE61" s="5">
        <v>2</v>
      </c>
      <c r="BF61" s="5">
        <v>3</v>
      </c>
      <c r="BG61" s="5">
        <v>2</v>
      </c>
      <c r="BH61" s="5">
        <v>4</v>
      </c>
      <c r="BI61" s="5">
        <v>2</v>
      </c>
      <c r="BJ61" s="5">
        <v>3</v>
      </c>
      <c r="BK61" s="5">
        <v>3</v>
      </c>
      <c r="BL61" s="2" t="s">
        <v>346</v>
      </c>
      <c r="BM61" s="1">
        <v>45610.783858888892</v>
      </c>
    </row>
    <row r="62" spans="1:65" ht="13.5" customHeight="1" x14ac:dyDescent="0.35">
      <c r="A62" t="s">
        <v>658</v>
      </c>
      <c r="B62" s="2" t="s">
        <v>349</v>
      </c>
      <c r="C62" s="2" t="s">
        <v>350</v>
      </c>
      <c r="D62" s="5">
        <v>4</v>
      </c>
      <c r="E62" s="5">
        <v>1</v>
      </c>
      <c r="F62" s="5">
        <v>4</v>
      </c>
      <c r="G62" s="5">
        <v>3</v>
      </c>
      <c r="H62" s="5">
        <v>4</v>
      </c>
      <c r="I62" s="5">
        <v>4</v>
      </c>
      <c r="J62" s="5">
        <v>5</v>
      </c>
      <c r="K62" s="5">
        <v>3</v>
      </c>
      <c r="L62" s="5">
        <v>2</v>
      </c>
      <c r="M62" s="5">
        <v>3</v>
      </c>
      <c r="N62" s="5">
        <v>3</v>
      </c>
      <c r="O62" s="5">
        <v>3</v>
      </c>
      <c r="P62" s="5">
        <v>5</v>
      </c>
      <c r="Q62" s="5">
        <v>3</v>
      </c>
      <c r="R62" s="5">
        <v>5</v>
      </c>
      <c r="S62" s="5">
        <v>5</v>
      </c>
      <c r="T62" s="5">
        <v>1</v>
      </c>
      <c r="U62" s="5">
        <v>2</v>
      </c>
      <c r="V62" s="5">
        <v>5</v>
      </c>
      <c r="W62" s="5">
        <v>1</v>
      </c>
      <c r="X62" s="5">
        <v>1</v>
      </c>
      <c r="Y62" s="5">
        <v>2</v>
      </c>
      <c r="Z62" s="5">
        <v>5</v>
      </c>
      <c r="AA62" s="5">
        <v>1</v>
      </c>
      <c r="AB62" s="5">
        <v>4</v>
      </c>
      <c r="AC62" s="5">
        <v>1</v>
      </c>
      <c r="AD62" s="5">
        <v>3</v>
      </c>
      <c r="AE62" s="5">
        <v>4</v>
      </c>
      <c r="AF62" s="5">
        <v>5</v>
      </c>
      <c r="AG62" s="5">
        <v>5</v>
      </c>
      <c r="AH62" s="5">
        <v>3</v>
      </c>
      <c r="AI62" s="5">
        <v>4</v>
      </c>
      <c r="AJ62" s="5">
        <v>5</v>
      </c>
      <c r="AK62" s="5">
        <v>5</v>
      </c>
      <c r="AL62" s="5">
        <v>4</v>
      </c>
      <c r="AM62" s="5">
        <v>1</v>
      </c>
      <c r="AN62" s="5">
        <v>4</v>
      </c>
      <c r="AO62" s="5">
        <v>4</v>
      </c>
      <c r="AP62" s="5">
        <v>4</v>
      </c>
      <c r="AQ62" s="5">
        <v>4</v>
      </c>
      <c r="AR62" s="5">
        <v>2</v>
      </c>
      <c r="AS62" s="5">
        <v>4</v>
      </c>
      <c r="AT62" s="5">
        <v>5</v>
      </c>
      <c r="AU62" s="5">
        <v>5</v>
      </c>
      <c r="AV62" s="5">
        <v>5</v>
      </c>
      <c r="AW62" s="5">
        <v>3</v>
      </c>
      <c r="AX62" s="5">
        <v>5</v>
      </c>
      <c r="AY62" s="5">
        <v>1</v>
      </c>
      <c r="AZ62" s="5">
        <v>3</v>
      </c>
      <c r="BA62" s="5">
        <v>4</v>
      </c>
      <c r="BB62" s="5">
        <v>5</v>
      </c>
      <c r="BC62" s="5">
        <v>1</v>
      </c>
      <c r="BD62" s="5">
        <v>5</v>
      </c>
      <c r="BE62" s="5">
        <v>5</v>
      </c>
      <c r="BF62" s="5">
        <v>5</v>
      </c>
      <c r="BG62" s="5">
        <v>2</v>
      </c>
      <c r="BH62" s="5">
        <v>2</v>
      </c>
      <c r="BI62" s="5">
        <v>5</v>
      </c>
      <c r="BJ62" s="5">
        <v>4</v>
      </c>
      <c r="BK62" s="5">
        <v>5</v>
      </c>
      <c r="BL62" s="2" t="s">
        <v>351</v>
      </c>
      <c r="BM62" s="1">
        <v>45613.677668263888</v>
      </c>
    </row>
    <row r="63" spans="1:65" ht="13.5" customHeight="1" x14ac:dyDescent="0.35">
      <c r="A63" t="s">
        <v>659</v>
      </c>
      <c r="B63" s="2" t="s">
        <v>354</v>
      </c>
      <c r="C63" s="2" t="s">
        <v>355</v>
      </c>
      <c r="D63" s="5">
        <v>4</v>
      </c>
      <c r="E63" s="5">
        <v>5</v>
      </c>
      <c r="F63" s="5">
        <v>4</v>
      </c>
      <c r="G63" s="5">
        <v>3</v>
      </c>
      <c r="H63" s="5">
        <v>3</v>
      </c>
      <c r="I63" s="5">
        <v>5</v>
      </c>
      <c r="J63" s="5">
        <v>2</v>
      </c>
      <c r="K63" s="5">
        <v>4</v>
      </c>
      <c r="L63" s="5">
        <v>2</v>
      </c>
      <c r="M63" s="5">
        <v>4</v>
      </c>
      <c r="N63" s="5">
        <v>3</v>
      </c>
      <c r="O63" s="5">
        <v>2</v>
      </c>
      <c r="P63" s="5">
        <v>2</v>
      </c>
      <c r="Q63" s="5">
        <v>5</v>
      </c>
      <c r="R63" s="5">
        <v>5</v>
      </c>
      <c r="S63" s="5">
        <v>3</v>
      </c>
      <c r="T63" s="5">
        <v>3</v>
      </c>
      <c r="U63" s="5">
        <v>2</v>
      </c>
      <c r="V63" s="5">
        <v>2</v>
      </c>
      <c r="W63" s="5">
        <v>1</v>
      </c>
      <c r="X63" s="5">
        <v>5</v>
      </c>
      <c r="Y63" s="5">
        <v>4</v>
      </c>
      <c r="Z63" s="5">
        <v>3</v>
      </c>
      <c r="AA63" s="5">
        <v>5</v>
      </c>
      <c r="AB63" s="5">
        <v>2</v>
      </c>
      <c r="AC63" s="5">
        <v>4</v>
      </c>
      <c r="AD63" s="5">
        <v>5</v>
      </c>
      <c r="AE63" s="5">
        <v>2</v>
      </c>
      <c r="AF63" s="5">
        <v>2</v>
      </c>
      <c r="AG63" s="5">
        <v>4</v>
      </c>
      <c r="AH63" s="5">
        <v>4</v>
      </c>
      <c r="AI63" s="5">
        <v>5</v>
      </c>
      <c r="AJ63" s="5">
        <v>3</v>
      </c>
      <c r="AK63" s="5">
        <v>2</v>
      </c>
      <c r="AL63" s="5">
        <v>3</v>
      </c>
      <c r="AM63" s="5">
        <v>4</v>
      </c>
      <c r="AN63" s="5">
        <v>5</v>
      </c>
      <c r="AO63" s="5">
        <v>2</v>
      </c>
      <c r="AP63" s="5">
        <v>2</v>
      </c>
      <c r="AQ63" s="5">
        <v>3</v>
      </c>
      <c r="AR63" s="5">
        <v>4</v>
      </c>
      <c r="AS63" s="5">
        <v>5</v>
      </c>
      <c r="AT63" s="5">
        <v>2</v>
      </c>
      <c r="AU63" s="5">
        <v>2</v>
      </c>
      <c r="AV63" s="5">
        <v>3</v>
      </c>
      <c r="AW63" s="5">
        <v>2</v>
      </c>
      <c r="AX63" s="5">
        <v>4</v>
      </c>
      <c r="AY63" s="5">
        <v>5</v>
      </c>
      <c r="AZ63" s="5">
        <v>4</v>
      </c>
      <c r="BA63" s="5">
        <v>4</v>
      </c>
      <c r="BB63" s="5">
        <v>1</v>
      </c>
      <c r="BC63" s="5">
        <v>2</v>
      </c>
      <c r="BD63" s="5">
        <v>2</v>
      </c>
      <c r="BE63" s="5">
        <v>1</v>
      </c>
      <c r="BF63" s="5">
        <v>3</v>
      </c>
      <c r="BG63" s="5">
        <v>4</v>
      </c>
      <c r="BH63" s="5">
        <v>3</v>
      </c>
      <c r="BI63" s="5">
        <v>3</v>
      </c>
      <c r="BJ63" s="5">
        <v>4</v>
      </c>
      <c r="BK63" s="5">
        <v>4</v>
      </c>
      <c r="BL63" s="2" t="s">
        <v>356</v>
      </c>
      <c r="BM63" s="1">
        <v>45613.689371319444</v>
      </c>
    </row>
    <row r="64" spans="1:65" ht="13.5" customHeight="1" x14ac:dyDescent="0.35">
      <c r="A64" t="s">
        <v>660</v>
      </c>
      <c r="B64" s="2" t="s">
        <v>379</v>
      </c>
      <c r="C64" s="2" t="s">
        <v>380</v>
      </c>
      <c r="D64" s="5">
        <v>3</v>
      </c>
      <c r="E64" s="5">
        <v>3</v>
      </c>
      <c r="F64" s="5">
        <v>1</v>
      </c>
      <c r="G64" s="5">
        <v>2</v>
      </c>
      <c r="H64" s="5">
        <v>5</v>
      </c>
      <c r="I64" s="5">
        <v>1</v>
      </c>
      <c r="J64" s="5">
        <v>5</v>
      </c>
      <c r="K64" s="5">
        <v>1</v>
      </c>
      <c r="L64" s="5">
        <v>3</v>
      </c>
      <c r="M64" s="5">
        <v>3</v>
      </c>
      <c r="N64" s="5">
        <v>3</v>
      </c>
      <c r="O64" s="5">
        <v>3</v>
      </c>
      <c r="P64" s="5">
        <v>4</v>
      </c>
      <c r="Q64" s="5">
        <v>1</v>
      </c>
      <c r="R64" s="5">
        <v>5</v>
      </c>
      <c r="S64" s="5">
        <v>1</v>
      </c>
      <c r="T64" s="5">
        <v>5</v>
      </c>
      <c r="U64" s="5">
        <v>4</v>
      </c>
      <c r="V64" s="5">
        <v>2</v>
      </c>
      <c r="W64" s="5">
        <v>5</v>
      </c>
      <c r="X64" s="5">
        <v>5</v>
      </c>
      <c r="Y64" s="5">
        <v>3</v>
      </c>
      <c r="Z64" s="5">
        <v>5</v>
      </c>
      <c r="AA64" s="5">
        <v>1</v>
      </c>
      <c r="AB64" s="5">
        <v>2</v>
      </c>
      <c r="AC64" s="5">
        <v>1</v>
      </c>
      <c r="AD64" s="5">
        <v>2</v>
      </c>
      <c r="AE64" s="5">
        <v>5</v>
      </c>
      <c r="AF64" s="5">
        <v>5</v>
      </c>
      <c r="AG64" s="5">
        <v>3</v>
      </c>
      <c r="AH64" s="5">
        <v>2</v>
      </c>
      <c r="AI64" s="5">
        <v>4</v>
      </c>
      <c r="AJ64" s="5">
        <v>5</v>
      </c>
      <c r="AK64" s="5">
        <v>5</v>
      </c>
      <c r="AL64" s="5">
        <v>4</v>
      </c>
      <c r="AM64" s="5">
        <v>1</v>
      </c>
      <c r="AN64" s="5">
        <v>2</v>
      </c>
      <c r="AO64" s="5">
        <v>5</v>
      </c>
      <c r="AP64" s="5">
        <v>5</v>
      </c>
      <c r="AQ64" s="5">
        <v>3</v>
      </c>
      <c r="AR64" s="5">
        <v>1</v>
      </c>
      <c r="AS64" s="5">
        <v>2</v>
      </c>
      <c r="AT64" s="5">
        <v>5</v>
      </c>
      <c r="AU64" s="5">
        <v>4</v>
      </c>
      <c r="AV64" s="5">
        <v>3</v>
      </c>
      <c r="AW64" s="5">
        <v>1</v>
      </c>
      <c r="AX64" s="5">
        <v>3</v>
      </c>
      <c r="AY64" s="5">
        <v>4</v>
      </c>
      <c r="AZ64" s="5">
        <v>4</v>
      </c>
      <c r="BA64" s="5">
        <v>2</v>
      </c>
      <c r="BB64" s="5">
        <v>5</v>
      </c>
      <c r="BC64" s="5">
        <v>4</v>
      </c>
      <c r="BD64" s="5">
        <v>3</v>
      </c>
      <c r="BE64" s="5">
        <v>3</v>
      </c>
      <c r="BF64" s="5">
        <v>5</v>
      </c>
      <c r="BG64" s="5">
        <v>1</v>
      </c>
      <c r="BH64" s="5">
        <v>2</v>
      </c>
      <c r="BI64" s="5">
        <v>5</v>
      </c>
      <c r="BJ64" s="5">
        <v>3</v>
      </c>
      <c r="BK64" s="5">
        <v>5</v>
      </c>
      <c r="BL64" s="2" t="s">
        <v>381</v>
      </c>
      <c r="BM64" s="1">
        <v>45842.900713182869</v>
      </c>
    </row>
    <row r="65" spans="1:65" ht="13.5" customHeight="1" x14ac:dyDescent="0.35">
      <c r="A65" t="s">
        <v>661</v>
      </c>
      <c r="B65" s="2" t="s">
        <v>359</v>
      </c>
      <c r="C65" s="2" t="s">
        <v>360</v>
      </c>
      <c r="D65" s="5">
        <v>4</v>
      </c>
      <c r="E65" s="5">
        <v>3</v>
      </c>
      <c r="F65" s="5">
        <v>2</v>
      </c>
      <c r="G65" s="5">
        <v>4</v>
      </c>
      <c r="H65" s="5">
        <v>4</v>
      </c>
      <c r="I65" s="5">
        <v>4</v>
      </c>
      <c r="J65" s="5">
        <v>4</v>
      </c>
      <c r="K65" s="5">
        <v>4</v>
      </c>
      <c r="L65" s="5">
        <v>4</v>
      </c>
      <c r="M65" s="5">
        <v>4</v>
      </c>
      <c r="N65" s="5">
        <v>4</v>
      </c>
      <c r="O65" s="5">
        <v>4</v>
      </c>
      <c r="P65" s="5">
        <v>4</v>
      </c>
      <c r="Q65" s="5">
        <v>4</v>
      </c>
      <c r="R65" s="5">
        <v>5</v>
      </c>
      <c r="S65" s="5">
        <v>4</v>
      </c>
      <c r="T65" s="5">
        <v>2</v>
      </c>
      <c r="U65" s="5">
        <v>5</v>
      </c>
      <c r="V65" s="5">
        <v>4</v>
      </c>
      <c r="W65" s="5">
        <v>4</v>
      </c>
      <c r="X65" s="5">
        <v>2</v>
      </c>
      <c r="Y65" s="5">
        <v>2</v>
      </c>
      <c r="Z65" s="5">
        <v>3</v>
      </c>
      <c r="AA65" s="5">
        <v>1</v>
      </c>
      <c r="AB65" s="5">
        <v>2</v>
      </c>
      <c r="AC65" s="5">
        <v>3</v>
      </c>
      <c r="AD65" s="5">
        <v>3</v>
      </c>
      <c r="AE65" s="5">
        <v>2</v>
      </c>
      <c r="AF65" s="5">
        <v>2</v>
      </c>
      <c r="AG65" s="5">
        <v>5</v>
      </c>
      <c r="AH65" s="5">
        <v>1</v>
      </c>
      <c r="AI65" s="5">
        <v>5</v>
      </c>
      <c r="AJ65" s="5">
        <v>5</v>
      </c>
      <c r="AK65" s="5">
        <v>1</v>
      </c>
      <c r="AL65" s="5">
        <v>5</v>
      </c>
      <c r="AM65" s="5">
        <v>1</v>
      </c>
      <c r="AN65" s="5">
        <v>5</v>
      </c>
      <c r="AO65" s="5">
        <v>5</v>
      </c>
      <c r="AP65" s="5">
        <v>1</v>
      </c>
      <c r="AQ65" s="5">
        <v>4</v>
      </c>
      <c r="AR65" s="5">
        <v>4</v>
      </c>
      <c r="AS65" s="5">
        <v>4</v>
      </c>
      <c r="AT65" s="5">
        <v>4</v>
      </c>
      <c r="AU65" s="5">
        <v>4</v>
      </c>
      <c r="AV65" s="5">
        <v>4</v>
      </c>
      <c r="AW65" s="5">
        <v>2</v>
      </c>
      <c r="AX65" s="5">
        <v>3</v>
      </c>
      <c r="AY65" s="5">
        <v>4</v>
      </c>
      <c r="AZ65" s="5">
        <v>4</v>
      </c>
      <c r="BA65" s="5">
        <v>5</v>
      </c>
      <c r="BB65" s="5">
        <v>1</v>
      </c>
      <c r="BC65" s="5">
        <v>2</v>
      </c>
      <c r="BD65" s="5">
        <v>2</v>
      </c>
      <c r="BE65" s="5">
        <v>5</v>
      </c>
      <c r="BF65" s="5">
        <v>4</v>
      </c>
      <c r="BG65" s="5">
        <v>2</v>
      </c>
      <c r="BH65" s="5">
        <v>2</v>
      </c>
      <c r="BI65" s="5">
        <v>2</v>
      </c>
      <c r="BJ65" s="5">
        <v>5</v>
      </c>
      <c r="BK65" s="5">
        <v>4</v>
      </c>
      <c r="BL65" s="2" t="s">
        <v>361</v>
      </c>
      <c r="BM65" s="1">
        <v>45842.898741805555</v>
      </c>
    </row>
    <row r="66" spans="1:65" ht="13.5" customHeight="1" x14ac:dyDescent="0.35">
      <c r="A66" t="s">
        <v>662</v>
      </c>
      <c r="B66" s="2" t="s">
        <v>405</v>
      </c>
      <c r="C66" s="2" t="s">
        <v>406</v>
      </c>
      <c r="D66" s="5">
        <v>4</v>
      </c>
      <c r="E66" s="5">
        <v>3</v>
      </c>
      <c r="F66" s="5">
        <v>3</v>
      </c>
      <c r="G66" s="5">
        <v>4</v>
      </c>
      <c r="H66" s="5">
        <v>3</v>
      </c>
      <c r="I66" s="5">
        <v>4</v>
      </c>
      <c r="J66" s="5">
        <v>2</v>
      </c>
      <c r="K66" s="5">
        <v>3</v>
      </c>
      <c r="L66" s="5">
        <v>1</v>
      </c>
      <c r="M66" s="5">
        <v>3</v>
      </c>
      <c r="N66" s="5">
        <v>2</v>
      </c>
      <c r="O66" s="5">
        <v>3</v>
      </c>
      <c r="P66" s="5">
        <v>2</v>
      </c>
      <c r="Q66" s="5">
        <v>3</v>
      </c>
      <c r="R66" s="5">
        <v>5</v>
      </c>
      <c r="S66" s="5">
        <v>1</v>
      </c>
      <c r="T66" s="5">
        <v>5</v>
      </c>
      <c r="U66" s="5">
        <v>1</v>
      </c>
      <c r="V66" s="5">
        <v>3</v>
      </c>
      <c r="W66" s="5">
        <v>2</v>
      </c>
      <c r="X66" s="5">
        <v>5</v>
      </c>
      <c r="Y66" s="5">
        <v>4</v>
      </c>
      <c r="Z66" s="5">
        <v>4</v>
      </c>
      <c r="AA66" s="5">
        <v>2</v>
      </c>
      <c r="AB66" s="5">
        <v>1</v>
      </c>
      <c r="AC66" s="5">
        <v>3</v>
      </c>
      <c r="AD66" s="5">
        <v>4</v>
      </c>
      <c r="AE66" s="5">
        <v>3</v>
      </c>
      <c r="AF66" s="5">
        <v>2</v>
      </c>
      <c r="AG66" s="5">
        <v>1</v>
      </c>
      <c r="AH66" s="5">
        <v>2</v>
      </c>
      <c r="AI66" s="5">
        <v>4</v>
      </c>
      <c r="AJ66" s="5">
        <v>3</v>
      </c>
      <c r="AK66" s="5">
        <v>2</v>
      </c>
      <c r="AL66" s="5">
        <v>3</v>
      </c>
      <c r="AM66" s="5">
        <v>2</v>
      </c>
      <c r="AN66" s="5">
        <v>2</v>
      </c>
      <c r="AO66" s="5">
        <v>3</v>
      </c>
      <c r="AP66" s="5">
        <v>2</v>
      </c>
      <c r="AQ66" s="5">
        <v>3</v>
      </c>
      <c r="AR66" s="5">
        <v>1</v>
      </c>
      <c r="AS66" s="5">
        <v>4</v>
      </c>
      <c r="AT66" s="5">
        <v>3</v>
      </c>
      <c r="AU66" s="5">
        <v>2</v>
      </c>
      <c r="AV66" s="5">
        <v>3</v>
      </c>
      <c r="AW66" s="5">
        <v>3</v>
      </c>
      <c r="AX66" s="5">
        <v>2</v>
      </c>
      <c r="AY66" s="5">
        <v>3</v>
      </c>
      <c r="AZ66" s="5">
        <v>2</v>
      </c>
      <c r="BA66" s="5">
        <v>3</v>
      </c>
      <c r="BB66" s="5">
        <v>4</v>
      </c>
      <c r="BC66" s="5">
        <v>2</v>
      </c>
      <c r="BD66" s="5">
        <v>4</v>
      </c>
      <c r="BE66" s="5">
        <v>2</v>
      </c>
      <c r="BF66" s="5">
        <v>5</v>
      </c>
      <c r="BG66" s="5">
        <v>2</v>
      </c>
      <c r="BH66" s="5">
        <v>3</v>
      </c>
      <c r="BI66" s="5">
        <v>1</v>
      </c>
      <c r="BJ66" s="5">
        <v>4</v>
      </c>
      <c r="BK66" s="5">
        <v>5</v>
      </c>
      <c r="BL66" s="2" t="s">
        <v>407</v>
      </c>
      <c r="BM66" s="1">
        <v>45842.903068263891</v>
      </c>
    </row>
    <row r="67" spans="1:65" ht="13.5" customHeight="1" x14ac:dyDescent="0.35">
      <c r="A67" t="s">
        <v>663</v>
      </c>
      <c r="B67" s="2" t="s">
        <v>395</v>
      </c>
      <c r="C67" s="2" t="s">
        <v>396</v>
      </c>
      <c r="D67" s="5">
        <v>4</v>
      </c>
      <c r="E67" s="5">
        <v>4</v>
      </c>
      <c r="F67" s="5">
        <v>5</v>
      </c>
      <c r="G67" s="5">
        <v>4</v>
      </c>
      <c r="H67" s="5">
        <v>5</v>
      </c>
      <c r="I67" s="5">
        <v>3</v>
      </c>
      <c r="J67" s="5">
        <v>4</v>
      </c>
      <c r="K67" s="5">
        <v>5</v>
      </c>
      <c r="L67" s="5">
        <v>4</v>
      </c>
      <c r="M67" s="5">
        <v>3</v>
      </c>
      <c r="N67" s="5">
        <v>4</v>
      </c>
      <c r="O67" s="5">
        <v>3</v>
      </c>
      <c r="P67" s="5">
        <v>5</v>
      </c>
      <c r="Q67" s="5">
        <v>4</v>
      </c>
      <c r="R67" s="5">
        <v>1</v>
      </c>
      <c r="S67" s="5">
        <v>4</v>
      </c>
      <c r="T67" s="5">
        <v>1</v>
      </c>
      <c r="U67" s="5">
        <v>2</v>
      </c>
      <c r="V67" s="5">
        <v>3</v>
      </c>
      <c r="W67" s="5">
        <v>2</v>
      </c>
      <c r="X67" s="5">
        <v>3</v>
      </c>
      <c r="Y67" s="5">
        <v>1</v>
      </c>
      <c r="Z67" s="5">
        <v>3</v>
      </c>
      <c r="AA67" s="5">
        <v>4</v>
      </c>
      <c r="AB67" s="5">
        <v>1</v>
      </c>
      <c r="AC67" s="5">
        <v>2</v>
      </c>
      <c r="AD67" s="5">
        <v>3</v>
      </c>
      <c r="AE67" s="5">
        <v>4</v>
      </c>
      <c r="AF67" s="5">
        <v>4</v>
      </c>
      <c r="AG67" s="5">
        <v>4</v>
      </c>
      <c r="AH67" s="5">
        <v>3</v>
      </c>
      <c r="AI67" s="5">
        <v>5</v>
      </c>
      <c r="AJ67" s="5">
        <v>3</v>
      </c>
      <c r="AK67" s="5">
        <v>3</v>
      </c>
      <c r="AL67" s="5">
        <v>3</v>
      </c>
      <c r="AM67" s="5">
        <v>3</v>
      </c>
      <c r="AN67" s="5">
        <v>4</v>
      </c>
      <c r="AO67" s="5">
        <v>5</v>
      </c>
      <c r="AP67" s="5">
        <v>3</v>
      </c>
      <c r="AQ67" s="5">
        <v>3</v>
      </c>
      <c r="AR67" s="5">
        <v>4</v>
      </c>
      <c r="AS67" s="5">
        <v>4</v>
      </c>
      <c r="AT67" s="5">
        <v>3</v>
      </c>
      <c r="AU67" s="5">
        <v>4</v>
      </c>
      <c r="AV67" s="5">
        <v>3</v>
      </c>
      <c r="AW67" s="5">
        <v>3</v>
      </c>
      <c r="AX67" s="5">
        <v>3</v>
      </c>
      <c r="AY67" s="5">
        <v>3</v>
      </c>
      <c r="AZ67" s="5">
        <v>4</v>
      </c>
      <c r="BA67" s="5">
        <v>4</v>
      </c>
      <c r="BB67" s="5">
        <v>2</v>
      </c>
      <c r="BC67" s="5">
        <v>2</v>
      </c>
      <c r="BD67" s="5">
        <v>3</v>
      </c>
      <c r="BE67" s="5">
        <v>5</v>
      </c>
      <c r="BF67" s="5">
        <v>4</v>
      </c>
      <c r="BG67" s="5">
        <v>3</v>
      </c>
      <c r="BH67" s="5">
        <v>2</v>
      </c>
      <c r="BI67" s="5">
        <v>2</v>
      </c>
      <c r="BJ67" s="5">
        <v>3</v>
      </c>
      <c r="BK67" s="5">
        <v>4</v>
      </c>
      <c r="BL67" s="2" t="s">
        <v>397</v>
      </c>
      <c r="BM67" s="1">
        <v>45842.902034375002</v>
      </c>
    </row>
    <row r="68" spans="1:65" ht="13.5" customHeight="1" x14ac:dyDescent="0.35">
      <c r="A68" t="s">
        <v>664</v>
      </c>
      <c r="B68" s="2" t="s">
        <v>384</v>
      </c>
      <c r="C68" s="2" t="s">
        <v>385</v>
      </c>
      <c r="D68" s="5">
        <v>5</v>
      </c>
      <c r="E68" s="5">
        <v>5</v>
      </c>
      <c r="F68" s="5">
        <v>1</v>
      </c>
      <c r="G68" s="5">
        <v>2</v>
      </c>
      <c r="H68" s="5">
        <v>3</v>
      </c>
      <c r="I68" s="5">
        <v>4</v>
      </c>
      <c r="J68" s="5">
        <v>5</v>
      </c>
      <c r="K68" s="5">
        <v>1</v>
      </c>
      <c r="L68" s="5">
        <v>3</v>
      </c>
      <c r="M68" s="5">
        <v>5</v>
      </c>
      <c r="N68" s="5">
        <v>5</v>
      </c>
      <c r="O68" s="5">
        <v>5</v>
      </c>
      <c r="P68" s="5">
        <v>5</v>
      </c>
      <c r="Q68" s="5">
        <v>1</v>
      </c>
      <c r="R68" s="5">
        <v>5</v>
      </c>
      <c r="S68" s="5">
        <v>1</v>
      </c>
      <c r="T68" s="5">
        <v>5</v>
      </c>
      <c r="U68" s="5">
        <v>3</v>
      </c>
      <c r="V68" s="5">
        <v>1</v>
      </c>
      <c r="W68" s="5">
        <v>5</v>
      </c>
      <c r="X68" s="5">
        <v>5</v>
      </c>
      <c r="Y68" s="5">
        <v>1</v>
      </c>
      <c r="Z68" s="5">
        <v>5</v>
      </c>
      <c r="AA68" s="5">
        <v>1</v>
      </c>
      <c r="AB68" s="5">
        <v>1</v>
      </c>
      <c r="AC68" s="5">
        <v>5</v>
      </c>
      <c r="AD68" s="5">
        <v>5</v>
      </c>
      <c r="AE68" s="5">
        <v>3</v>
      </c>
      <c r="AF68" s="5">
        <v>3</v>
      </c>
      <c r="AG68" s="5">
        <v>5</v>
      </c>
      <c r="AH68" s="5">
        <v>1</v>
      </c>
      <c r="AI68" s="5">
        <v>5</v>
      </c>
      <c r="AJ68" s="5">
        <v>5</v>
      </c>
      <c r="AK68" s="5">
        <v>3</v>
      </c>
      <c r="AL68" s="5">
        <v>5</v>
      </c>
      <c r="AM68" s="5">
        <v>1</v>
      </c>
      <c r="AN68" s="5">
        <v>5</v>
      </c>
      <c r="AO68" s="5">
        <v>4</v>
      </c>
      <c r="AP68" s="5">
        <v>3</v>
      </c>
      <c r="AQ68" s="5">
        <v>5</v>
      </c>
      <c r="AR68" s="5">
        <v>1</v>
      </c>
      <c r="AS68" s="5">
        <v>5</v>
      </c>
      <c r="AT68" s="5">
        <v>5</v>
      </c>
      <c r="AU68" s="5">
        <v>3</v>
      </c>
      <c r="AV68" s="5">
        <v>5</v>
      </c>
      <c r="AW68" s="5">
        <v>1</v>
      </c>
      <c r="AX68" s="5">
        <v>3</v>
      </c>
      <c r="AY68" s="5">
        <v>5</v>
      </c>
      <c r="AZ68" s="5">
        <v>4</v>
      </c>
      <c r="BA68" s="5">
        <v>5</v>
      </c>
      <c r="BB68" s="5">
        <v>5</v>
      </c>
      <c r="BC68" s="5">
        <v>3</v>
      </c>
      <c r="BD68" s="5">
        <v>5</v>
      </c>
      <c r="BE68" s="5">
        <v>3</v>
      </c>
      <c r="BF68" s="5">
        <v>3</v>
      </c>
      <c r="BG68" s="5">
        <v>5</v>
      </c>
      <c r="BH68" s="5">
        <v>5</v>
      </c>
      <c r="BI68" s="5">
        <v>4</v>
      </c>
      <c r="BJ68" s="5">
        <v>5</v>
      </c>
      <c r="BK68" s="5">
        <v>3</v>
      </c>
      <c r="BL68" s="2" t="s">
        <v>386</v>
      </c>
      <c r="BM68" s="1">
        <v>45842.90145662037</v>
      </c>
    </row>
    <row r="69" spans="1:65" ht="13.5" customHeight="1" x14ac:dyDescent="0.35">
      <c r="A69" t="s">
        <v>665</v>
      </c>
      <c r="B69" s="2" t="s">
        <v>374</v>
      </c>
      <c r="C69" s="2" t="s">
        <v>375</v>
      </c>
      <c r="D69" s="5">
        <v>5</v>
      </c>
      <c r="E69" s="5">
        <v>5</v>
      </c>
      <c r="F69" s="5">
        <v>2</v>
      </c>
      <c r="G69" s="5">
        <v>4</v>
      </c>
      <c r="H69" s="5">
        <v>4</v>
      </c>
      <c r="I69" s="5">
        <v>5</v>
      </c>
      <c r="J69" s="5">
        <v>5</v>
      </c>
      <c r="K69" s="5">
        <v>2</v>
      </c>
      <c r="L69" s="5">
        <v>4</v>
      </c>
      <c r="M69" s="5">
        <v>5</v>
      </c>
      <c r="N69" s="5">
        <v>4</v>
      </c>
      <c r="O69" s="5">
        <v>5</v>
      </c>
      <c r="P69" s="5">
        <v>4</v>
      </c>
      <c r="Q69" s="5">
        <v>5</v>
      </c>
      <c r="R69" s="5">
        <v>5</v>
      </c>
      <c r="S69" s="5">
        <v>2</v>
      </c>
      <c r="T69" s="5">
        <v>5</v>
      </c>
      <c r="U69" s="5">
        <v>5</v>
      </c>
      <c r="V69" s="5">
        <v>1</v>
      </c>
      <c r="W69" s="5">
        <v>4</v>
      </c>
      <c r="X69" s="5">
        <v>5</v>
      </c>
      <c r="Y69" s="5">
        <v>1</v>
      </c>
      <c r="Z69" s="5">
        <v>5</v>
      </c>
      <c r="AA69" s="5">
        <v>4</v>
      </c>
      <c r="AB69" s="5">
        <v>2</v>
      </c>
      <c r="AC69" s="5">
        <v>5</v>
      </c>
      <c r="AD69" s="5">
        <v>5</v>
      </c>
      <c r="AE69" s="5">
        <v>5</v>
      </c>
      <c r="AF69" s="5">
        <v>4</v>
      </c>
      <c r="AG69" s="5">
        <v>5</v>
      </c>
      <c r="AH69" s="5">
        <v>2</v>
      </c>
      <c r="AI69" s="5">
        <v>5</v>
      </c>
      <c r="AJ69" s="5">
        <v>5</v>
      </c>
      <c r="AK69" s="5">
        <v>3</v>
      </c>
      <c r="AL69" s="5">
        <v>4</v>
      </c>
      <c r="AM69" s="5">
        <v>2</v>
      </c>
      <c r="AN69" s="5">
        <v>5</v>
      </c>
      <c r="AO69" s="5">
        <v>5</v>
      </c>
      <c r="AP69" s="5">
        <v>4</v>
      </c>
      <c r="AQ69" s="5">
        <v>4</v>
      </c>
      <c r="AR69" s="5">
        <v>2</v>
      </c>
      <c r="AS69" s="5">
        <v>5</v>
      </c>
      <c r="AT69" s="5">
        <v>5</v>
      </c>
      <c r="AU69" s="5">
        <v>5</v>
      </c>
      <c r="AV69" s="5">
        <v>5</v>
      </c>
      <c r="AW69" s="5">
        <v>1</v>
      </c>
      <c r="AX69" s="5">
        <v>4</v>
      </c>
      <c r="AY69" s="5">
        <v>5</v>
      </c>
      <c r="AZ69" s="5">
        <v>5</v>
      </c>
      <c r="BA69" s="5">
        <v>5</v>
      </c>
      <c r="BB69" s="5">
        <v>5</v>
      </c>
      <c r="BC69" s="5">
        <v>3</v>
      </c>
      <c r="BD69" s="5">
        <v>5</v>
      </c>
      <c r="BE69" s="5">
        <v>4</v>
      </c>
      <c r="BF69" s="5">
        <v>4</v>
      </c>
      <c r="BG69" s="5">
        <v>4</v>
      </c>
      <c r="BH69" s="5">
        <v>5</v>
      </c>
      <c r="BI69" s="5">
        <v>5</v>
      </c>
      <c r="BJ69" s="5">
        <v>5</v>
      </c>
      <c r="BK69" s="5">
        <v>5</v>
      </c>
      <c r="BL69" s="2" t="s">
        <v>376</v>
      </c>
      <c r="BM69" s="1">
        <v>45842.900401377316</v>
      </c>
    </row>
    <row r="70" spans="1:65" ht="13.5" customHeight="1" x14ac:dyDescent="0.35">
      <c r="A70" t="s">
        <v>666</v>
      </c>
      <c r="B70" s="2" t="s">
        <v>364</v>
      </c>
      <c r="C70" s="2" t="s">
        <v>365</v>
      </c>
      <c r="D70" s="5">
        <v>4</v>
      </c>
      <c r="E70" s="5">
        <v>4</v>
      </c>
      <c r="F70" s="5">
        <v>1</v>
      </c>
      <c r="G70" s="5">
        <v>5</v>
      </c>
      <c r="H70" s="5">
        <v>5</v>
      </c>
      <c r="I70" s="5">
        <v>2</v>
      </c>
      <c r="J70" s="5">
        <v>5</v>
      </c>
      <c r="K70" s="5">
        <v>1</v>
      </c>
      <c r="L70" s="5">
        <v>1</v>
      </c>
      <c r="M70" s="5">
        <v>5</v>
      </c>
      <c r="N70" s="5">
        <v>5</v>
      </c>
      <c r="O70" s="5">
        <v>5</v>
      </c>
      <c r="P70" s="5">
        <v>4</v>
      </c>
      <c r="Q70" s="5">
        <v>1</v>
      </c>
      <c r="R70" s="5">
        <v>5</v>
      </c>
      <c r="S70" s="5">
        <v>1</v>
      </c>
      <c r="T70" s="5">
        <v>5</v>
      </c>
      <c r="U70" s="5">
        <v>2</v>
      </c>
      <c r="V70" s="5">
        <v>1</v>
      </c>
      <c r="W70" s="5">
        <v>5</v>
      </c>
      <c r="X70" s="5">
        <v>5</v>
      </c>
      <c r="Y70" s="5">
        <v>2</v>
      </c>
      <c r="Z70" s="5">
        <v>5</v>
      </c>
      <c r="AA70" s="5">
        <v>1</v>
      </c>
      <c r="AB70" s="5">
        <v>1</v>
      </c>
      <c r="AC70" s="5">
        <v>5</v>
      </c>
      <c r="AD70" s="5">
        <v>3</v>
      </c>
      <c r="AE70" s="5">
        <v>4</v>
      </c>
      <c r="AF70" s="5">
        <v>4</v>
      </c>
      <c r="AG70" s="5">
        <v>4</v>
      </c>
      <c r="AH70" s="5">
        <v>1</v>
      </c>
      <c r="AI70" s="5">
        <v>1</v>
      </c>
      <c r="AJ70" s="5">
        <v>5</v>
      </c>
      <c r="AK70" s="5">
        <v>2</v>
      </c>
      <c r="AL70" s="5">
        <v>3</v>
      </c>
      <c r="AM70" s="5">
        <v>1</v>
      </c>
      <c r="AN70" s="5">
        <v>1</v>
      </c>
      <c r="AO70" s="5">
        <v>5</v>
      </c>
      <c r="AP70" s="5">
        <v>1</v>
      </c>
      <c r="AQ70" s="5">
        <v>2</v>
      </c>
      <c r="AR70" s="5">
        <v>1</v>
      </c>
      <c r="AS70" s="5">
        <v>1</v>
      </c>
      <c r="AT70" s="5">
        <v>5</v>
      </c>
      <c r="AU70" s="5">
        <v>1</v>
      </c>
      <c r="AV70" s="5">
        <v>5</v>
      </c>
      <c r="AW70" s="5">
        <v>1</v>
      </c>
      <c r="AX70" s="5">
        <v>2</v>
      </c>
      <c r="AY70" s="5">
        <v>2</v>
      </c>
      <c r="AZ70" s="5">
        <v>2</v>
      </c>
      <c r="BA70" s="5">
        <v>3</v>
      </c>
      <c r="BB70" s="5">
        <v>5</v>
      </c>
      <c r="BC70" s="5">
        <v>1</v>
      </c>
      <c r="BD70" s="5">
        <v>5</v>
      </c>
      <c r="BE70" s="5">
        <v>2</v>
      </c>
      <c r="BF70" s="5">
        <v>4</v>
      </c>
      <c r="BG70" s="5">
        <v>5</v>
      </c>
      <c r="BH70" s="5">
        <v>5</v>
      </c>
      <c r="BI70" s="5">
        <v>1</v>
      </c>
      <c r="BJ70" s="5">
        <v>2</v>
      </c>
      <c r="BK70" s="5">
        <v>5</v>
      </c>
      <c r="BL70" s="2" t="s">
        <v>366</v>
      </c>
      <c r="BM70" s="1">
        <v>45842.900016886575</v>
      </c>
    </row>
    <row r="71" spans="1:65" ht="13.5" customHeight="1" x14ac:dyDescent="0.35">
      <c r="A71" t="s">
        <v>667</v>
      </c>
      <c r="B71" s="2" t="s">
        <v>400</v>
      </c>
      <c r="C71" s="2" t="s">
        <v>401</v>
      </c>
      <c r="D71" s="5">
        <v>5</v>
      </c>
      <c r="E71" s="5">
        <v>4</v>
      </c>
      <c r="F71" s="5">
        <v>4</v>
      </c>
      <c r="G71" s="5">
        <v>5</v>
      </c>
      <c r="H71" s="5">
        <v>4</v>
      </c>
      <c r="I71" s="5">
        <v>3</v>
      </c>
      <c r="J71" s="5">
        <v>3</v>
      </c>
      <c r="K71" s="5">
        <v>3</v>
      </c>
      <c r="L71" s="5">
        <v>1</v>
      </c>
      <c r="M71" s="5">
        <v>3</v>
      </c>
      <c r="N71" s="5">
        <v>2</v>
      </c>
      <c r="O71" s="5">
        <v>3</v>
      </c>
      <c r="P71" s="5">
        <v>2</v>
      </c>
      <c r="Q71" s="5">
        <v>3</v>
      </c>
      <c r="R71" s="5">
        <v>5</v>
      </c>
      <c r="S71" s="5">
        <v>4</v>
      </c>
      <c r="T71" s="5">
        <v>4</v>
      </c>
      <c r="U71" s="5">
        <v>3</v>
      </c>
      <c r="V71" s="5">
        <v>3</v>
      </c>
      <c r="W71" s="5">
        <v>3</v>
      </c>
      <c r="X71" s="5">
        <v>4</v>
      </c>
      <c r="Y71" s="5">
        <v>3</v>
      </c>
      <c r="Z71" s="5">
        <v>4</v>
      </c>
      <c r="AA71" s="5">
        <v>3</v>
      </c>
      <c r="AB71" s="5">
        <v>4</v>
      </c>
      <c r="AC71" s="5">
        <v>4</v>
      </c>
      <c r="AD71" s="5">
        <v>3</v>
      </c>
      <c r="AE71" s="5">
        <v>2</v>
      </c>
      <c r="AF71" s="5">
        <v>3</v>
      </c>
      <c r="AG71" s="5">
        <v>3</v>
      </c>
      <c r="AH71" s="5">
        <v>3</v>
      </c>
      <c r="AI71" s="5">
        <v>2</v>
      </c>
      <c r="AJ71" s="5">
        <v>4</v>
      </c>
      <c r="AK71" s="5">
        <v>3</v>
      </c>
      <c r="AL71" s="5">
        <v>2</v>
      </c>
      <c r="AM71" s="5">
        <v>2</v>
      </c>
      <c r="AN71" s="5">
        <v>3</v>
      </c>
      <c r="AO71" s="5">
        <v>3</v>
      </c>
      <c r="AP71" s="5">
        <v>2</v>
      </c>
      <c r="AQ71" s="5">
        <v>2</v>
      </c>
      <c r="AR71" s="5">
        <v>3</v>
      </c>
      <c r="AS71" s="5">
        <v>2</v>
      </c>
      <c r="AT71" s="5">
        <v>3</v>
      </c>
      <c r="AU71" s="5">
        <v>2</v>
      </c>
      <c r="AV71" s="5">
        <v>3</v>
      </c>
      <c r="AW71" s="5">
        <v>3</v>
      </c>
      <c r="AX71" s="5">
        <v>2</v>
      </c>
      <c r="AY71" s="5">
        <v>3</v>
      </c>
      <c r="AZ71" s="5">
        <v>3</v>
      </c>
      <c r="BA71" s="5">
        <v>2</v>
      </c>
      <c r="BB71" s="5">
        <v>4</v>
      </c>
      <c r="BC71" s="5">
        <v>3</v>
      </c>
      <c r="BD71" s="5">
        <v>4</v>
      </c>
      <c r="BE71" s="5">
        <v>1</v>
      </c>
      <c r="BF71" s="5">
        <v>3</v>
      </c>
      <c r="BG71" s="5">
        <v>2</v>
      </c>
      <c r="BH71" s="5">
        <v>3</v>
      </c>
      <c r="BI71" s="5">
        <v>3</v>
      </c>
      <c r="BJ71" s="5">
        <v>3</v>
      </c>
      <c r="BK71" s="5">
        <v>3</v>
      </c>
      <c r="BL71" s="2" t="s">
        <v>402</v>
      </c>
      <c r="BM71" s="1">
        <v>45842.903051354166</v>
      </c>
    </row>
    <row r="72" spans="1:65" ht="13.5" customHeight="1" x14ac:dyDescent="0.35">
      <c r="A72" t="s">
        <v>668</v>
      </c>
      <c r="B72" s="2" t="s">
        <v>369</v>
      </c>
      <c r="C72" s="2" t="s">
        <v>370</v>
      </c>
      <c r="D72" s="5">
        <v>5</v>
      </c>
      <c r="E72" s="5">
        <v>4</v>
      </c>
      <c r="F72" s="5">
        <v>2</v>
      </c>
      <c r="G72" s="5">
        <v>4</v>
      </c>
      <c r="H72" s="5">
        <v>5</v>
      </c>
      <c r="I72" s="5">
        <v>3</v>
      </c>
      <c r="J72" s="5">
        <v>3</v>
      </c>
      <c r="K72" s="5">
        <v>1</v>
      </c>
      <c r="L72" s="5">
        <v>2</v>
      </c>
      <c r="M72" s="5">
        <v>4</v>
      </c>
      <c r="N72" s="5">
        <v>4</v>
      </c>
      <c r="O72" s="5">
        <v>4</v>
      </c>
      <c r="P72" s="5">
        <v>3</v>
      </c>
      <c r="Q72" s="5">
        <v>2</v>
      </c>
      <c r="R72" s="5">
        <v>5</v>
      </c>
      <c r="S72" s="5">
        <v>2</v>
      </c>
      <c r="T72" s="5">
        <v>5</v>
      </c>
      <c r="U72" s="5">
        <v>3</v>
      </c>
      <c r="V72" s="5">
        <v>2</v>
      </c>
      <c r="W72" s="5">
        <v>4</v>
      </c>
      <c r="X72" s="5">
        <v>3</v>
      </c>
      <c r="Y72" s="5">
        <v>3</v>
      </c>
      <c r="Z72" s="5">
        <v>4</v>
      </c>
      <c r="AA72" s="5">
        <v>1</v>
      </c>
      <c r="AB72" s="5">
        <v>3</v>
      </c>
      <c r="AC72" s="5">
        <v>2</v>
      </c>
      <c r="AD72" s="5">
        <v>3</v>
      </c>
      <c r="AE72" s="5">
        <v>4</v>
      </c>
      <c r="AF72" s="5">
        <v>3</v>
      </c>
      <c r="AG72" s="5">
        <v>3</v>
      </c>
      <c r="AH72" s="5">
        <v>2</v>
      </c>
      <c r="AI72" s="5">
        <v>3</v>
      </c>
      <c r="AJ72" s="5">
        <v>5</v>
      </c>
      <c r="AK72" s="5">
        <v>3</v>
      </c>
      <c r="AL72" s="5">
        <v>4</v>
      </c>
      <c r="AM72" s="5">
        <v>3</v>
      </c>
      <c r="AN72" s="5">
        <v>3</v>
      </c>
      <c r="AO72" s="5">
        <v>5</v>
      </c>
      <c r="AP72" s="5">
        <v>3</v>
      </c>
      <c r="AQ72" s="5">
        <v>3</v>
      </c>
      <c r="AR72" s="5">
        <v>2</v>
      </c>
      <c r="AS72" s="5">
        <v>3</v>
      </c>
      <c r="AT72" s="5">
        <v>5</v>
      </c>
      <c r="AU72" s="5">
        <v>3</v>
      </c>
      <c r="AV72" s="5">
        <v>5</v>
      </c>
      <c r="AW72" s="5">
        <v>1</v>
      </c>
      <c r="AX72" s="5">
        <v>3</v>
      </c>
      <c r="AY72" s="5">
        <v>3</v>
      </c>
      <c r="AZ72" s="5">
        <v>3</v>
      </c>
      <c r="BA72" s="5">
        <v>4</v>
      </c>
      <c r="BB72" s="5">
        <v>3</v>
      </c>
      <c r="BC72" s="5">
        <v>2</v>
      </c>
      <c r="BD72" s="5">
        <v>5</v>
      </c>
      <c r="BE72" s="5">
        <v>2</v>
      </c>
      <c r="BF72" s="5">
        <v>5</v>
      </c>
      <c r="BG72" s="5">
        <v>3</v>
      </c>
      <c r="BH72" s="5">
        <v>4</v>
      </c>
      <c r="BI72" s="5">
        <v>4</v>
      </c>
      <c r="BJ72" s="5">
        <v>1</v>
      </c>
      <c r="BK72" s="5">
        <v>5</v>
      </c>
      <c r="BL72" s="2" t="s">
        <v>371</v>
      </c>
      <c r="BM72" s="1">
        <v>45842.900262627314</v>
      </c>
    </row>
    <row r="73" spans="1:65" ht="13.5" customHeight="1" x14ac:dyDescent="0.35">
      <c r="A73" t="s">
        <v>669</v>
      </c>
      <c r="B73" s="2" t="s">
        <v>410</v>
      </c>
      <c r="C73" s="2" t="s">
        <v>411</v>
      </c>
      <c r="D73" s="5">
        <v>5</v>
      </c>
      <c r="E73" s="5">
        <v>5</v>
      </c>
      <c r="F73" s="5">
        <v>5</v>
      </c>
      <c r="G73" s="5">
        <v>4</v>
      </c>
      <c r="H73" s="5">
        <v>5</v>
      </c>
      <c r="I73" s="5">
        <v>5</v>
      </c>
      <c r="J73" s="5">
        <v>5</v>
      </c>
      <c r="K73" s="5">
        <v>3</v>
      </c>
      <c r="L73" s="5">
        <v>2</v>
      </c>
      <c r="M73" s="5">
        <v>5</v>
      </c>
      <c r="N73" s="5">
        <v>5</v>
      </c>
      <c r="O73" s="5">
        <v>5</v>
      </c>
      <c r="P73" s="5">
        <v>5</v>
      </c>
      <c r="Q73" s="5">
        <v>5</v>
      </c>
      <c r="R73" s="5">
        <v>4</v>
      </c>
      <c r="S73" s="5">
        <v>2</v>
      </c>
      <c r="T73" s="5">
        <v>5</v>
      </c>
      <c r="U73" s="5">
        <v>1</v>
      </c>
      <c r="V73" s="5">
        <v>1</v>
      </c>
      <c r="W73" s="5">
        <v>3</v>
      </c>
      <c r="X73" s="5">
        <v>5</v>
      </c>
      <c r="Y73" s="5">
        <v>1</v>
      </c>
      <c r="Z73" s="5">
        <v>5</v>
      </c>
      <c r="AA73" s="5">
        <v>1</v>
      </c>
      <c r="AB73" s="5">
        <v>1</v>
      </c>
      <c r="AC73" s="5">
        <v>5</v>
      </c>
      <c r="AD73" s="5">
        <v>5</v>
      </c>
      <c r="AE73" s="5">
        <v>5</v>
      </c>
      <c r="AF73" s="5">
        <v>2</v>
      </c>
      <c r="AG73" s="5">
        <v>5</v>
      </c>
      <c r="AH73" s="5">
        <v>2</v>
      </c>
      <c r="AI73" s="5">
        <v>5</v>
      </c>
      <c r="AJ73" s="5">
        <v>4</v>
      </c>
      <c r="AK73" s="5">
        <v>1</v>
      </c>
      <c r="AL73" s="5">
        <v>5</v>
      </c>
      <c r="AM73" s="5">
        <v>3</v>
      </c>
      <c r="AN73" s="5">
        <v>5</v>
      </c>
      <c r="AO73" s="5">
        <v>5</v>
      </c>
      <c r="AP73" s="5">
        <v>5</v>
      </c>
      <c r="AQ73" s="5">
        <v>5</v>
      </c>
      <c r="AR73" s="5">
        <v>3</v>
      </c>
      <c r="AS73" s="5">
        <v>5</v>
      </c>
      <c r="AT73" s="5">
        <v>5</v>
      </c>
      <c r="AU73" s="5">
        <v>3</v>
      </c>
      <c r="AV73" s="5">
        <v>5</v>
      </c>
      <c r="AW73" s="5">
        <v>1</v>
      </c>
      <c r="AX73" s="5">
        <v>5</v>
      </c>
      <c r="AY73" s="5">
        <v>2</v>
      </c>
      <c r="AZ73" s="5">
        <v>5</v>
      </c>
      <c r="BA73" s="5">
        <v>5</v>
      </c>
      <c r="BB73" s="5">
        <v>5</v>
      </c>
      <c r="BC73" s="5">
        <v>5</v>
      </c>
      <c r="BD73" s="5">
        <v>5</v>
      </c>
      <c r="BE73" s="5">
        <v>5</v>
      </c>
      <c r="BF73" s="5">
        <v>5</v>
      </c>
      <c r="BG73" s="5">
        <v>5</v>
      </c>
      <c r="BH73" s="5">
        <v>5</v>
      </c>
      <c r="BI73" s="5">
        <v>1</v>
      </c>
      <c r="BJ73" s="5">
        <v>5</v>
      </c>
      <c r="BK73" s="5">
        <v>5</v>
      </c>
      <c r="BL73" s="2" t="s">
        <v>412</v>
      </c>
      <c r="BM73" s="1">
        <v>45842.90309359954</v>
      </c>
    </row>
    <row r="74" spans="1:65" ht="13.5" customHeight="1" x14ac:dyDescent="0.35">
      <c r="A74" t="s">
        <v>670</v>
      </c>
      <c r="B74" s="2" t="s">
        <v>415</v>
      </c>
      <c r="C74" s="2" t="s">
        <v>416</v>
      </c>
      <c r="D74" s="5">
        <v>4</v>
      </c>
      <c r="E74" s="5">
        <v>4</v>
      </c>
      <c r="F74" s="5">
        <v>2</v>
      </c>
      <c r="G74" s="5">
        <v>4</v>
      </c>
      <c r="H74" s="5">
        <v>5</v>
      </c>
      <c r="I74" s="5">
        <v>5</v>
      </c>
      <c r="J74" s="5">
        <v>5</v>
      </c>
      <c r="K74" s="5">
        <v>3</v>
      </c>
      <c r="L74" s="5">
        <v>3</v>
      </c>
      <c r="M74" s="5">
        <v>5</v>
      </c>
      <c r="N74" s="5">
        <v>4</v>
      </c>
      <c r="O74" s="5">
        <v>5</v>
      </c>
      <c r="P74" s="5">
        <v>4</v>
      </c>
      <c r="Q74" s="5">
        <v>4</v>
      </c>
      <c r="R74" s="5">
        <v>5</v>
      </c>
      <c r="S74" s="5">
        <v>4</v>
      </c>
      <c r="T74" s="5">
        <v>4</v>
      </c>
      <c r="U74" s="5">
        <v>3</v>
      </c>
      <c r="V74" s="5">
        <v>3</v>
      </c>
      <c r="W74" s="5">
        <v>2</v>
      </c>
      <c r="X74" s="5">
        <v>5</v>
      </c>
      <c r="Y74" s="5">
        <v>1</v>
      </c>
      <c r="Z74" s="5">
        <v>5</v>
      </c>
      <c r="AA74" s="5">
        <v>3</v>
      </c>
      <c r="AB74" s="5">
        <v>3</v>
      </c>
      <c r="AC74" s="5">
        <v>4</v>
      </c>
      <c r="AD74" s="5">
        <v>4</v>
      </c>
      <c r="AE74" s="5">
        <v>4</v>
      </c>
      <c r="AF74" s="5">
        <v>3</v>
      </c>
      <c r="AG74" s="5">
        <v>5</v>
      </c>
      <c r="AH74" s="5">
        <v>1</v>
      </c>
      <c r="AI74" s="5">
        <v>3</v>
      </c>
      <c r="AJ74" s="5">
        <v>5</v>
      </c>
      <c r="AK74" s="5">
        <v>5</v>
      </c>
      <c r="AL74" s="5">
        <v>4</v>
      </c>
      <c r="AM74" s="5">
        <v>3</v>
      </c>
      <c r="AN74" s="5">
        <v>5</v>
      </c>
      <c r="AO74" s="5">
        <v>4</v>
      </c>
      <c r="AP74" s="5">
        <v>4</v>
      </c>
      <c r="AQ74" s="5">
        <v>4</v>
      </c>
      <c r="AR74" s="5">
        <v>2</v>
      </c>
      <c r="AS74" s="5">
        <v>4</v>
      </c>
      <c r="AT74" s="5">
        <v>5</v>
      </c>
      <c r="AU74" s="5">
        <v>4</v>
      </c>
      <c r="AV74" s="5">
        <v>3</v>
      </c>
      <c r="AW74" s="5">
        <v>2</v>
      </c>
      <c r="AX74" s="5">
        <v>3</v>
      </c>
      <c r="AY74" s="5">
        <v>4</v>
      </c>
      <c r="AZ74" s="5">
        <v>4</v>
      </c>
      <c r="BA74" s="5">
        <v>5</v>
      </c>
      <c r="BB74" s="5">
        <v>3</v>
      </c>
      <c r="BC74" s="5">
        <v>2</v>
      </c>
      <c r="BD74" s="5">
        <v>5</v>
      </c>
      <c r="BE74" s="5">
        <v>4</v>
      </c>
      <c r="BF74" s="5">
        <v>4</v>
      </c>
      <c r="BG74" s="5">
        <v>4</v>
      </c>
      <c r="BH74" s="5">
        <v>5</v>
      </c>
      <c r="BI74" s="5">
        <v>4</v>
      </c>
      <c r="BJ74" s="5">
        <v>5</v>
      </c>
      <c r="BK74" s="5">
        <v>5</v>
      </c>
      <c r="BL74" s="2" t="s">
        <v>417</v>
      </c>
      <c r="BM74" s="1">
        <v>45842.903261643522</v>
      </c>
    </row>
    <row r="75" spans="1:65" ht="13.5" customHeight="1" x14ac:dyDescent="0.35">
      <c r="A75" t="s">
        <v>671</v>
      </c>
      <c r="B75" s="2" t="s">
        <v>389</v>
      </c>
      <c r="C75" s="2" t="s">
        <v>390</v>
      </c>
      <c r="D75" s="5">
        <v>4</v>
      </c>
      <c r="E75" s="5">
        <v>3</v>
      </c>
      <c r="F75" s="5">
        <v>5</v>
      </c>
      <c r="G75" s="5">
        <v>5</v>
      </c>
      <c r="H75" s="5">
        <v>3</v>
      </c>
      <c r="I75" s="5">
        <v>4</v>
      </c>
      <c r="J75" s="5">
        <v>2</v>
      </c>
      <c r="K75" s="5">
        <v>3</v>
      </c>
      <c r="L75" s="5">
        <v>3</v>
      </c>
      <c r="M75" s="5">
        <v>4</v>
      </c>
      <c r="N75" s="5">
        <v>4</v>
      </c>
      <c r="O75" s="5">
        <v>5</v>
      </c>
      <c r="P75" s="5">
        <v>4</v>
      </c>
      <c r="Q75" s="5">
        <v>5</v>
      </c>
      <c r="R75" s="5">
        <v>4</v>
      </c>
      <c r="S75" s="5">
        <v>5</v>
      </c>
      <c r="T75" s="5">
        <v>3</v>
      </c>
      <c r="U75" s="5">
        <v>1</v>
      </c>
      <c r="V75" s="5">
        <v>5</v>
      </c>
      <c r="W75" s="5">
        <v>1</v>
      </c>
      <c r="X75" s="5">
        <v>4</v>
      </c>
      <c r="Y75" s="5">
        <v>1</v>
      </c>
      <c r="Z75" s="5">
        <v>1</v>
      </c>
      <c r="AA75" s="5">
        <v>3</v>
      </c>
      <c r="AB75" s="5">
        <v>1</v>
      </c>
      <c r="AC75" s="5">
        <v>3</v>
      </c>
      <c r="AD75" s="5">
        <v>4</v>
      </c>
      <c r="AE75" s="5">
        <v>4</v>
      </c>
      <c r="AF75" s="5">
        <v>3</v>
      </c>
      <c r="AG75" s="5">
        <v>3</v>
      </c>
      <c r="AH75" s="5">
        <v>4</v>
      </c>
      <c r="AI75" s="5">
        <v>4</v>
      </c>
      <c r="AJ75" s="5">
        <v>2</v>
      </c>
      <c r="AK75" s="5">
        <v>2</v>
      </c>
      <c r="AL75" s="5">
        <v>4</v>
      </c>
      <c r="AM75" s="5">
        <v>3</v>
      </c>
      <c r="AN75" s="5">
        <v>4</v>
      </c>
      <c r="AO75" s="5">
        <v>4</v>
      </c>
      <c r="AP75" s="5">
        <v>3</v>
      </c>
      <c r="AQ75" s="5">
        <v>4</v>
      </c>
      <c r="AR75" s="5">
        <v>3</v>
      </c>
      <c r="AS75" s="5">
        <v>4</v>
      </c>
      <c r="AT75" s="5">
        <v>4</v>
      </c>
      <c r="AU75" s="5">
        <v>3</v>
      </c>
      <c r="AV75" s="5">
        <v>4</v>
      </c>
      <c r="AW75" s="5">
        <v>2</v>
      </c>
      <c r="AX75" s="5">
        <v>4</v>
      </c>
      <c r="AY75" s="5">
        <v>3</v>
      </c>
      <c r="AZ75" s="5">
        <v>2</v>
      </c>
      <c r="BA75" s="5">
        <v>4</v>
      </c>
      <c r="BB75" s="5">
        <v>4</v>
      </c>
      <c r="BC75" s="5">
        <v>4</v>
      </c>
      <c r="BD75" s="5">
        <v>3</v>
      </c>
      <c r="BE75" s="5">
        <v>4</v>
      </c>
      <c r="BF75" s="5">
        <v>4</v>
      </c>
      <c r="BG75" s="5">
        <v>3</v>
      </c>
      <c r="BH75" s="5">
        <v>4</v>
      </c>
      <c r="BI75" s="5">
        <v>3</v>
      </c>
      <c r="BJ75" s="5">
        <v>4</v>
      </c>
      <c r="BK75" s="5">
        <v>4</v>
      </c>
      <c r="BL75" s="2" t="s">
        <v>391</v>
      </c>
      <c r="BM75" s="1">
        <v>45842.901457789354</v>
      </c>
    </row>
    <row r="76" spans="1:65" ht="13.5" customHeight="1" x14ac:dyDescent="0.35">
      <c r="A76" t="s">
        <v>672</v>
      </c>
      <c r="B76" s="2" t="s">
        <v>435</v>
      </c>
      <c r="C76" s="2" t="s">
        <v>436</v>
      </c>
      <c r="D76" s="5">
        <v>5</v>
      </c>
      <c r="E76" s="5">
        <v>5</v>
      </c>
      <c r="F76" s="5">
        <v>4</v>
      </c>
      <c r="G76" s="5">
        <v>2</v>
      </c>
      <c r="H76" s="5">
        <v>3</v>
      </c>
      <c r="I76" s="5">
        <v>5</v>
      </c>
      <c r="J76" s="5">
        <v>3</v>
      </c>
      <c r="K76" s="5">
        <v>3</v>
      </c>
      <c r="L76" s="5">
        <v>4</v>
      </c>
      <c r="M76" s="5">
        <v>4</v>
      </c>
      <c r="N76" s="5">
        <v>5</v>
      </c>
      <c r="O76" s="5">
        <v>3</v>
      </c>
      <c r="P76" s="5">
        <v>4</v>
      </c>
      <c r="Q76" s="5">
        <v>4</v>
      </c>
      <c r="R76" s="5">
        <v>4</v>
      </c>
      <c r="S76" s="5">
        <v>1</v>
      </c>
      <c r="T76" s="5">
        <v>5</v>
      </c>
      <c r="U76" s="5">
        <v>3</v>
      </c>
      <c r="V76" s="5">
        <v>2</v>
      </c>
      <c r="W76" s="5">
        <v>1</v>
      </c>
      <c r="X76" s="5">
        <v>5</v>
      </c>
      <c r="Y76" s="5">
        <v>3</v>
      </c>
      <c r="Z76" s="5">
        <v>2</v>
      </c>
      <c r="AA76" s="5">
        <v>2</v>
      </c>
      <c r="AB76" s="5">
        <v>1</v>
      </c>
      <c r="AC76" s="5">
        <v>4</v>
      </c>
      <c r="AD76" s="5">
        <v>5</v>
      </c>
      <c r="AE76" s="5">
        <v>4</v>
      </c>
      <c r="AF76" s="5">
        <v>4</v>
      </c>
      <c r="AG76" s="5">
        <v>4</v>
      </c>
      <c r="AH76" s="5">
        <v>3</v>
      </c>
      <c r="AI76" s="5">
        <v>5</v>
      </c>
      <c r="AJ76" s="5">
        <v>3</v>
      </c>
      <c r="AK76" s="5">
        <v>2</v>
      </c>
      <c r="AL76" s="5">
        <v>4</v>
      </c>
      <c r="AM76" s="5">
        <v>5</v>
      </c>
      <c r="AN76" s="5">
        <v>3</v>
      </c>
      <c r="AO76" s="5">
        <v>3</v>
      </c>
      <c r="AP76" s="5">
        <v>4</v>
      </c>
      <c r="AQ76" s="5">
        <v>2</v>
      </c>
      <c r="AR76" s="5">
        <v>3</v>
      </c>
      <c r="AS76" s="5">
        <v>3</v>
      </c>
      <c r="AT76" s="5">
        <v>5</v>
      </c>
      <c r="AU76" s="5">
        <v>2</v>
      </c>
      <c r="AV76" s="5">
        <v>4</v>
      </c>
      <c r="AW76" s="5">
        <v>1</v>
      </c>
      <c r="AX76" s="5">
        <v>5</v>
      </c>
      <c r="AY76" s="5">
        <v>4</v>
      </c>
      <c r="AZ76" s="5">
        <v>2</v>
      </c>
      <c r="BA76" s="5">
        <v>5</v>
      </c>
      <c r="BB76" s="5">
        <v>2</v>
      </c>
      <c r="BC76" s="5">
        <v>1</v>
      </c>
      <c r="BD76" s="5">
        <v>3</v>
      </c>
      <c r="BE76" s="5">
        <v>2</v>
      </c>
      <c r="BF76" s="5">
        <v>4</v>
      </c>
      <c r="BG76" s="5">
        <v>3</v>
      </c>
      <c r="BH76" s="5">
        <v>2</v>
      </c>
      <c r="BI76" s="5">
        <v>4</v>
      </c>
      <c r="BJ76" s="5">
        <v>5</v>
      </c>
      <c r="BK76" s="5">
        <v>3</v>
      </c>
      <c r="BL76" s="2" t="s">
        <v>437</v>
      </c>
      <c r="BM76" s="1">
        <v>45842.90478986111</v>
      </c>
    </row>
    <row r="77" spans="1:65" ht="13.5" customHeight="1" x14ac:dyDescent="0.35">
      <c r="A77" t="s">
        <v>673</v>
      </c>
      <c r="B77" s="2" t="s">
        <v>445</v>
      </c>
      <c r="C77" s="2" t="s">
        <v>446</v>
      </c>
      <c r="D77" s="5">
        <v>5</v>
      </c>
      <c r="E77" s="5">
        <v>5</v>
      </c>
      <c r="F77" s="5">
        <v>2</v>
      </c>
      <c r="G77" s="5">
        <v>4</v>
      </c>
      <c r="H77" s="5">
        <v>4</v>
      </c>
      <c r="I77" s="5">
        <v>5</v>
      </c>
      <c r="J77" s="5">
        <v>4</v>
      </c>
      <c r="K77" s="5">
        <v>1</v>
      </c>
      <c r="L77" s="5">
        <v>3</v>
      </c>
      <c r="M77" s="5">
        <v>5</v>
      </c>
      <c r="N77" s="5">
        <v>4</v>
      </c>
      <c r="O77" s="5">
        <v>5</v>
      </c>
      <c r="P77" s="5">
        <v>4</v>
      </c>
      <c r="Q77" s="5">
        <v>3</v>
      </c>
      <c r="R77" s="5">
        <v>3</v>
      </c>
      <c r="S77" s="5">
        <v>4</v>
      </c>
      <c r="T77" s="5">
        <v>5</v>
      </c>
      <c r="U77" s="5">
        <v>5</v>
      </c>
      <c r="V77" s="5">
        <v>3</v>
      </c>
      <c r="W77" s="5">
        <v>4</v>
      </c>
      <c r="X77" s="5">
        <v>5</v>
      </c>
      <c r="Y77" s="5">
        <v>1</v>
      </c>
      <c r="Z77" s="5">
        <v>5</v>
      </c>
      <c r="AA77" s="5">
        <v>3</v>
      </c>
      <c r="AB77" s="5">
        <v>2</v>
      </c>
      <c r="AC77" s="5">
        <v>2</v>
      </c>
      <c r="AD77" s="5">
        <v>5</v>
      </c>
      <c r="AE77" s="5">
        <v>5</v>
      </c>
      <c r="AF77" s="5">
        <v>4</v>
      </c>
      <c r="AG77" s="5">
        <v>5</v>
      </c>
      <c r="AH77" s="5">
        <v>1</v>
      </c>
      <c r="AI77" s="5">
        <v>2</v>
      </c>
      <c r="AJ77" s="5">
        <v>5</v>
      </c>
      <c r="AK77" s="5">
        <v>4</v>
      </c>
      <c r="AL77" s="5">
        <v>5</v>
      </c>
      <c r="AM77" s="5">
        <v>2</v>
      </c>
      <c r="AN77" s="5">
        <v>5</v>
      </c>
      <c r="AO77" s="5">
        <v>5</v>
      </c>
      <c r="AP77" s="5">
        <v>4</v>
      </c>
      <c r="AQ77" s="5">
        <v>5</v>
      </c>
      <c r="AR77" s="5">
        <v>1</v>
      </c>
      <c r="AS77" s="5">
        <v>5</v>
      </c>
      <c r="AT77" s="5">
        <v>5</v>
      </c>
      <c r="AU77" s="5">
        <v>3</v>
      </c>
      <c r="AV77" s="5">
        <v>5</v>
      </c>
      <c r="AW77" s="5">
        <v>1</v>
      </c>
      <c r="AX77" s="5">
        <v>2</v>
      </c>
      <c r="AY77" s="5">
        <v>4</v>
      </c>
      <c r="AZ77" s="5">
        <v>4</v>
      </c>
      <c r="BA77" s="5">
        <v>5</v>
      </c>
      <c r="BB77" s="5">
        <v>5</v>
      </c>
      <c r="BC77" s="5">
        <v>1</v>
      </c>
      <c r="BD77" s="5">
        <v>5</v>
      </c>
      <c r="BE77" s="5">
        <v>4</v>
      </c>
      <c r="BF77" s="5">
        <v>4</v>
      </c>
      <c r="BG77" s="5">
        <v>5</v>
      </c>
      <c r="BH77" s="5">
        <v>5</v>
      </c>
      <c r="BI77" s="5">
        <v>2</v>
      </c>
      <c r="BJ77" s="5">
        <v>5</v>
      </c>
      <c r="BK77" s="5">
        <v>5</v>
      </c>
      <c r="BL77" s="2" t="s">
        <v>447</v>
      </c>
      <c r="BM77" s="1">
        <v>45842.916169050928</v>
      </c>
    </row>
    <row r="78" spans="1:65" ht="13.5" customHeight="1" x14ac:dyDescent="0.35">
      <c r="A78" t="s">
        <v>674</v>
      </c>
      <c r="B78" s="2" t="s">
        <v>420</v>
      </c>
      <c r="C78" s="2" t="s">
        <v>421</v>
      </c>
      <c r="D78" s="5">
        <v>4</v>
      </c>
      <c r="E78" s="5">
        <v>5</v>
      </c>
      <c r="F78" s="5">
        <v>2</v>
      </c>
      <c r="G78" s="5">
        <v>4</v>
      </c>
      <c r="H78" s="5">
        <v>4</v>
      </c>
      <c r="I78" s="5">
        <v>4</v>
      </c>
      <c r="J78" s="5">
        <v>2</v>
      </c>
      <c r="K78" s="5">
        <v>1</v>
      </c>
      <c r="L78" s="5">
        <v>2</v>
      </c>
      <c r="M78" s="5">
        <v>4</v>
      </c>
      <c r="N78" s="5">
        <v>4</v>
      </c>
      <c r="O78" s="5">
        <v>4</v>
      </c>
      <c r="P78" s="5">
        <v>2</v>
      </c>
      <c r="Q78" s="5">
        <v>3</v>
      </c>
      <c r="R78" s="5">
        <v>5</v>
      </c>
      <c r="S78" s="5">
        <v>2</v>
      </c>
      <c r="T78" s="5">
        <v>5</v>
      </c>
      <c r="U78" s="5">
        <v>2</v>
      </c>
      <c r="V78" s="5">
        <v>3</v>
      </c>
      <c r="W78" s="5">
        <v>4</v>
      </c>
      <c r="X78" s="5">
        <v>5</v>
      </c>
      <c r="Y78" s="5">
        <v>2</v>
      </c>
      <c r="Z78" s="5">
        <v>4</v>
      </c>
      <c r="AA78" s="5">
        <v>2</v>
      </c>
      <c r="AB78" s="5">
        <v>3</v>
      </c>
      <c r="AC78" s="5">
        <v>3</v>
      </c>
      <c r="AD78" s="5">
        <v>2</v>
      </c>
      <c r="AE78" s="5">
        <v>4</v>
      </c>
      <c r="AF78" s="5">
        <v>2</v>
      </c>
      <c r="AG78" s="5">
        <v>4</v>
      </c>
      <c r="AH78" s="5">
        <v>2</v>
      </c>
      <c r="AI78" s="5">
        <v>4</v>
      </c>
      <c r="AJ78" s="5">
        <v>4</v>
      </c>
      <c r="AK78" s="5">
        <v>2</v>
      </c>
      <c r="AL78" s="5">
        <v>4</v>
      </c>
      <c r="AM78" s="5">
        <v>2</v>
      </c>
      <c r="AN78" s="5">
        <v>3</v>
      </c>
      <c r="AO78" s="5">
        <v>3</v>
      </c>
      <c r="AP78" s="5">
        <v>2</v>
      </c>
      <c r="AQ78" s="5">
        <v>3</v>
      </c>
      <c r="AR78" s="5">
        <v>1</v>
      </c>
      <c r="AS78" s="5">
        <v>3</v>
      </c>
      <c r="AT78" s="5">
        <v>4</v>
      </c>
      <c r="AU78" s="5">
        <v>2</v>
      </c>
      <c r="AV78" s="5">
        <v>4</v>
      </c>
      <c r="AW78" s="5">
        <v>1</v>
      </c>
      <c r="AX78" s="5">
        <v>2</v>
      </c>
      <c r="AY78" s="5">
        <v>1</v>
      </c>
      <c r="AZ78" s="5">
        <v>4</v>
      </c>
      <c r="BA78" s="5">
        <v>4</v>
      </c>
      <c r="BB78" s="5">
        <v>4</v>
      </c>
      <c r="BC78" s="5">
        <v>2</v>
      </c>
      <c r="BD78" s="5">
        <v>4</v>
      </c>
      <c r="BE78" s="5">
        <v>2</v>
      </c>
      <c r="BF78" s="5">
        <v>4</v>
      </c>
      <c r="BG78" s="5">
        <v>2</v>
      </c>
      <c r="BH78" s="5">
        <v>4</v>
      </c>
      <c r="BI78" s="5">
        <v>2</v>
      </c>
      <c r="BJ78" s="5">
        <v>4</v>
      </c>
      <c r="BK78" s="5">
        <v>4</v>
      </c>
      <c r="BL78" s="2" t="s">
        <v>422</v>
      </c>
      <c r="BM78" s="1">
        <v>45842.903869409725</v>
      </c>
    </row>
    <row r="79" spans="1:65" ht="13.5" customHeight="1" x14ac:dyDescent="0.35">
      <c r="A79" t="s">
        <v>675</v>
      </c>
      <c r="B79" s="2" t="s">
        <v>425</v>
      </c>
      <c r="C79" s="2" t="s">
        <v>426</v>
      </c>
      <c r="D79" s="5">
        <v>4</v>
      </c>
      <c r="E79" s="5">
        <v>5</v>
      </c>
      <c r="F79" s="5">
        <v>3</v>
      </c>
      <c r="G79" s="5">
        <v>2</v>
      </c>
      <c r="H79" s="5">
        <v>4</v>
      </c>
      <c r="I79" s="5">
        <v>3</v>
      </c>
      <c r="J79" s="5">
        <v>2</v>
      </c>
      <c r="K79" s="5">
        <v>2</v>
      </c>
      <c r="L79" s="5">
        <v>1</v>
      </c>
      <c r="M79" s="5">
        <v>5</v>
      </c>
      <c r="N79" s="5">
        <v>4</v>
      </c>
      <c r="O79" s="5">
        <v>4</v>
      </c>
      <c r="P79" s="5">
        <v>3</v>
      </c>
      <c r="Q79" s="5">
        <v>3</v>
      </c>
      <c r="R79" s="5">
        <v>5</v>
      </c>
      <c r="S79" s="5">
        <v>4</v>
      </c>
      <c r="T79" s="5">
        <v>5</v>
      </c>
      <c r="U79" s="5">
        <v>1</v>
      </c>
      <c r="V79" s="5">
        <v>3</v>
      </c>
      <c r="W79" s="5">
        <v>3</v>
      </c>
      <c r="X79" s="5">
        <v>5</v>
      </c>
      <c r="Y79" s="5">
        <v>4</v>
      </c>
      <c r="Z79" s="5">
        <v>5</v>
      </c>
      <c r="AA79" s="5">
        <v>2</v>
      </c>
      <c r="AB79" s="5">
        <v>3</v>
      </c>
      <c r="AC79" s="5">
        <v>5</v>
      </c>
      <c r="AD79" s="5">
        <v>4</v>
      </c>
      <c r="AE79" s="5">
        <v>2</v>
      </c>
      <c r="AF79" s="5">
        <v>1</v>
      </c>
      <c r="AG79" s="5">
        <v>5</v>
      </c>
      <c r="AH79" s="5">
        <v>2</v>
      </c>
      <c r="AI79" s="5">
        <v>3</v>
      </c>
      <c r="AJ79" s="5">
        <v>5</v>
      </c>
      <c r="AK79" s="5">
        <v>1</v>
      </c>
      <c r="AL79" s="5">
        <v>4</v>
      </c>
      <c r="AM79" s="5">
        <v>3</v>
      </c>
      <c r="AN79" s="5">
        <v>5</v>
      </c>
      <c r="AO79" s="5">
        <v>3</v>
      </c>
      <c r="AP79" s="5">
        <v>1</v>
      </c>
      <c r="AQ79" s="5">
        <v>3</v>
      </c>
      <c r="AR79" s="5">
        <v>3</v>
      </c>
      <c r="AS79" s="5">
        <v>4</v>
      </c>
      <c r="AT79" s="5">
        <v>3</v>
      </c>
      <c r="AU79" s="5">
        <v>1</v>
      </c>
      <c r="AV79" s="5">
        <v>4</v>
      </c>
      <c r="AW79" s="5">
        <v>2</v>
      </c>
      <c r="AX79" s="5">
        <v>3</v>
      </c>
      <c r="AY79" s="5">
        <v>3</v>
      </c>
      <c r="AZ79" s="5">
        <v>4</v>
      </c>
      <c r="BA79" s="5">
        <v>4</v>
      </c>
      <c r="BB79" s="5">
        <v>4</v>
      </c>
      <c r="BC79" s="5">
        <v>1</v>
      </c>
      <c r="BD79" s="5">
        <v>5</v>
      </c>
      <c r="BE79" s="5">
        <v>1</v>
      </c>
      <c r="BF79" s="5">
        <v>5</v>
      </c>
      <c r="BG79" s="5">
        <v>5</v>
      </c>
      <c r="BH79" s="5">
        <v>4</v>
      </c>
      <c r="BI79" s="5">
        <v>3</v>
      </c>
      <c r="BJ79" s="5">
        <v>3</v>
      </c>
      <c r="BK79" s="5">
        <v>5</v>
      </c>
      <c r="BL79" s="2" t="s">
        <v>427</v>
      </c>
      <c r="BM79" s="1">
        <v>45842.904687199072</v>
      </c>
    </row>
    <row r="80" spans="1:65" ht="13.5" customHeight="1" x14ac:dyDescent="0.35">
      <c r="A80" t="s">
        <v>676</v>
      </c>
      <c r="B80" s="2" t="s">
        <v>430</v>
      </c>
      <c r="C80" s="2" t="s">
        <v>431</v>
      </c>
      <c r="D80" s="5">
        <v>5</v>
      </c>
      <c r="E80" s="5">
        <v>3</v>
      </c>
      <c r="F80" s="5">
        <v>2</v>
      </c>
      <c r="G80" s="5">
        <v>5</v>
      </c>
      <c r="H80" s="5">
        <v>5</v>
      </c>
      <c r="I80" s="5">
        <v>5</v>
      </c>
      <c r="J80" s="5">
        <v>1</v>
      </c>
      <c r="K80" s="5">
        <v>2</v>
      </c>
      <c r="L80" s="5">
        <v>1</v>
      </c>
      <c r="M80" s="5">
        <v>4</v>
      </c>
      <c r="N80" s="5">
        <v>3</v>
      </c>
      <c r="O80" s="5">
        <v>4</v>
      </c>
      <c r="P80" s="5">
        <v>1</v>
      </c>
      <c r="Q80" s="5">
        <v>3</v>
      </c>
      <c r="R80" s="5">
        <v>5</v>
      </c>
      <c r="S80" s="5">
        <v>2</v>
      </c>
      <c r="T80" s="5">
        <v>3</v>
      </c>
      <c r="U80" s="5">
        <v>1</v>
      </c>
      <c r="V80" s="5">
        <v>2</v>
      </c>
      <c r="W80" s="5">
        <v>2</v>
      </c>
      <c r="X80" s="5">
        <v>3</v>
      </c>
      <c r="Y80" s="5">
        <v>2</v>
      </c>
      <c r="Z80" s="5">
        <v>4</v>
      </c>
      <c r="AA80" s="5">
        <v>2</v>
      </c>
      <c r="AB80" s="5">
        <v>2</v>
      </c>
      <c r="AC80" s="5">
        <v>5</v>
      </c>
      <c r="AD80" s="5">
        <v>5</v>
      </c>
      <c r="AE80" s="5">
        <v>3</v>
      </c>
      <c r="AF80" s="5">
        <v>1</v>
      </c>
      <c r="AG80" s="5">
        <v>5</v>
      </c>
      <c r="AH80" s="5">
        <v>2</v>
      </c>
      <c r="AI80" s="5">
        <v>4</v>
      </c>
      <c r="AJ80" s="5">
        <v>3</v>
      </c>
      <c r="AK80" s="5">
        <v>1</v>
      </c>
      <c r="AL80" s="5">
        <v>4</v>
      </c>
      <c r="AM80" s="5">
        <v>1</v>
      </c>
      <c r="AN80" s="5">
        <v>3</v>
      </c>
      <c r="AO80" s="5">
        <v>3</v>
      </c>
      <c r="AP80" s="5">
        <v>1</v>
      </c>
      <c r="AQ80" s="5">
        <v>3</v>
      </c>
      <c r="AR80" s="5">
        <v>1</v>
      </c>
      <c r="AS80" s="5">
        <v>4</v>
      </c>
      <c r="AT80" s="5">
        <v>2</v>
      </c>
      <c r="AU80" s="5">
        <v>1</v>
      </c>
      <c r="AV80" s="5">
        <v>3</v>
      </c>
      <c r="AW80" s="5">
        <v>4</v>
      </c>
      <c r="AX80" s="5">
        <v>1</v>
      </c>
      <c r="AY80" s="5">
        <v>2</v>
      </c>
      <c r="AZ80" s="5">
        <v>2</v>
      </c>
      <c r="BA80" s="5">
        <v>3</v>
      </c>
      <c r="BB80" s="5">
        <v>3</v>
      </c>
      <c r="BC80" s="5">
        <v>1</v>
      </c>
      <c r="BD80" s="5">
        <v>4</v>
      </c>
      <c r="BE80" s="5">
        <v>4</v>
      </c>
      <c r="BF80" s="5">
        <v>3</v>
      </c>
      <c r="BG80" s="5">
        <v>4</v>
      </c>
      <c r="BH80" s="5">
        <v>4</v>
      </c>
      <c r="BI80" s="5">
        <v>1</v>
      </c>
      <c r="BJ80" s="5">
        <v>5</v>
      </c>
      <c r="BK80" s="5">
        <v>3</v>
      </c>
      <c r="BL80" s="2" t="s">
        <v>432</v>
      </c>
      <c r="BM80" s="1">
        <v>45842.904726400462</v>
      </c>
    </row>
    <row r="81" spans="1:65" ht="13.5" customHeight="1" x14ac:dyDescent="0.35">
      <c r="A81" t="s">
        <v>677</v>
      </c>
      <c r="B81" s="2" t="s">
        <v>440</v>
      </c>
      <c r="C81" s="2" t="s">
        <v>441</v>
      </c>
      <c r="D81" s="5">
        <v>4</v>
      </c>
      <c r="E81" s="5">
        <v>5</v>
      </c>
      <c r="F81" s="5">
        <v>4</v>
      </c>
      <c r="G81" s="5">
        <v>5</v>
      </c>
      <c r="H81" s="5">
        <v>2</v>
      </c>
      <c r="I81" s="5">
        <v>4</v>
      </c>
      <c r="J81" s="5">
        <v>3</v>
      </c>
      <c r="K81" s="5">
        <v>1</v>
      </c>
      <c r="L81" s="5">
        <v>2</v>
      </c>
      <c r="M81" s="5">
        <v>3</v>
      </c>
      <c r="N81" s="5">
        <v>3</v>
      </c>
      <c r="O81" s="5">
        <v>4</v>
      </c>
      <c r="P81" s="5">
        <v>3</v>
      </c>
      <c r="Q81" s="5">
        <v>5</v>
      </c>
      <c r="R81" s="5">
        <v>2</v>
      </c>
      <c r="S81" s="5">
        <v>3</v>
      </c>
      <c r="T81" s="5">
        <v>2</v>
      </c>
      <c r="U81" s="5">
        <v>2</v>
      </c>
      <c r="V81" s="5">
        <v>3</v>
      </c>
      <c r="W81" s="5">
        <v>1</v>
      </c>
      <c r="X81" s="5">
        <v>4</v>
      </c>
      <c r="Y81" s="5">
        <v>3</v>
      </c>
      <c r="Z81" s="5">
        <v>2</v>
      </c>
      <c r="AA81" s="5">
        <v>3</v>
      </c>
      <c r="AB81" s="5">
        <v>2</v>
      </c>
      <c r="AC81" s="5">
        <v>2</v>
      </c>
      <c r="AD81" s="5">
        <v>4</v>
      </c>
      <c r="AE81" s="5">
        <v>3</v>
      </c>
      <c r="AF81" s="5">
        <v>2</v>
      </c>
      <c r="AG81" s="5">
        <v>2</v>
      </c>
      <c r="AH81" s="5">
        <v>4</v>
      </c>
      <c r="AI81" s="5">
        <v>3</v>
      </c>
      <c r="AJ81" s="5">
        <v>4</v>
      </c>
      <c r="AK81" s="5">
        <v>2</v>
      </c>
      <c r="AL81" s="5">
        <v>3</v>
      </c>
      <c r="AM81" s="5">
        <v>4</v>
      </c>
      <c r="AN81" s="5">
        <v>2</v>
      </c>
      <c r="AO81" s="5">
        <v>4</v>
      </c>
      <c r="AP81" s="5">
        <v>4</v>
      </c>
      <c r="AQ81" s="5">
        <v>5</v>
      </c>
      <c r="AR81" s="5">
        <v>4</v>
      </c>
      <c r="AS81" s="5">
        <v>4</v>
      </c>
      <c r="AT81" s="5">
        <v>2</v>
      </c>
      <c r="AU81" s="5">
        <v>4</v>
      </c>
      <c r="AV81" s="5">
        <v>3</v>
      </c>
      <c r="AW81" s="5">
        <v>4</v>
      </c>
      <c r="AX81" s="5">
        <v>4</v>
      </c>
      <c r="AY81" s="5">
        <v>3</v>
      </c>
      <c r="AZ81" s="5">
        <v>4</v>
      </c>
      <c r="BA81" s="5">
        <v>4</v>
      </c>
      <c r="BB81" s="5">
        <v>4</v>
      </c>
      <c r="BC81" s="5">
        <v>2</v>
      </c>
      <c r="BD81" s="5">
        <v>3</v>
      </c>
      <c r="BE81" s="5">
        <v>4</v>
      </c>
      <c r="BF81" s="5">
        <v>3</v>
      </c>
      <c r="BG81" s="5">
        <v>1</v>
      </c>
      <c r="BH81" s="5">
        <v>5</v>
      </c>
      <c r="BI81" s="5">
        <v>3</v>
      </c>
      <c r="BJ81" s="5">
        <v>3</v>
      </c>
      <c r="BK81" s="5">
        <v>4</v>
      </c>
      <c r="BL81" s="2" t="s">
        <v>442</v>
      </c>
      <c r="BM81" s="1">
        <v>45842.909039317128</v>
      </c>
    </row>
    <row r="82" spans="1:65" ht="13.5" customHeight="1" x14ac:dyDescent="0.35">
      <c r="A82" t="s">
        <v>678</v>
      </c>
      <c r="B82" s="2" t="s">
        <v>450</v>
      </c>
      <c r="C82" s="2" t="s">
        <v>451</v>
      </c>
      <c r="D82" s="5">
        <v>4</v>
      </c>
      <c r="E82" s="5">
        <v>1</v>
      </c>
      <c r="F82" s="5">
        <v>5</v>
      </c>
      <c r="G82" s="5">
        <v>3</v>
      </c>
      <c r="H82" s="5">
        <v>4</v>
      </c>
      <c r="I82" s="5">
        <v>2</v>
      </c>
      <c r="J82" s="5">
        <v>5</v>
      </c>
      <c r="K82" s="5">
        <v>1</v>
      </c>
      <c r="L82" s="5">
        <v>5</v>
      </c>
      <c r="M82" s="5">
        <v>5</v>
      </c>
      <c r="N82" s="5">
        <v>2</v>
      </c>
      <c r="O82" s="5">
        <v>3</v>
      </c>
      <c r="P82" s="5">
        <v>4</v>
      </c>
      <c r="Q82" s="5">
        <v>5</v>
      </c>
      <c r="R82" s="5">
        <v>5</v>
      </c>
      <c r="S82" s="5">
        <v>1</v>
      </c>
      <c r="T82" s="5">
        <v>5</v>
      </c>
      <c r="U82" s="5">
        <v>5</v>
      </c>
      <c r="V82" s="5">
        <v>1</v>
      </c>
      <c r="W82" s="5">
        <v>1</v>
      </c>
      <c r="X82" s="5">
        <v>2</v>
      </c>
      <c r="Y82" s="5">
        <v>3</v>
      </c>
      <c r="Z82" s="5">
        <v>4</v>
      </c>
      <c r="AA82" s="5">
        <v>1</v>
      </c>
      <c r="AB82" s="5">
        <v>1</v>
      </c>
      <c r="AC82" s="5">
        <v>3</v>
      </c>
      <c r="AD82" s="5">
        <v>5</v>
      </c>
      <c r="AE82" s="5">
        <v>5</v>
      </c>
      <c r="AF82" s="5">
        <v>4</v>
      </c>
      <c r="AG82" s="5">
        <v>2</v>
      </c>
      <c r="AH82" s="5">
        <v>2</v>
      </c>
      <c r="AI82" s="5">
        <v>4</v>
      </c>
      <c r="AJ82" s="5">
        <v>3</v>
      </c>
      <c r="AK82" s="5">
        <v>5</v>
      </c>
      <c r="AL82" s="5">
        <v>2</v>
      </c>
      <c r="AM82" s="5">
        <v>2</v>
      </c>
      <c r="AN82" s="5">
        <v>2</v>
      </c>
      <c r="AO82" s="5">
        <v>5</v>
      </c>
      <c r="AP82" s="5">
        <v>5</v>
      </c>
      <c r="AQ82" s="5">
        <v>3</v>
      </c>
      <c r="AR82" s="5">
        <v>2</v>
      </c>
      <c r="AS82" s="5">
        <v>3</v>
      </c>
      <c r="AT82" s="5">
        <v>5</v>
      </c>
      <c r="AU82" s="5">
        <v>5</v>
      </c>
      <c r="AV82" s="5">
        <v>5</v>
      </c>
      <c r="AW82" s="5">
        <v>3</v>
      </c>
      <c r="AX82" s="5">
        <v>5</v>
      </c>
      <c r="AY82" s="5">
        <v>2</v>
      </c>
      <c r="AZ82" s="5">
        <v>5</v>
      </c>
      <c r="BA82" s="5">
        <v>4</v>
      </c>
      <c r="BB82" s="5">
        <v>5</v>
      </c>
      <c r="BC82" s="5">
        <v>5</v>
      </c>
      <c r="BD82" s="5">
        <v>4</v>
      </c>
      <c r="BE82" s="5">
        <v>5</v>
      </c>
      <c r="BF82" s="5">
        <v>3</v>
      </c>
      <c r="BG82" s="5">
        <v>2</v>
      </c>
      <c r="BH82" s="5">
        <v>4</v>
      </c>
      <c r="BI82" s="5">
        <v>5</v>
      </c>
      <c r="BJ82" s="5">
        <v>4</v>
      </c>
      <c r="BK82" s="5">
        <v>5</v>
      </c>
      <c r="BL82" s="2" t="s">
        <v>452</v>
      </c>
      <c r="BM82" s="1">
        <v>45842.960602638886</v>
      </c>
    </row>
    <row r="83" spans="1:65" ht="13.5" customHeight="1" x14ac:dyDescent="0.35">
      <c r="A83" t="s">
        <v>679</v>
      </c>
      <c r="B83" s="2" t="s">
        <v>455</v>
      </c>
      <c r="C83" s="2" t="s">
        <v>456</v>
      </c>
      <c r="D83" s="5">
        <v>5</v>
      </c>
      <c r="E83" s="5">
        <v>4</v>
      </c>
      <c r="F83" s="5">
        <v>2</v>
      </c>
      <c r="G83" s="5">
        <v>4</v>
      </c>
      <c r="H83" s="5">
        <v>3</v>
      </c>
      <c r="I83" s="5">
        <v>1</v>
      </c>
      <c r="J83" s="5">
        <v>5</v>
      </c>
      <c r="K83" s="5">
        <v>4</v>
      </c>
      <c r="L83" s="5">
        <v>1</v>
      </c>
      <c r="M83" s="5">
        <v>5</v>
      </c>
      <c r="N83" s="5">
        <v>4</v>
      </c>
      <c r="O83" s="5">
        <v>5</v>
      </c>
      <c r="P83" s="5">
        <v>4</v>
      </c>
      <c r="Q83" s="5">
        <v>4</v>
      </c>
      <c r="R83" s="5">
        <v>5</v>
      </c>
      <c r="S83" s="5">
        <v>4</v>
      </c>
      <c r="T83" s="5">
        <v>2</v>
      </c>
      <c r="U83" s="5">
        <v>1</v>
      </c>
      <c r="V83" s="5">
        <v>2</v>
      </c>
      <c r="W83" s="5">
        <v>2</v>
      </c>
      <c r="X83" s="5">
        <v>3</v>
      </c>
      <c r="Y83" s="5">
        <v>1</v>
      </c>
      <c r="Z83" s="5">
        <v>4</v>
      </c>
      <c r="AA83" s="5">
        <v>2</v>
      </c>
      <c r="AB83" s="5">
        <v>2</v>
      </c>
      <c r="AC83" s="5">
        <v>4</v>
      </c>
      <c r="AD83" s="5">
        <v>2</v>
      </c>
      <c r="AE83" s="5">
        <v>4</v>
      </c>
      <c r="AF83" s="5">
        <v>3</v>
      </c>
      <c r="AG83" s="5">
        <v>4</v>
      </c>
      <c r="AH83" s="5">
        <v>4</v>
      </c>
      <c r="AI83" s="5">
        <v>4</v>
      </c>
      <c r="AJ83" s="5">
        <v>4</v>
      </c>
      <c r="AK83" s="5">
        <v>2</v>
      </c>
      <c r="AL83" s="5">
        <v>4</v>
      </c>
      <c r="AM83" s="5">
        <v>3</v>
      </c>
      <c r="AN83" s="5">
        <v>1</v>
      </c>
      <c r="AO83" s="5">
        <v>2</v>
      </c>
      <c r="AP83" s="5">
        <v>4</v>
      </c>
      <c r="AQ83" s="5">
        <v>4</v>
      </c>
      <c r="AR83" s="5">
        <v>2</v>
      </c>
      <c r="AS83" s="5">
        <v>1</v>
      </c>
      <c r="AT83" s="5">
        <v>4</v>
      </c>
      <c r="AU83" s="5">
        <v>2</v>
      </c>
      <c r="AV83" s="5">
        <v>5</v>
      </c>
      <c r="AW83" s="5">
        <v>2</v>
      </c>
      <c r="AX83" s="5">
        <v>3</v>
      </c>
      <c r="AY83" s="5">
        <v>5</v>
      </c>
      <c r="AZ83" s="5">
        <v>1</v>
      </c>
      <c r="BA83" s="5">
        <v>5</v>
      </c>
      <c r="BB83" s="5">
        <v>3</v>
      </c>
      <c r="BC83" s="5">
        <v>2</v>
      </c>
      <c r="BD83" s="5">
        <v>5</v>
      </c>
      <c r="BE83" s="5">
        <v>2</v>
      </c>
      <c r="BF83" s="5">
        <v>3</v>
      </c>
      <c r="BG83" s="5">
        <v>4</v>
      </c>
      <c r="BH83" s="5">
        <v>5</v>
      </c>
      <c r="BI83" s="5">
        <v>2</v>
      </c>
      <c r="BJ83" s="5">
        <v>5</v>
      </c>
      <c r="BK83" s="5">
        <v>3</v>
      </c>
      <c r="BL83" s="2" t="s">
        <v>457</v>
      </c>
      <c r="BM83" s="1">
        <v>45843.008860578702</v>
      </c>
    </row>
    <row r="84" spans="1:65" ht="13.5" customHeight="1" x14ac:dyDescent="0.35">
      <c r="A84" t="s">
        <v>680</v>
      </c>
      <c r="B84" s="2" t="s">
        <v>460</v>
      </c>
      <c r="C84" s="2" t="s">
        <v>461</v>
      </c>
      <c r="D84" s="5">
        <v>4</v>
      </c>
      <c r="E84" s="5">
        <v>4</v>
      </c>
      <c r="F84" s="5">
        <v>4</v>
      </c>
      <c r="G84" s="5">
        <v>4</v>
      </c>
      <c r="H84" s="5">
        <v>4</v>
      </c>
      <c r="I84" s="5">
        <v>4</v>
      </c>
      <c r="J84" s="5">
        <v>4</v>
      </c>
      <c r="K84" s="5">
        <v>1</v>
      </c>
      <c r="L84" s="5">
        <v>1</v>
      </c>
      <c r="M84" s="5">
        <v>5</v>
      </c>
      <c r="N84" s="5">
        <v>4</v>
      </c>
      <c r="O84" s="5">
        <v>4</v>
      </c>
      <c r="P84" s="5">
        <v>4</v>
      </c>
      <c r="Q84" s="5">
        <v>3</v>
      </c>
      <c r="R84" s="5">
        <v>5</v>
      </c>
      <c r="S84" s="5">
        <v>1</v>
      </c>
      <c r="T84" s="5">
        <v>5</v>
      </c>
      <c r="U84" s="5">
        <v>2</v>
      </c>
      <c r="V84" s="5">
        <v>1</v>
      </c>
      <c r="W84" s="5">
        <v>4</v>
      </c>
      <c r="X84" s="5">
        <v>5</v>
      </c>
      <c r="Y84" s="5">
        <v>2</v>
      </c>
      <c r="Z84" s="5">
        <v>2</v>
      </c>
      <c r="AA84" s="5">
        <v>5</v>
      </c>
      <c r="AB84" s="5">
        <v>2</v>
      </c>
      <c r="AC84" s="5">
        <v>2</v>
      </c>
      <c r="AD84" s="5">
        <v>5</v>
      </c>
      <c r="AE84" s="5">
        <v>4</v>
      </c>
      <c r="AF84" s="5">
        <v>4</v>
      </c>
      <c r="AG84" s="5">
        <v>5</v>
      </c>
      <c r="AH84" s="5">
        <v>3</v>
      </c>
      <c r="AI84" s="5">
        <v>5</v>
      </c>
      <c r="AJ84" s="5">
        <v>3</v>
      </c>
      <c r="AK84" s="5">
        <v>4</v>
      </c>
      <c r="AL84" s="5">
        <v>4</v>
      </c>
      <c r="AM84" s="5">
        <v>2</v>
      </c>
      <c r="AN84" s="5">
        <v>5</v>
      </c>
      <c r="AO84" s="5">
        <v>5</v>
      </c>
      <c r="AP84" s="5">
        <v>4</v>
      </c>
      <c r="AQ84" s="5">
        <v>3</v>
      </c>
      <c r="AR84" s="5">
        <v>2</v>
      </c>
      <c r="AS84" s="5">
        <v>5</v>
      </c>
      <c r="AT84" s="5">
        <v>5</v>
      </c>
      <c r="AU84" s="5">
        <v>3</v>
      </c>
      <c r="AV84" s="5">
        <v>5</v>
      </c>
      <c r="AW84" s="5">
        <v>1</v>
      </c>
      <c r="AX84" s="5">
        <v>4</v>
      </c>
      <c r="AY84" s="5">
        <v>5</v>
      </c>
      <c r="AZ84" s="5">
        <v>5</v>
      </c>
      <c r="BA84" s="5">
        <v>5</v>
      </c>
      <c r="BB84" s="5">
        <v>4</v>
      </c>
      <c r="BC84" s="5">
        <v>1</v>
      </c>
      <c r="BD84" s="5">
        <v>4</v>
      </c>
      <c r="BE84" s="5">
        <v>4</v>
      </c>
      <c r="BF84" s="5">
        <v>3</v>
      </c>
      <c r="BG84" s="5">
        <v>4</v>
      </c>
      <c r="BH84" s="5">
        <v>3</v>
      </c>
      <c r="BI84" s="5">
        <v>3</v>
      </c>
      <c r="BJ84" s="5">
        <v>5</v>
      </c>
      <c r="BK84" s="5">
        <v>5</v>
      </c>
      <c r="BL84" s="2" t="s">
        <v>462</v>
      </c>
      <c r="BM84" s="1">
        <v>45843.012901192131</v>
      </c>
    </row>
    <row r="85" spans="1:65" ht="13.5" customHeight="1" x14ac:dyDescent="0.35">
      <c r="A85" t="s">
        <v>681</v>
      </c>
      <c r="B85" s="2" t="s">
        <v>470</v>
      </c>
      <c r="C85" s="2" t="s">
        <v>471</v>
      </c>
      <c r="D85" s="5">
        <v>5</v>
      </c>
      <c r="E85" s="5">
        <v>5</v>
      </c>
      <c r="F85" s="5">
        <v>1</v>
      </c>
      <c r="G85" s="5">
        <v>2</v>
      </c>
      <c r="H85" s="5">
        <v>5</v>
      </c>
      <c r="I85" s="5">
        <v>1</v>
      </c>
      <c r="J85" s="5">
        <v>4</v>
      </c>
      <c r="K85" s="5">
        <v>1</v>
      </c>
      <c r="L85" s="5">
        <v>2</v>
      </c>
      <c r="M85" s="5">
        <v>5</v>
      </c>
      <c r="N85" s="5">
        <v>2</v>
      </c>
      <c r="O85" s="5">
        <v>3</v>
      </c>
      <c r="P85" s="5">
        <v>4</v>
      </c>
      <c r="Q85" s="5">
        <v>1</v>
      </c>
      <c r="R85" s="5">
        <v>5</v>
      </c>
      <c r="S85" s="5">
        <v>1</v>
      </c>
      <c r="T85" s="5">
        <v>5</v>
      </c>
      <c r="U85" s="5">
        <v>2</v>
      </c>
      <c r="V85" s="5">
        <v>1</v>
      </c>
      <c r="W85" s="5">
        <v>5</v>
      </c>
      <c r="X85" s="5">
        <v>5</v>
      </c>
      <c r="Y85" s="5">
        <v>2</v>
      </c>
      <c r="Z85" s="5">
        <v>5</v>
      </c>
      <c r="AA85" s="5">
        <v>1</v>
      </c>
      <c r="AB85" s="5">
        <v>1</v>
      </c>
      <c r="AC85" s="5">
        <v>3</v>
      </c>
      <c r="AD85" s="5">
        <v>3</v>
      </c>
      <c r="AE85" s="5">
        <v>5</v>
      </c>
      <c r="AF85" s="5">
        <v>4</v>
      </c>
      <c r="AG85" s="5">
        <v>4</v>
      </c>
      <c r="AH85" s="5">
        <v>1</v>
      </c>
      <c r="AI85" s="5">
        <v>4</v>
      </c>
      <c r="AJ85" s="5">
        <v>5</v>
      </c>
      <c r="AK85" s="5">
        <v>2</v>
      </c>
      <c r="AL85" s="5">
        <v>4</v>
      </c>
      <c r="AM85" s="5">
        <v>1</v>
      </c>
      <c r="AN85" s="5">
        <v>1</v>
      </c>
      <c r="AO85" s="5">
        <v>5</v>
      </c>
      <c r="AP85" s="5">
        <v>3</v>
      </c>
      <c r="AQ85" s="5">
        <v>2</v>
      </c>
      <c r="AR85" s="5">
        <v>2</v>
      </c>
      <c r="AS85" s="5">
        <v>1</v>
      </c>
      <c r="AT85" s="5">
        <v>5</v>
      </c>
      <c r="AU85" s="5">
        <v>2</v>
      </c>
      <c r="AV85" s="5">
        <v>5</v>
      </c>
      <c r="AW85" s="5">
        <v>2</v>
      </c>
      <c r="AX85" s="5">
        <v>3</v>
      </c>
      <c r="AY85" s="5">
        <v>2</v>
      </c>
      <c r="AZ85" s="5">
        <v>4</v>
      </c>
      <c r="BA85" s="5">
        <v>4</v>
      </c>
      <c r="BB85" s="5">
        <v>2</v>
      </c>
      <c r="BC85" s="5">
        <v>5</v>
      </c>
      <c r="BD85" s="5">
        <v>5</v>
      </c>
      <c r="BE85" s="5">
        <v>2</v>
      </c>
      <c r="BF85" s="5">
        <v>5</v>
      </c>
      <c r="BG85" s="5">
        <v>1</v>
      </c>
      <c r="BH85" s="5">
        <v>4</v>
      </c>
      <c r="BI85" s="5">
        <v>3</v>
      </c>
      <c r="BJ85" s="5">
        <v>4</v>
      </c>
      <c r="BK85" s="5">
        <v>4</v>
      </c>
      <c r="BL85" s="2" t="s">
        <v>472</v>
      </c>
      <c r="BM85" s="1">
        <v>45940.711107546296</v>
      </c>
    </row>
    <row r="86" spans="1:65" ht="13.5" customHeight="1" x14ac:dyDescent="0.35">
      <c r="A86" t="s">
        <v>682</v>
      </c>
      <c r="B86" s="2" t="s">
        <v>465</v>
      </c>
      <c r="C86" s="2" t="s">
        <v>466</v>
      </c>
      <c r="D86" s="5">
        <v>5</v>
      </c>
      <c r="E86" s="5">
        <v>3</v>
      </c>
      <c r="F86" s="5">
        <v>1</v>
      </c>
      <c r="G86" s="5">
        <v>3</v>
      </c>
      <c r="H86" s="5">
        <v>5</v>
      </c>
      <c r="I86" s="5">
        <v>4</v>
      </c>
      <c r="J86" s="5">
        <v>5</v>
      </c>
      <c r="K86" s="5">
        <v>1</v>
      </c>
      <c r="L86" s="5">
        <v>2</v>
      </c>
      <c r="M86" s="5">
        <v>5</v>
      </c>
      <c r="N86" s="5">
        <v>5</v>
      </c>
      <c r="O86" s="5">
        <v>5</v>
      </c>
      <c r="P86" s="5">
        <v>5</v>
      </c>
      <c r="Q86" s="5">
        <v>1</v>
      </c>
      <c r="R86" s="5">
        <v>5</v>
      </c>
      <c r="S86" s="5">
        <v>1</v>
      </c>
      <c r="T86" s="5">
        <v>5</v>
      </c>
      <c r="U86" s="5">
        <v>3</v>
      </c>
      <c r="V86" s="5">
        <v>1</v>
      </c>
      <c r="W86" s="5">
        <v>5</v>
      </c>
      <c r="X86" s="5">
        <v>5</v>
      </c>
      <c r="Y86" s="5">
        <v>3</v>
      </c>
      <c r="Z86" s="5">
        <v>5</v>
      </c>
      <c r="AA86" s="5">
        <v>1</v>
      </c>
      <c r="AB86" s="5">
        <v>1</v>
      </c>
      <c r="AC86" s="5">
        <v>5</v>
      </c>
      <c r="AD86" s="5">
        <v>4</v>
      </c>
      <c r="AE86" s="5">
        <v>3</v>
      </c>
      <c r="AF86" s="5">
        <v>3</v>
      </c>
      <c r="AG86" s="5">
        <v>4</v>
      </c>
      <c r="AH86" s="5">
        <v>1</v>
      </c>
      <c r="AI86" s="5">
        <v>5</v>
      </c>
      <c r="AJ86" s="5">
        <v>5</v>
      </c>
      <c r="AK86" s="5">
        <v>3</v>
      </c>
      <c r="AL86" s="5">
        <v>4</v>
      </c>
      <c r="AM86" s="5">
        <v>1</v>
      </c>
      <c r="AN86" s="5">
        <v>3</v>
      </c>
      <c r="AO86" s="5">
        <v>5</v>
      </c>
      <c r="AP86" s="5">
        <v>4</v>
      </c>
      <c r="AQ86" s="5">
        <v>5</v>
      </c>
      <c r="AR86" s="5">
        <v>1</v>
      </c>
      <c r="AS86" s="5">
        <v>4</v>
      </c>
      <c r="AT86" s="5">
        <v>5</v>
      </c>
      <c r="AU86" s="5">
        <v>3</v>
      </c>
      <c r="AV86" s="5">
        <v>5</v>
      </c>
      <c r="AW86" s="5">
        <v>1</v>
      </c>
      <c r="AX86" s="5">
        <v>4</v>
      </c>
      <c r="AY86" s="5">
        <v>5</v>
      </c>
      <c r="AZ86" s="5">
        <v>5</v>
      </c>
      <c r="BA86" s="5">
        <v>5</v>
      </c>
      <c r="BB86" s="5">
        <v>5</v>
      </c>
      <c r="BC86" s="5">
        <v>3</v>
      </c>
      <c r="BD86" s="5">
        <v>5</v>
      </c>
      <c r="BE86" s="5">
        <v>3</v>
      </c>
      <c r="BF86" s="5">
        <v>5</v>
      </c>
      <c r="BG86" s="5">
        <v>5</v>
      </c>
      <c r="BH86" s="5">
        <v>5</v>
      </c>
      <c r="BI86" s="5">
        <v>5</v>
      </c>
      <c r="BJ86" s="5">
        <v>5</v>
      </c>
      <c r="BK86" s="5">
        <v>5</v>
      </c>
      <c r="BL86" s="2" t="s">
        <v>467</v>
      </c>
      <c r="BM86" s="1">
        <v>45940.70972190972</v>
      </c>
    </row>
    <row r="87" spans="1:65" ht="13.5" customHeight="1" x14ac:dyDescent="0.35">
      <c r="A87" t="s">
        <v>683</v>
      </c>
      <c r="B87" s="2" t="s">
        <v>527</v>
      </c>
      <c r="C87" s="2" t="s">
        <v>528</v>
      </c>
      <c r="D87" s="5">
        <v>4</v>
      </c>
      <c r="E87" s="5">
        <v>4</v>
      </c>
      <c r="F87" s="5">
        <v>1</v>
      </c>
      <c r="G87" s="5">
        <v>3</v>
      </c>
      <c r="H87" s="5">
        <v>5</v>
      </c>
      <c r="I87" s="5">
        <v>5</v>
      </c>
      <c r="J87" s="5">
        <v>3</v>
      </c>
      <c r="K87" s="5">
        <v>1</v>
      </c>
      <c r="L87" s="5">
        <v>2</v>
      </c>
      <c r="M87" s="5">
        <v>4</v>
      </c>
      <c r="N87" s="5">
        <v>4</v>
      </c>
      <c r="O87" s="5">
        <v>4</v>
      </c>
      <c r="P87" s="5">
        <v>3</v>
      </c>
      <c r="Q87" s="5">
        <v>2</v>
      </c>
      <c r="R87" s="5">
        <v>3</v>
      </c>
      <c r="S87" s="5">
        <v>4</v>
      </c>
      <c r="T87" s="5">
        <v>4</v>
      </c>
      <c r="U87" s="5">
        <v>3</v>
      </c>
      <c r="V87" s="5">
        <v>2</v>
      </c>
      <c r="W87" s="5">
        <v>5</v>
      </c>
      <c r="X87" s="5">
        <v>5</v>
      </c>
      <c r="Y87" s="5">
        <v>3</v>
      </c>
      <c r="Z87" s="5">
        <v>3</v>
      </c>
      <c r="AA87" s="5">
        <v>1</v>
      </c>
      <c r="AB87" s="5">
        <v>2</v>
      </c>
      <c r="AC87" s="5">
        <v>5</v>
      </c>
      <c r="AD87" s="5">
        <v>5</v>
      </c>
      <c r="AE87" s="5">
        <v>5</v>
      </c>
      <c r="AF87" s="5">
        <v>3</v>
      </c>
      <c r="AG87" s="5">
        <v>4</v>
      </c>
      <c r="AH87" s="5">
        <v>1</v>
      </c>
      <c r="AI87" s="5">
        <v>5</v>
      </c>
      <c r="AJ87" s="5">
        <v>2</v>
      </c>
      <c r="AK87" s="5">
        <v>3</v>
      </c>
      <c r="AL87" s="5">
        <v>4</v>
      </c>
      <c r="AM87" s="5">
        <v>2</v>
      </c>
      <c r="AN87" s="5">
        <v>5</v>
      </c>
      <c r="AO87" s="5">
        <v>5</v>
      </c>
      <c r="AP87" s="5">
        <v>4</v>
      </c>
      <c r="AQ87" s="5">
        <v>4</v>
      </c>
      <c r="AR87" s="5">
        <v>1</v>
      </c>
      <c r="AS87" s="5">
        <v>5</v>
      </c>
      <c r="AT87" s="5">
        <v>5</v>
      </c>
      <c r="AU87" s="5">
        <v>3</v>
      </c>
      <c r="AV87" s="5">
        <v>4</v>
      </c>
      <c r="AW87" s="5">
        <v>1</v>
      </c>
      <c r="AX87" s="5">
        <v>2</v>
      </c>
      <c r="AY87" s="5">
        <v>3</v>
      </c>
      <c r="AZ87" s="5">
        <v>5</v>
      </c>
      <c r="BA87" s="5">
        <v>5</v>
      </c>
      <c r="BB87" s="5">
        <v>4</v>
      </c>
      <c r="BC87" s="5">
        <v>4</v>
      </c>
      <c r="BD87" s="5">
        <v>2</v>
      </c>
      <c r="BE87" s="5">
        <v>3</v>
      </c>
      <c r="BF87" s="5">
        <v>5</v>
      </c>
      <c r="BG87" s="5">
        <v>5</v>
      </c>
      <c r="BH87" s="5">
        <v>5</v>
      </c>
      <c r="BI87" s="5">
        <v>2</v>
      </c>
      <c r="BJ87" s="5">
        <v>4</v>
      </c>
      <c r="BK87" s="5">
        <v>5</v>
      </c>
      <c r="BL87" s="2" t="s">
        <v>529</v>
      </c>
      <c r="BM87" s="1">
        <v>45940.716402337966</v>
      </c>
    </row>
    <row r="88" spans="1:65" ht="13.5" customHeight="1" x14ac:dyDescent="0.35">
      <c r="A88" t="s">
        <v>684</v>
      </c>
      <c r="B88" s="2" t="s">
        <v>495</v>
      </c>
      <c r="C88" s="2" t="s">
        <v>496</v>
      </c>
      <c r="D88" s="5">
        <v>5</v>
      </c>
      <c r="E88" s="5">
        <v>5</v>
      </c>
      <c r="F88" s="5">
        <v>1</v>
      </c>
      <c r="G88" s="5">
        <v>2</v>
      </c>
      <c r="H88" s="5">
        <v>3</v>
      </c>
      <c r="I88" s="5">
        <v>5</v>
      </c>
      <c r="J88" s="5">
        <v>3</v>
      </c>
      <c r="K88" s="5">
        <v>1</v>
      </c>
      <c r="L88" s="5">
        <v>3</v>
      </c>
      <c r="M88" s="5">
        <v>5</v>
      </c>
      <c r="N88" s="5">
        <v>5</v>
      </c>
      <c r="O88" s="5">
        <v>3</v>
      </c>
      <c r="P88" s="5">
        <v>4</v>
      </c>
      <c r="Q88" s="5">
        <v>1</v>
      </c>
      <c r="R88" s="5">
        <v>5</v>
      </c>
      <c r="S88" s="5">
        <v>1</v>
      </c>
      <c r="T88" s="5">
        <v>5</v>
      </c>
      <c r="U88" s="5">
        <v>3</v>
      </c>
      <c r="V88" s="5">
        <v>1</v>
      </c>
      <c r="W88" s="5">
        <v>2</v>
      </c>
      <c r="X88" s="5">
        <v>5</v>
      </c>
      <c r="Y88" s="5">
        <v>5</v>
      </c>
      <c r="Z88" s="5">
        <v>5</v>
      </c>
      <c r="AA88" s="5">
        <v>1</v>
      </c>
      <c r="AB88" s="5">
        <v>1</v>
      </c>
      <c r="AC88" s="5">
        <v>4</v>
      </c>
      <c r="AD88" s="5">
        <v>3</v>
      </c>
      <c r="AE88" s="5">
        <v>5</v>
      </c>
      <c r="AF88" s="5">
        <v>4</v>
      </c>
      <c r="AG88" s="5">
        <v>5</v>
      </c>
      <c r="AH88" s="5">
        <v>1</v>
      </c>
      <c r="AI88" s="5">
        <v>4</v>
      </c>
      <c r="AJ88" s="5">
        <v>5</v>
      </c>
      <c r="AK88" s="5">
        <v>3</v>
      </c>
      <c r="AL88" s="5">
        <v>3</v>
      </c>
      <c r="AM88" s="5">
        <v>1</v>
      </c>
      <c r="AN88" s="5">
        <v>4</v>
      </c>
      <c r="AO88" s="5">
        <v>3</v>
      </c>
      <c r="AP88" s="5">
        <v>3</v>
      </c>
      <c r="AQ88" s="5">
        <v>4</v>
      </c>
      <c r="AR88" s="5">
        <v>1</v>
      </c>
      <c r="AS88" s="5">
        <v>5</v>
      </c>
      <c r="AT88" s="5">
        <v>5</v>
      </c>
      <c r="AU88" s="5">
        <v>3</v>
      </c>
      <c r="AV88" s="5">
        <v>4</v>
      </c>
      <c r="AW88" s="5">
        <v>1</v>
      </c>
      <c r="AX88" s="5">
        <v>4</v>
      </c>
      <c r="AY88" s="5">
        <v>5</v>
      </c>
      <c r="AZ88" s="5">
        <v>4</v>
      </c>
      <c r="BA88" s="5">
        <v>5</v>
      </c>
      <c r="BB88" s="5">
        <v>4</v>
      </c>
      <c r="BC88" s="5">
        <v>4</v>
      </c>
      <c r="BD88" s="5">
        <v>2</v>
      </c>
      <c r="BE88" s="5">
        <v>3</v>
      </c>
      <c r="BF88" s="5">
        <v>4</v>
      </c>
      <c r="BG88" s="5">
        <v>4</v>
      </c>
      <c r="BH88" s="5">
        <v>5</v>
      </c>
      <c r="BI88" s="5">
        <v>5</v>
      </c>
      <c r="BJ88" s="5">
        <v>4</v>
      </c>
      <c r="BK88" s="5">
        <v>5</v>
      </c>
      <c r="BL88" s="2" t="s">
        <v>497</v>
      </c>
      <c r="BM88" s="1">
        <v>45940.713000914351</v>
      </c>
    </row>
    <row r="89" spans="1:65" ht="13.5" customHeight="1" x14ac:dyDescent="0.35">
      <c r="A89" t="s">
        <v>685</v>
      </c>
      <c r="B89" s="2" t="s">
        <v>490</v>
      </c>
      <c r="C89" s="2" t="s">
        <v>491</v>
      </c>
      <c r="D89" s="5">
        <v>4</v>
      </c>
      <c r="E89" s="5">
        <v>5</v>
      </c>
      <c r="F89" s="5">
        <v>1</v>
      </c>
      <c r="G89" s="5">
        <v>4</v>
      </c>
      <c r="H89" s="5">
        <v>5</v>
      </c>
      <c r="I89" s="5">
        <v>5</v>
      </c>
      <c r="J89" s="5">
        <v>5</v>
      </c>
      <c r="K89" s="5">
        <v>1</v>
      </c>
      <c r="L89" s="5">
        <v>5</v>
      </c>
      <c r="M89" s="5">
        <v>5</v>
      </c>
      <c r="N89" s="5">
        <v>5</v>
      </c>
      <c r="O89" s="5">
        <v>5</v>
      </c>
      <c r="P89" s="5">
        <v>5</v>
      </c>
      <c r="Q89" s="5">
        <v>1</v>
      </c>
      <c r="R89" s="5">
        <v>5</v>
      </c>
      <c r="S89" s="5">
        <v>1</v>
      </c>
      <c r="T89" s="5">
        <v>5</v>
      </c>
      <c r="U89" s="5">
        <v>5</v>
      </c>
      <c r="V89" s="5">
        <v>2</v>
      </c>
      <c r="W89" s="5">
        <v>4</v>
      </c>
      <c r="X89" s="5">
        <v>5</v>
      </c>
      <c r="Y89" s="5">
        <v>2</v>
      </c>
      <c r="Z89" s="5">
        <v>2</v>
      </c>
      <c r="AA89" s="5">
        <v>2</v>
      </c>
      <c r="AB89" s="5">
        <v>1</v>
      </c>
      <c r="AC89" s="5">
        <v>5</v>
      </c>
      <c r="AD89" s="5">
        <v>5</v>
      </c>
      <c r="AE89" s="5">
        <v>5</v>
      </c>
      <c r="AF89" s="5">
        <v>5</v>
      </c>
      <c r="AG89" s="5">
        <v>5</v>
      </c>
      <c r="AH89" s="5">
        <v>0</v>
      </c>
      <c r="AI89" s="5">
        <v>5</v>
      </c>
      <c r="AJ89" s="5">
        <v>5</v>
      </c>
      <c r="AK89" s="5">
        <v>2</v>
      </c>
      <c r="AL89" s="5">
        <v>4</v>
      </c>
      <c r="AM89" s="5">
        <v>2</v>
      </c>
      <c r="AN89" s="5">
        <v>5</v>
      </c>
      <c r="AO89" s="5">
        <v>5</v>
      </c>
      <c r="AP89" s="5">
        <v>5</v>
      </c>
      <c r="AQ89" s="5">
        <v>5</v>
      </c>
      <c r="AR89" s="5">
        <v>1</v>
      </c>
      <c r="AS89" s="5">
        <v>3</v>
      </c>
      <c r="AT89" s="5">
        <v>5</v>
      </c>
      <c r="AU89" s="5">
        <v>3</v>
      </c>
      <c r="AV89" s="5">
        <v>5</v>
      </c>
      <c r="AW89" s="5">
        <v>1</v>
      </c>
      <c r="AX89" s="5">
        <v>5</v>
      </c>
      <c r="AY89" s="5">
        <v>5</v>
      </c>
      <c r="AZ89" s="5">
        <v>5</v>
      </c>
      <c r="BA89" s="5">
        <v>5</v>
      </c>
      <c r="BB89" s="5">
        <v>4</v>
      </c>
      <c r="BC89" s="5">
        <v>5</v>
      </c>
      <c r="BD89" s="5">
        <v>2</v>
      </c>
      <c r="BE89" s="5">
        <v>5</v>
      </c>
      <c r="BF89" s="5">
        <v>4</v>
      </c>
      <c r="BG89" s="5">
        <v>4</v>
      </c>
      <c r="BH89" s="5">
        <v>5</v>
      </c>
      <c r="BI89" s="5">
        <v>5</v>
      </c>
      <c r="BJ89" s="5">
        <v>5</v>
      </c>
      <c r="BK89" s="5">
        <v>5</v>
      </c>
      <c r="BL89" s="2" t="s">
        <v>492</v>
      </c>
      <c r="BM89" s="1">
        <v>45940.712709722226</v>
      </c>
    </row>
    <row r="90" spans="1:65" ht="13.5" customHeight="1" x14ac:dyDescent="0.35">
      <c r="A90" t="s">
        <v>686</v>
      </c>
      <c r="B90" s="2" t="s">
        <v>506</v>
      </c>
      <c r="C90" s="2" t="s">
        <v>507</v>
      </c>
      <c r="D90" s="5">
        <v>5</v>
      </c>
      <c r="E90" s="5">
        <v>5</v>
      </c>
      <c r="F90" s="5">
        <v>3</v>
      </c>
      <c r="G90" s="5">
        <v>5</v>
      </c>
      <c r="H90" s="5">
        <v>3</v>
      </c>
      <c r="I90" s="5">
        <v>4</v>
      </c>
      <c r="J90" s="5">
        <v>4</v>
      </c>
      <c r="K90" s="5">
        <v>2</v>
      </c>
      <c r="L90" s="5">
        <v>5</v>
      </c>
      <c r="M90" s="5">
        <v>5</v>
      </c>
      <c r="N90" s="5">
        <v>4</v>
      </c>
      <c r="O90" s="5">
        <v>3</v>
      </c>
      <c r="P90" s="5">
        <v>3</v>
      </c>
      <c r="Q90" s="5">
        <v>4</v>
      </c>
      <c r="R90" s="5">
        <v>5</v>
      </c>
      <c r="S90" s="5">
        <v>1</v>
      </c>
      <c r="T90" s="5">
        <v>5</v>
      </c>
      <c r="U90" s="5">
        <v>4</v>
      </c>
      <c r="V90" s="5">
        <v>3</v>
      </c>
      <c r="W90" s="5">
        <v>1</v>
      </c>
      <c r="X90" s="5">
        <v>5</v>
      </c>
      <c r="Y90" s="5">
        <v>3</v>
      </c>
      <c r="Z90" s="5">
        <v>3</v>
      </c>
      <c r="AA90" s="5">
        <v>1</v>
      </c>
      <c r="AB90" s="5">
        <v>2</v>
      </c>
      <c r="AC90" s="5">
        <v>3</v>
      </c>
      <c r="AD90" s="5">
        <v>4</v>
      </c>
      <c r="AE90" s="5">
        <v>4</v>
      </c>
      <c r="AF90" s="5">
        <v>4</v>
      </c>
      <c r="AG90" s="5">
        <v>4</v>
      </c>
      <c r="AH90" s="5">
        <v>2</v>
      </c>
      <c r="AI90" s="5">
        <v>5</v>
      </c>
      <c r="AJ90" s="5">
        <v>3</v>
      </c>
      <c r="AK90" s="5">
        <v>2</v>
      </c>
      <c r="AL90" s="5">
        <v>4</v>
      </c>
      <c r="AM90" s="5">
        <v>2</v>
      </c>
      <c r="AN90" s="5">
        <v>3</v>
      </c>
      <c r="AO90" s="5">
        <v>3</v>
      </c>
      <c r="AP90" s="5">
        <v>5</v>
      </c>
      <c r="AQ90" s="5">
        <v>3</v>
      </c>
      <c r="AR90" s="5">
        <v>2</v>
      </c>
      <c r="AS90" s="5">
        <v>4</v>
      </c>
      <c r="AT90" s="5">
        <v>4</v>
      </c>
      <c r="AU90" s="5">
        <v>3</v>
      </c>
      <c r="AV90" s="5">
        <v>3</v>
      </c>
      <c r="AW90" s="5">
        <v>4</v>
      </c>
      <c r="AX90" s="5">
        <v>2</v>
      </c>
      <c r="AY90" s="5">
        <v>4</v>
      </c>
      <c r="AZ90" s="5">
        <v>3</v>
      </c>
      <c r="BA90" s="5">
        <v>4</v>
      </c>
      <c r="BB90" s="5">
        <v>3</v>
      </c>
      <c r="BC90" s="5">
        <v>1</v>
      </c>
      <c r="BD90" s="5">
        <v>5</v>
      </c>
      <c r="BE90" s="5">
        <v>2</v>
      </c>
      <c r="BF90" s="5">
        <v>4</v>
      </c>
      <c r="BG90" s="5">
        <v>4</v>
      </c>
      <c r="BH90" s="5">
        <v>5</v>
      </c>
      <c r="BI90" s="5">
        <v>5</v>
      </c>
      <c r="BJ90" s="5">
        <v>3</v>
      </c>
      <c r="BK90" s="5">
        <v>3</v>
      </c>
      <c r="BL90" s="2" t="s">
        <v>508</v>
      </c>
      <c r="BM90" s="1">
        <v>45940.714705613427</v>
      </c>
    </row>
    <row r="91" spans="1:65" ht="13.5" customHeight="1" x14ac:dyDescent="0.35">
      <c r="A91" t="s">
        <v>687</v>
      </c>
      <c r="B91" s="2" t="s">
        <v>475</v>
      </c>
      <c r="C91" s="2" t="s">
        <v>476</v>
      </c>
      <c r="D91" s="5">
        <v>4</v>
      </c>
      <c r="E91" s="5">
        <v>3</v>
      </c>
      <c r="F91" s="5">
        <v>5</v>
      </c>
      <c r="G91" s="5">
        <v>5</v>
      </c>
      <c r="H91" s="5">
        <v>4</v>
      </c>
      <c r="I91" s="5">
        <v>5</v>
      </c>
      <c r="J91" s="5">
        <v>3</v>
      </c>
      <c r="K91" s="5">
        <v>4</v>
      </c>
      <c r="L91" s="5">
        <v>3</v>
      </c>
      <c r="M91" s="5">
        <v>4</v>
      </c>
      <c r="N91" s="5">
        <v>1</v>
      </c>
      <c r="O91" s="5">
        <v>3</v>
      </c>
      <c r="P91" s="5">
        <v>3</v>
      </c>
      <c r="Q91" s="5">
        <v>5</v>
      </c>
      <c r="R91" s="5">
        <v>5</v>
      </c>
      <c r="S91" s="5">
        <v>5</v>
      </c>
      <c r="T91" s="5">
        <v>3</v>
      </c>
      <c r="U91" s="5">
        <v>3</v>
      </c>
      <c r="V91" s="5">
        <v>5</v>
      </c>
      <c r="W91" s="5">
        <v>2</v>
      </c>
      <c r="X91" s="5">
        <v>4</v>
      </c>
      <c r="Y91" s="5">
        <v>3</v>
      </c>
      <c r="Z91" s="5">
        <v>4</v>
      </c>
      <c r="AA91" s="5">
        <v>5</v>
      </c>
      <c r="AB91" s="5">
        <v>4</v>
      </c>
      <c r="AC91" s="5">
        <v>3</v>
      </c>
      <c r="AD91" s="5">
        <v>5</v>
      </c>
      <c r="AE91" s="5">
        <v>3</v>
      </c>
      <c r="AF91" s="5">
        <v>3</v>
      </c>
      <c r="AG91" s="5">
        <v>3</v>
      </c>
      <c r="AH91" s="5">
        <v>4</v>
      </c>
      <c r="AI91" s="5">
        <v>5</v>
      </c>
      <c r="AJ91" s="5">
        <v>3</v>
      </c>
      <c r="AK91" s="5">
        <v>3</v>
      </c>
      <c r="AL91" s="5">
        <v>3</v>
      </c>
      <c r="AM91" s="5">
        <v>4</v>
      </c>
      <c r="AN91" s="5">
        <v>3</v>
      </c>
      <c r="AO91" s="5">
        <v>2</v>
      </c>
      <c r="AP91" s="5">
        <v>2</v>
      </c>
      <c r="AQ91" s="5">
        <v>2</v>
      </c>
      <c r="AR91" s="5">
        <v>2</v>
      </c>
      <c r="AS91" s="5">
        <v>3</v>
      </c>
      <c r="AT91" s="5">
        <v>4</v>
      </c>
      <c r="AU91" s="5">
        <v>3</v>
      </c>
      <c r="AV91" s="5">
        <v>5</v>
      </c>
      <c r="AW91" s="5">
        <v>3</v>
      </c>
      <c r="AX91" s="5">
        <v>3</v>
      </c>
      <c r="AY91" s="5">
        <v>3</v>
      </c>
      <c r="AZ91" s="5">
        <v>4</v>
      </c>
      <c r="BA91" s="5">
        <v>4</v>
      </c>
      <c r="BB91" s="5">
        <v>3</v>
      </c>
      <c r="BC91" s="5">
        <v>2</v>
      </c>
      <c r="BD91" s="5">
        <v>3</v>
      </c>
      <c r="BE91" s="5">
        <v>3</v>
      </c>
      <c r="BF91" s="5">
        <v>5</v>
      </c>
      <c r="BG91" s="5">
        <v>3</v>
      </c>
      <c r="BH91" s="5">
        <v>3</v>
      </c>
      <c r="BI91" s="5">
        <v>3</v>
      </c>
      <c r="BJ91" s="5">
        <v>3</v>
      </c>
      <c r="BK91" s="5">
        <v>5</v>
      </c>
      <c r="BL91" s="2" t="s">
        <v>477</v>
      </c>
      <c r="BM91" s="1">
        <v>45940.711984907408</v>
      </c>
    </row>
    <row r="92" spans="1:65" ht="13.5" customHeight="1" x14ac:dyDescent="0.35">
      <c r="A92" t="s">
        <v>688</v>
      </c>
      <c r="B92" s="2" t="s">
        <v>544</v>
      </c>
      <c r="C92" s="2" t="s">
        <v>545</v>
      </c>
      <c r="D92" s="5">
        <v>4</v>
      </c>
      <c r="E92" s="5">
        <v>4</v>
      </c>
      <c r="F92" s="5">
        <v>1</v>
      </c>
      <c r="G92" s="5">
        <v>4</v>
      </c>
      <c r="H92" s="5">
        <v>3</v>
      </c>
      <c r="I92" s="5">
        <v>5</v>
      </c>
      <c r="J92" s="5">
        <v>4</v>
      </c>
      <c r="K92" s="5">
        <v>2</v>
      </c>
      <c r="L92" s="5">
        <v>3</v>
      </c>
      <c r="M92" s="5">
        <v>4</v>
      </c>
      <c r="N92" s="5">
        <v>5</v>
      </c>
      <c r="O92" s="5">
        <v>4</v>
      </c>
      <c r="P92" s="5">
        <v>3</v>
      </c>
      <c r="Q92" s="5">
        <v>2</v>
      </c>
      <c r="R92" s="5">
        <v>3</v>
      </c>
      <c r="S92" s="5">
        <v>3</v>
      </c>
      <c r="T92" s="5">
        <v>5</v>
      </c>
      <c r="U92" s="5">
        <v>4</v>
      </c>
      <c r="V92" s="5">
        <v>1</v>
      </c>
      <c r="W92" s="5">
        <v>3</v>
      </c>
      <c r="X92" s="5">
        <v>5</v>
      </c>
      <c r="Y92" s="5">
        <v>2</v>
      </c>
      <c r="Z92" s="5">
        <v>4</v>
      </c>
      <c r="AA92" s="5">
        <v>2</v>
      </c>
      <c r="AB92" s="5">
        <v>2</v>
      </c>
      <c r="AC92" s="5">
        <v>3</v>
      </c>
      <c r="AD92" s="5">
        <v>4</v>
      </c>
      <c r="AE92" s="5">
        <v>5</v>
      </c>
      <c r="AF92" s="5">
        <v>5</v>
      </c>
      <c r="AG92" s="5">
        <v>4</v>
      </c>
      <c r="AH92" s="5">
        <v>1</v>
      </c>
      <c r="AI92" s="5">
        <v>2</v>
      </c>
      <c r="AJ92" s="5">
        <v>5</v>
      </c>
      <c r="AK92" s="5">
        <v>4</v>
      </c>
      <c r="AL92" s="5">
        <v>3</v>
      </c>
      <c r="AM92" s="5">
        <v>1</v>
      </c>
      <c r="AN92" s="5">
        <v>5</v>
      </c>
      <c r="AO92" s="5">
        <v>4</v>
      </c>
      <c r="AP92" s="5">
        <v>3</v>
      </c>
      <c r="AQ92" s="5">
        <v>5</v>
      </c>
      <c r="AR92" s="5">
        <v>1</v>
      </c>
      <c r="AS92" s="5">
        <v>5</v>
      </c>
      <c r="AT92" s="5">
        <v>5</v>
      </c>
      <c r="AU92" s="5">
        <v>3</v>
      </c>
      <c r="AV92" s="5">
        <v>4</v>
      </c>
      <c r="AW92" s="5">
        <v>1</v>
      </c>
      <c r="AX92" s="5">
        <v>3</v>
      </c>
      <c r="AY92" s="5">
        <v>4</v>
      </c>
      <c r="AZ92" s="5">
        <v>5</v>
      </c>
      <c r="BA92" s="5">
        <v>4</v>
      </c>
      <c r="BB92" s="5">
        <v>5</v>
      </c>
      <c r="BC92" s="5">
        <v>3</v>
      </c>
      <c r="BD92" s="5">
        <v>3</v>
      </c>
      <c r="BE92" s="5">
        <v>3</v>
      </c>
      <c r="BF92" s="5">
        <v>5</v>
      </c>
      <c r="BG92" s="5">
        <v>3</v>
      </c>
      <c r="BH92" s="5">
        <v>5</v>
      </c>
      <c r="BI92" s="5">
        <v>4</v>
      </c>
      <c r="BJ92" s="5">
        <v>5</v>
      </c>
      <c r="BK92" s="5">
        <v>5</v>
      </c>
      <c r="BL92" s="2" t="s">
        <v>546</v>
      </c>
      <c r="BM92" s="1">
        <v>45940.719833530093</v>
      </c>
    </row>
    <row r="93" spans="1:65" ht="13.5" customHeight="1" x14ac:dyDescent="0.35">
      <c r="A93" t="s">
        <v>689</v>
      </c>
      <c r="B93" s="2" t="s">
        <v>522</v>
      </c>
      <c r="C93" s="2" t="s">
        <v>523</v>
      </c>
      <c r="D93" s="5">
        <v>4</v>
      </c>
      <c r="E93" s="5">
        <v>5</v>
      </c>
      <c r="F93" s="5">
        <v>3</v>
      </c>
      <c r="G93" s="5">
        <v>1</v>
      </c>
      <c r="H93" s="5">
        <v>1</v>
      </c>
      <c r="I93" s="5">
        <v>4</v>
      </c>
      <c r="J93" s="5">
        <v>1</v>
      </c>
      <c r="K93" s="5">
        <v>4</v>
      </c>
      <c r="L93" s="5">
        <v>5</v>
      </c>
      <c r="M93" s="5">
        <v>3</v>
      </c>
      <c r="N93" s="5">
        <v>3</v>
      </c>
      <c r="O93" s="5">
        <v>4</v>
      </c>
      <c r="P93" s="5">
        <v>4</v>
      </c>
      <c r="Q93" s="5">
        <v>1</v>
      </c>
      <c r="R93" s="5">
        <v>5</v>
      </c>
      <c r="S93" s="5">
        <v>2</v>
      </c>
      <c r="T93" s="5">
        <v>5</v>
      </c>
      <c r="U93" s="5">
        <v>5</v>
      </c>
      <c r="V93" s="5">
        <v>1</v>
      </c>
      <c r="W93" s="5">
        <v>2</v>
      </c>
      <c r="X93" s="5">
        <v>5</v>
      </c>
      <c r="Y93" s="5">
        <v>5</v>
      </c>
      <c r="Z93" s="5">
        <v>3</v>
      </c>
      <c r="AA93" s="5">
        <v>3</v>
      </c>
      <c r="AB93" s="5">
        <v>2</v>
      </c>
      <c r="AC93" s="5">
        <v>5</v>
      </c>
      <c r="AD93" s="5">
        <v>5</v>
      </c>
      <c r="AE93" s="5">
        <v>1</v>
      </c>
      <c r="AF93" s="5">
        <v>3</v>
      </c>
      <c r="AG93" s="5">
        <v>4</v>
      </c>
      <c r="AH93" s="5">
        <v>2</v>
      </c>
      <c r="AI93" s="5">
        <v>1</v>
      </c>
      <c r="AJ93" s="5">
        <v>5</v>
      </c>
      <c r="AK93" s="5">
        <v>5</v>
      </c>
      <c r="AL93" s="5">
        <v>4</v>
      </c>
      <c r="AM93" s="5">
        <v>2</v>
      </c>
      <c r="AN93" s="5">
        <v>3</v>
      </c>
      <c r="AO93" s="5">
        <v>4</v>
      </c>
      <c r="AP93" s="5">
        <v>4</v>
      </c>
      <c r="AQ93" s="5">
        <v>4</v>
      </c>
      <c r="AR93" s="5">
        <v>4</v>
      </c>
      <c r="AS93" s="5">
        <v>4</v>
      </c>
      <c r="AT93" s="5">
        <v>4</v>
      </c>
      <c r="AU93" s="5">
        <v>2</v>
      </c>
      <c r="AV93" s="5">
        <v>1</v>
      </c>
      <c r="AW93" s="5">
        <v>4</v>
      </c>
      <c r="AX93" s="5">
        <v>3</v>
      </c>
      <c r="AY93" s="5">
        <v>2</v>
      </c>
      <c r="AZ93" s="5">
        <v>4</v>
      </c>
      <c r="BA93" s="5">
        <v>5</v>
      </c>
      <c r="BB93" s="5">
        <v>4</v>
      </c>
      <c r="BC93" s="5">
        <v>2</v>
      </c>
      <c r="BD93" s="5">
        <v>2</v>
      </c>
      <c r="BE93" s="5">
        <v>3</v>
      </c>
      <c r="BF93" s="5">
        <v>2</v>
      </c>
      <c r="BG93" s="5">
        <v>5</v>
      </c>
      <c r="BH93" s="5">
        <v>2</v>
      </c>
      <c r="BI93" s="5">
        <v>5</v>
      </c>
      <c r="BJ93" s="5">
        <v>3</v>
      </c>
      <c r="BK93" s="5">
        <v>4</v>
      </c>
      <c r="BL93" s="2" t="s">
        <v>524</v>
      </c>
      <c r="BM93" s="1">
        <v>45940.715906400466</v>
      </c>
    </row>
    <row r="94" spans="1:65" ht="13.5" customHeight="1" x14ac:dyDescent="0.35">
      <c r="A94" t="s">
        <v>690</v>
      </c>
      <c r="B94" s="2" t="s">
        <v>480</v>
      </c>
      <c r="C94" s="2" t="s">
        <v>481</v>
      </c>
      <c r="D94" s="5">
        <v>4</v>
      </c>
      <c r="E94" s="5">
        <v>4</v>
      </c>
      <c r="F94" s="5">
        <v>2</v>
      </c>
      <c r="G94" s="5">
        <v>4</v>
      </c>
      <c r="H94" s="5">
        <v>5</v>
      </c>
      <c r="I94" s="5">
        <v>3</v>
      </c>
      <c r="J94" s="5">
        <v>3</v>
      </c>
      <c r="K94" s="5">
        <v>4</v>
      </c>
      <c r="L94" s="5">
        <v>4</v>
      </c>
      <c r="M94" s="5">
        <v>3</v>
      </c>
      <c r="N94" s="5">
        <v>3</v>
      </c>
      <c r="O94" s="5">
        <v>3</v>
      </c>
      <c r="P94" s="5">
        <v>4</v>
      </c>
      <c r="Q94" s="5">
        <v>4</v>
      </c>
      <c r="R94" s="5">
        <v>3</v>
      </c>
      <c r="S94" s="5">
        <v>3</v>
      </c>
      <c r="T94" s="5">
        <v>3</v>
      </c>
      <c r="U94" s="5">
        <v>2</v>
      </c>
      <c r="V94" s="5">
        <v>4</v>
      </c>
      <c r="W94" s="5">
        <v>3</v>
      </c>
      <c r="X94" s="5">
        <v>3</v>
      </c>
      <c r="Y94" s="5">
        <v>3</v>
      </c>
      <c r="Z94" s="5">
        <v>4</v>
      </c>
      <c r="AA94" s="5">
        <v>3</v>
      </c>
      <c r="AB94" s="5">
        <v>2</v>
      </c>
      <c r="AC94" s="5">
        <v>2</v>
      </c>
      <c r="AD94" s="5">
        <v>5</v>
      </c>
      <c r="AE94" s="5">
        <v>4</v>
      </c>
      <c r="AF94" s="5">
        <v>4</v>
      </c>
      <c r="AG94" s="5">
        <v>5</v>
      </c>
      <c r="AH94" s="5">
        <v>3</v>
      </c>
      <c r="AI94" s="5">
        <v>3</v>
      </c>
      <c r="AJ94" s="5">
        <v>5</v>
      </c>
      <c r="AK94" s="5">
        <v>4</v>
      </c>
      <c r="AL94" s="5">
        <v>2</v>
      </c>
      <c r="AM94" s="5">
        <v>2</v>
      </c>
      <c r="AN94" s="5">
        <v>5</v>
      </c>
      <c r="AO94" s="5">
        <v>5</v>
      </c>
      <c r="AP94" s="5">
        <v>2</v>
      </c>
      <c r="AQ94" s="5">
        <v>3</v>
      </c>
      <c r="AR94" s="5">
        <v>1</v>
      </c>
      <c r="AS94" s="5">
        <v>2</v>
      </c>
      <c r="AT94" s="5">
        <v>5</v>
      </c>
      <c r="AU94" s="5">
        <v>1</v>
      </c>
      <c r="AV94" s="5">
        <v>5</v>
      </c>
      <c r="AW94" s="5">
        <v>2</v>
      </c>
      <c r="AX94" s="5">
        <v>4</v>
      </c>
      <c r="AY94" s="5">
        <v>5</v>
      </c>
      <c r="AZ94" s="5">
        <v>5</v>
      </c>
      <c r="BA94" s="5">
        <v>5</v>
      </c>
      <c r="BB94" s="5">
        <v>2</v>
      </c>
      <c r="BC94" s="5">
        <v>1</v>
      </c>
      <c r="BD94" s="5">
        <v>2</v>
      </c>
      <c r="BE94" s="5">
        <v>4</v>
      </c>
      <c r="BF94" s="5">
        <v>3</v>
      </c>
      <c r="BG94" s="5">
        <v>2</v>
      </c>
      <c r="BH94" s="5">
        <v>2</v>
      </c>
      <c r="BI94" s="5">
        <v>3</v>
      </c>
      <c r="BJ94" s="5">
        <v>3</v>
      </c>
      <c r="BK94" s="5">
        <v>4</v>
      </c>
      <c r="BL94" s="2" t="s">
        <v>482</v>
      </c>
      <c r="BM94" s="1">
        <v>45940.712214837964</v>
      </c>
    </row>
    <row r="95" spans="1:65" ht="13.5" customHeight="1" x14ac:dyDescent="0.35">
      <c r="A95" t="s">
        <v>691</v>
      </c>
      <c r="B95" s="2" t="s">
        <v>485</v>
      </c>
      <c r="C95" s="2" t="s">
        <v>486</v>
      </c>
      <c r="D95" s="5">
        <v>5</v>
      </c>
      <c r="E95" s="5">
        <v>5</v>
      </c>
      <c r="F95" s="5">
        <v>4</v>
      </c>
      <c r="G95" s="5">
        <v>5</v>
      </c>
      <c r="H95" s="5">
        <v>3</v>
      </c>
      <c r="I95" s="5">
        <v>5</v>
      </c>
      <c r="J95" s="5">
        <v>3</v>
      </c>
      <c r="K95" s="5">
        <v>4</v>
      </c>
      <c r="L95" s="5">
        <v>3</v>
      </c>
      <c r="M95" s="5">
        <v>5</v>
      </c>
      <c r="N95" s="5">
        <v>2</v>
      </c>
      <c r="O95" s="5">
        <v>4</v>
      </c>
      <c r="P95" s="5">
        <v>3</v>
      </c>
      <c r="Q95" s="5">
        <v>5</v>
      </c>
      <c r="R95" s="5">
        <v>5</v>
      </c>
      <c r="S95" s="5">
        <v>4</v>
      </c>
      <c r="T95" s="5">
        <v>3</v>
      </c>
      <c r="U95" s="5">
        <v>3</v>
      </c>
      <c r="V95" s="5">
        <v>4</v>
      </c>
      <c r="W95" s="5">
        <v>2</v>
      </c>
      <c r="X95" s="5">
        <v>5</v>
      </c>
      <c r="Y95" s="5">
        <v>2</v>
      </c>
      <c r="Z95" s="5">
        <v>3</v>
      </c>
      <c r="AA95" s="5">
        <v>4</v>
      </c>
      <c r="AB95" s="5">
        <v>4</v>
      </c>
      <c r="AC95" s="5">
        <v>5</v>
      </c>
      <c r="AD95" s="5">
        <v>5</v>
      </c>
      <c r="AE95" s="5">
        <v>2</v>
      </c>
      <c r="AF95" s="5">
        <v>3</v>
      </c>
      <c r="AG95" s="5">
        <v>5</v>
      </c>
      <c r="AH95" s="5">
        <v>2</v>
      </c>
      <c r="AI95" s="5">
        <v>3</v>
      </c>
      <c r="AJ95" s="5">
        <v>3</v>
      </c>
      <c r="AK95" s="5">
        <v>3</v>
      </c>
      <c r="AL95" s="5">
        <v>4</v>
      </c>
      <c r="AM95" s="5">
        <v>4</v>
      </c>
      <c r="AN95" s="5">
        <v>5</v>
      </c>
      <c r="AO95" s="5">
        <v>2</v>
      </c>
      <c r="AP95" s="5">
        <v>3</v>
      </c>
      <c r="AQ95" s="5">
        <v>4</v>
      </c>
      <c r="AR95" s="5">
        <v>2</v>
      </c>
      <c r="AS95" s="5">
        <v>5</v>
      </c>
      <c r="AT95" s="5">
        <v>2</v>
      </c>
      <c r="AU95" s="5">
        <v>3</v>
      </c>
      <c r="AV95" s="5">
        <v>4</v>
      </c>
      <c r="AW95" s="5">
        <v>5</v>
      </c>
      <c r="AX95" s="5">
        <v>4</v>
      </c>
      <c r="AY95" s="5">
        <v>4</v>
      </c>
      <c r="AZ95" s="5">
        <v>2</v>
      </c>
      <c r="BA95" s="5">
        <v>5</v>
      </c>
      <c r="BB95" s="5">
        <v>3</v>
      </c>
      <c r="BC95" s="5">
        <v>2</v>
      </c>
      <c r="BD95" s="5">
        <v>5</v>
      </c>
      <c r="BE95" s="5">
        <v>2</v>
      </c>
      <c r="BF95" s="5">
        <v>2</v>
      </c>
      <c r="BG95" s="5">
        <v>5</v>
      </c>
      <c r="BH95" s="5">
        <v>5</v>
      </c>
      <c r="BI95" s="5">
        <v>4</v>
      </c>
      <c r="BJ95" s="5">
        <v>5</v>
      </c>
      <c r="BK95" s="5">
        <v>2</v>
      </c>
      <c r="BL95" s="2" t="s">
        <v>487</v>
      </c>
      <c r="BM95" s="1">
        <v>45940.712343645835</v>
      </c>
    </row>
    <row r="96" spans="1:65" ht="13.5" customHeight="1" x14ac:dyDescent="0.35">
      <c r="A96" t="s">
        <v>692</v>
      </c>
      <c r="B96" s="2" t="s">
        <v>534</v>
      </c>
      <c r="C96" s="2" t="s">
        <v>535</v>
      </c>
      <c r="D96" s="5">
        <v>5</v>
      </c>
      <c r="E96" s="5">
        <v>5</v>
      </c>
      <c r="F96" s="5">
        <v>3</v>
      </c>
      <c r="G96" s="5">
        <v>4</v>
      </c>
      <c r="H96" s="5">
        <v>4</v>
      </c>
      <c r="I96" s="5">
        <v>5</v>
      </c>
      <c r="J96" s="5">
        <v>5</v>
      </c>
      <c r="K96" s="5">
        <v>3</v>
      </c>
      <c r="L96" s="5">
        <v>4</v>
      </c>
      <c r="M96" s="5">
        <v>5</v>
      </c>
      <c r="N96" s="5">
        <v>4</v>
      </c>
      <c r="O96" s="5">
        <v>5</v>
      </c>
      <c r="P96" s="5">
        <v>5</v>
      </c>
      <c r="Q96" s="5">
        <v>3</v>
      </c>
      <c r="R96" s="5">
        <v>5</v>
      </c>
      <c r="S96" s="5">
        <v>3</v>
      </c>
      <c r="T96" s="5">
        <v>4</v>
      </c>
      <c r="U96" s="5">
        <v>4</v>
      </c>
      <c r="V96" s="5">
        <v>3</v>
      </c>
      <c r="W96" s="5">
        <v>2</v>
      </c>
      <c r="X96" s="5">
        <v>5</v>
      </c>
      <c r="Y96" s="5">
        <v>1</v>
      </c>
      <c r="Z96" s="5">
        <v>4</v>
      </c>
      <c r="AA96" s="5">
        <v>2</v>
      </c>
      <c r="AB96" s="5">
        <v>2</v>
      </c>
      <c r="AC96" s="5">
        <v>5</v>
      </c>
      <c r="AD96" s="5">
        <v>5</v>
      </c>
      <c r="AE96" s="5">
        <v>2</v>
      </c>
      <c r="AF96" s="5">
        <v>4</v>
      </c>
      <c r="AG96" s="5">
        <v>4</v>
      </c>
      <c r="AH96" s="5">
        <v>2</v>
      </c>
      <c r="AI96" s="5">
        <v>5</v>
      </c>
      <c r="AJ96" s="5">
        <v>5</v>
      </c>
      <c r="AK96" s="5">
        <v>3</v>
      </c>
      <c r="AL96" s="5">
        <v>3</v>
      </c>
      <c r="AM96" s="5">
        <v>2</v>
      </c>
      <c r="AN96" s="5">
        <v>5</v>
      </c>
      <c r="AO96" s="5">
        <v>5</v>
      </c>
      <c r="AP96" s="5">
        <v>5</v>
      </c>
      <c r="AQ96" s="5">
        <v>4</v>
      </c>
      <c r="AR96" s="5">
        <v>2</v>
      </c>
      <c r="AS96" s="5">
        <v>5</v>
      </c>
      <c r="AT96" s="5">
        <v>5</v>
      </c>
      <c r="AU96" s="5">
        <v>5</v>
      </c>
      <c r="AV96" s="5">
        <v>3</v>
      </c>
      <c r="AW96" s="5">
        <v>4</v>
      </c>
      <c r="AX96" s="5">
        <v>5</v>
      </c>
      <c r="AY96" s="5">
        <v>5</v>
      </c>
      <c r="AZ96" s="5">
        <v>3</v>
      </c>
      <c r="BA96" s="5">
        <v>5</v>
      </c>
      <c r="BB96" s="5">
        <v>3</v>
      </c>
      <c r="BC96" s="5">
        <v>4</v>
      </c>
      <c r="BD96" s="5">
        <v>5</v>
      </c>
      <c r="BE96" s="5">
        <v>5</v>
      </c>
      <c r="BF96" s="5">
        <v>4</v>
      </c>
      <c r="BG96" s="5">
        <v>5</v>
      </c>
      <c r="BH96" s="5">
        <v>5</v>
      </c>
      <c r="BI96" s="5">
        <v>5</v>
      </c>
      <c r="BJ96" s="5">
        <v>5</v>
      </c>
      <c r="BK96" s="5">
        <v>5</v>
      </c>
      <c r="BL96" s="2" t="s">
        <v>536</v>
      </c>
      <c r="BM96" s="1">
        <v>45940.717079814814</v>
      </c>
    </row>
    <row r="97" spans="1:65" ht="13.5" customHeight="1" x14ac:dyDescent="0.35">
      <c r="A97" t="s">
        <v>693</v>
      </c>
      <c r="B97" s="2" t="s">
        <v>511</v>
      </c>
      <c r="C97" s="2" t="s">
        <v>512</v>
      </c>
      <c r="D97" s="5">
        <v>5</v>
      </c>
      <c r="E97" s="5">
        <v>5</v>
      </c>
      <c r="F97" s="5">
        <v>3</v>
      </c>
      <c r="G97" s="5">
        <v>1</v>
      </c>
      <c r="H97" s="5">
        <v>5</v>
      </c>
      <c r="I97" s="5">
        <v>5</v>
      </c>
      <c r="J97" s="5">
        <v>5</v>
      </c>
      <c r="K97" s="5">
        <v>1</v>
      </c>
      <c r="L97" s="5">
        <v>4</v>
      </c>
      <c r="M97" s="5">
        <v>5</v>
      </c>
      <c r="N97" s="5">
        <v>5</v>
      </c>
      <c r="O97" s="5">
        <v>5</v>
      </c>
      <c r="P97" s="5">
        <v>5</v>
      </c>
      <c r="Q97" s="5">
        <v>2</v>
      </c>
      <c r="R97" s="5">
        <v>4</v>
      </c>
      <c r="S97" s="5">
        <v>1</v>
      </c>
      <c r="T97" s="5">
        <v>5</v>
      </c>
      <c r="U97" s="5">
        <v>5</v>
      </c>
      <c r="V97" s="5">
        <v>1</v>
      </c>
      <c r="W97" s="5">
        <v>1</v>
      </c>
      <c r="X97" s="5">
        <v>5</v>
      </c>
      <c r="Y97" s="5">
        <v>5</v>
      </c>
      <c r="Z97" s="5">
        <v>5</v>
      </c>
      <c r="AA97" s="5">
        <v>1</v>
      </c>
      <c r="AB97" s="5">
        <v>1</v>
      </c>
      <c r="AC97" s="5">
        <v>5</v>
      </c>
      <c r="AD97" s="5">
        <v>5</v>
      </c>
      <c r="AE97" s="5">
        <v>5</v>
      </c>
      <c r="AF97" s="5">
        <v>4</v>
      </c>
      <c r="AG97" s="5">
        <v>5</v>
      </c>
      <c r="AH97" s="5">
        <v>1</v>
      </c>
      <c r="AI97" s="5">
        <v>5</v>
      </c>
      <c r="AJ97" s="5">
        <v>5</v>
      </c>
      <c r="AK97" s="5">
        <v>1</v>
      </c>
      <c r="AL97" s="5">
        <v>5</v>
      </c>
      <c r="AM97" s="5">
        <v>1</v>
      </c>
      <c r="AN97" s="5">
        <v>5</v>
      </c>
      <c r="AO97" s="5">
        <v>5</v>
      </c>
      <c r="AP97" s="5">
        <v>5</v>
      </c>
      <c r="AQ97" s="5">
        <v>5</v>
      </c>
      <c r="AR97" s="5">
        <v>1</v>
      </c>
      <c r="AS97" s="5">
        <v>5</v>
      </c>
      <c r="AT97" s="5">
        <v>5</v>
      </c>
      <c r="AU97" s="5">
        <v>3</v>
      </c>
      <c r="AV97" s="5">
        <v>5</v>
      </c>
      <c r="AW97" s="5">
        <v>1</v>
      </c>
      <c r="AX97" s="5">
        <v>5</v>
      </c>
      <c r="AY97" s="5">
        <v>5</v>
      </c>
      <c r="AZ97" s="5">
        <v>5</v>
      </c>
      <c r="BA97" s="5">
        <v>5</v>
      </c>
      <c r="BB97" s="5">
        <v>5</v>
      </c>
      <c r="BC97" s="5">
        <v>4</v>
      </c>
      <c r="BD97" s="5">
        <v>3</v>
      </c>
      <c r="BE97" s="5">
        <v>5</v>
      </c>
      <c r="BF97" s="5">
        <v>5</v>
      </c>
      <c r="BG97" s="5">
        <v>5</v>
      </c>
      <c r="BH97" s="5">
        <v>5</v>
      </c>
      <c r="BI97" s="5">
        <v>5</v>
      </c>
      <c r="BJ97" s="5">
        <v>5</v>
      </c>
      <c r="BK97" s="5">
        <v>5</v>
      </c>
      <c r="BL97" s="2" t="s">
        <v>513</v>
      </c>
      <c r="BM97" s="1">
        <v>45940.715296736111</v>
      </c>
    </row>
    <row r="98" spans="1:65" ht="13.5" customHeight="1" x14ac:dyDescent="0.35">
      <c r="A98" t="s">
        <v>694</v>
      </c>
      <c r="B98" s="2" t="s">
        <v>554</v>
      </c>
      <c r="C98" s="2" t="s">
        <v>555</v>
      </c>
      <c r="D98" s="5">
        <v>5</v>
      </c>
      <c r="E98" s="5">
        <v>4</v>
      </c>
      <c r="F98" s="5">
        <v>2</v>
      </c>
      <c r="G98" s="5">
        <v>3</v>
      </c>
      <c r="H98" s="5">
        <v>4</v>
      </c>
      <c r="I98" s="5">
        <v>5</v>
      </c>
      <c r="J98" s="5">
        <v>5</v>
      </c>
      <c r="K98" s="5">
        <v>2</v>
      </c>
      <c r="L98" s="5">
        <v>4</v>
      </c>
      <c r="M98" s="5">
        <v>5</v>
      </c>
      <c r="N98" s="5">
        <v>4</v>
      </c>
      <c r="O98" s="5">
        <v>5</v>
      </c>
      <c r="P98" s="5">
        <v>4</v>
      </c>
      <c r="Q98" s="5">
        <v>2</v>
      </c>
      <c r="R98" s="5">
        <v>5</v>
      </c>
      <c r="S98" s="5">
        <v>1</v>
      </c>
      <c r="T98" s="5">
        <v>5</v>
      </c>
      <c r="U98" s="5">
        <v>5</v>
      </c>
      <c r="V98" s="5">
        <v>1</v>
      </c>
      <c r="W98" s="5">
        <v>2</v>
      </c>
      <c r="X98" s="5">
        <v>5</v>
      </c>
      <c r="Y98" s="5">
        <v>3</v>
      </c>
      <c r="Z98" s="5">
        <v>4</v>
      </c>
      <c r="AA98" s="5">
        <v>2</v>
      </c>
      <c r="AB98" s="5">
        <v>1</v>
      </c>
      <c r="AC98" s="5">
        <v>5</v>
      </c>
      <c r="AD98" s="5">
        <v>5</v>
      </c>
      <c r="AE98" s="5">
        <v>5</v>
      </c>
      <c r="AF98" s="5">
        <v>4</v>
      </c>
      <c r="AG98" s="5">
        <v>5</v>
      </c>
      <c r="AH98" s="5">
        <v>1</v>
      </c>
      <c r="AI98" s="5">
        <v>4</v>
      </c>
      <c r="AJ98" s="5">
        <v>5</v>
      </c>
      <c r="AK98" s="5">
        <v>3</v>
      </c>
      <c r="AL98" s="5">
        <v>4</v>
      </c>
      <c r="AM98" s="5">
        <v>2</v>
      </c>
      <c r="AN98" s="5">
        <v>5</v>
      </c>
      <c r="AO98" s="5">
        <v>5</v>
      </c>
      <c r="AP98" s="5">
        <v>5</v>
      </c>
      <c r="AQ98" s="5">
        <v>5</v>
      </c>
      <c r="AR98" s="5">
        <v>1</v>
      </c>
      <c r="AS98" s="5">
        <v>5</v>
      </c>
      <c r="AT98" s="5">
        <v>5</v>
      </c>
      <c r="AU98" s="5">
        <v>3</v>
      </c>
      <c r="AV98" s="5">
        <v>5</v>
      </c>
      <c r="AW98" s="5">
        <v>1</v>
      </c>
      <c r="AX98" s="5">
        <v>4</v>
      </c>
      <c r="AY98" s="5">
        <v>4</v>
      </c>
      <c r="AZ98" s="5">
        <v>5</v>
      </c>
      <c r="BA98" s="5">
        <v>5</v>
      </c>
      <c r="BB98" s="5">
        <v>5</v>
      </c>
      <c r="BC98" s="5">
        <v>3</v>
      </c>
      <c r="BD98" s="5">
        <v>5</v>
      </c>
      <c r="BE98" s="5">
        <v>4</v>
      </c>
      <c r="BF98" s="5">
        <v>4</v>
      </c>
      <c r="BG98" s="5">
        <v>5</v>
      </c>
      <c r="BH98" s="5">
        <v>5</v>
      </c>
      <c r="BI98" s="5">
        <v>3</v>
      </c>
      <c r="BJ98" s="5">
        <v>5</v>
      </c>
      <c r="BK98" s="5">
        <v>5</v>
      </c>
      <c r="BL98" s="2" t="s">
        <v>556</v>
      </c>
      <c r="BM98" s="1">
        <v>45940.721783032408</v>
      </c>
    </row>
    <row r="99" spans="1:65" ht="13.5" customHeight="1" x14ac:dyDescent="0.35">
      <c r="A99" t="s">
        <v>695</v>
      </c>
      <c r="B99" s="2" t="s">
        <v>501</v>
      </c>
      <c r="C99" s="2" t="s">
        <v>502</v>
      </c>
      <c r="D99" s="5">
        <v>4</v>
      </c>
      <c r="E99" s="5">
        <v>5</v>
      </c>
      <c r="F99" s="5">
        <v>4</v>
      </c>
      <c r="G99" s="5">
        <v>5</v>
      </c>
      <c r="H99" s="5">
        <v>5</v>
      </c>
      <c r="I99" s="5">
        <v>3</v>
      </c>
      <c r="J99" s="5">
        <v>3</v>
      </c>
      <c r="K99" s="5">
        <v>1</v>
      </c>
      <c r="L99" s="5">
        <v>2</v>
      </c>
      <c r="M99" s="5">
        <v>5</v>
      </c>
      <c r="N99" s="5">
        <v>3</v>
      </c>
      <c r="O99" s="5">
        <v>4</v>
      </c>
      <c r="P99" s="5">
        <v>3</v>
      </c>
      <c r="Q99" s="5">
        <v>5</v>
      </c>
      <c r="R99" s="5">
        <v>5</v>
      </c>
      <c r="S99" s="5">
        <v>1</v>
      </c>
      <c r="T99" s="5">
        <v>5</v>
      </c>
      <c r="U99" s="5">
        <v>4</v>
      </c>
      <c r="V99" s="5">
        <v>1</v>
      </c>
      <c r="W99" s="5">
        <v>5</v>
      </c>
      <c r="X99" s="5">
        <v>5</v>
      </c>
      <c r="Y99" s="5">
        <v>1</v>
      </c>
      <c r="Z99" s="5">
        <v>3</v>
      </c>
      <c r="AA99" s="5">
        <v>2</v>
      </c>
      <c r="AB99" s="5">
        <v>1</v>
      </c>
      <c r="AC99" s="5">
        <v>5</v>
      </c>
      <c r="AD99" s="5">
        <v>3</v>
      </c>
      <c r="AE99" s="5">
        <v>5</v>
      </c>
      <c r="AF99" s="5">
        <v>4</v>
      </c>
      <c r="AG99" s="5">
        <v>5</v>
      </c>
      <c r="AH99" s="5">
        <v>2</v>
      </c>
      <c r="AI99" s="5">
        <v>5</v>
      </c>
      <c r="AJ99" s="5">
        <v>5</v>
      </c>
      <c r="AK99" s="5">
        <v>4</v>
      </c>
      <c r="AL99" s="5">
        <v>4</v>
      </c>
      <c r="AM99" s="5">
        <v>3</v>
      </c>
      <c r="AN99" s="5">
        <v>5</v>
      </c>
      <c r="AO99" s="5">
        <v>5</v>
      </c>
      <c r="AP99" s="5">
        <v>4</v>
      </c>
      <c r="AQ99" s="5">
        <v>4</v>
      </c>
      <c r="AR99" s="5">
        <v>2</v>
      </c>
      <c r="AS99" s="5">
        <v>5</v>
      </c>
      <c r="AT99" s="5">
        <v>5</v>
      </c>
      <c r="AU99" s="5">
        <v>2</v>
      </c>
      <c r="AV99" s="5">
        <v>5</v>
      </c>
      <c r="AW99" s="5">
        <v>1</v>
      </c>
      <c r="AX99" s="5">
        <v>2</v>
      </c>
      <c r="AY99" s="5">
        <v>5</v>
      </c>
      <c r="AZ99" s="5">
        <v>4</v>
      </c>
      <c r="BA99" s="5">
        <v>5</v>
      </c>
      <c r="BB99" s="5">
        <v>5</v>
      </c>
      <c r="BC99" s="5">
        <v>4</v>
      </c>
      <c r="BD99" s="5">
        <v>5</v>
      </c>
      <c r="BE99" s="5">
        <v>2</v>
      </c>
      <c r="BF99" s="5">
        <v>5</v>
      </c>
      <c r="BG99" s="5">
        <v>5</v>
      </c>
      <c r="BH99" s="5">
        <v>5</v>
      </c>
      <c r="BI99" s="5">
        <v>4</v>
      </c>
      <c r="BJ99" s="5">
        <v>5</v>
      </c>
      <c r="BK99" s="5">
        <v>5</v>
      </c>
      <c r="BL99" s="2" t="s">
        <v>503</v>
      </c>
      <c r="BM99" s="1">
        <v>45940.713402662041</v>
      </c>
    </row>
    <row r="100" spans="1:65" ht="13.5" customHeight="1" x14ac:dyDescent="0.35">
      <c r="A100" t="s">
        <v>696</v>
      </c>
      <c r="B100" s="2" t="s">
        <v>559</v>
      </c>
      <c r="C100" s="2" t="s">
        <v>560</v>
      </c>
      <c r="D100" s="5">
        <v>4</v>
      </c>
      <c r="E100" s="5">
        <v>3</v>
      </c>
      <c r="F100" s="5">
        <v>2</v>
      </c>
      <c r="G100" s="5">
        <v>2</v>
      </c>
      <c r="H100" s="5">
        <v>3</v>
      </c>
      <c r="I100" s="5">
        <v>4</v>
      </c>
      <c r="J100" s="5">
        <v>3</v>
      </c>
      <c r="K100" s="5">
        <v>1</v>
      </c>
      <c r="L100" s="5">
        <v>2</v>
      </c>
      <c r="M100" s="5">
        <v>3</v>
      </c>
      <c r="N100" s="5">
        <v>4</v>
      </c>
      <c r="O100" s="5">
        <v>4</v>
      </c>
      <c r="P100" s="5">
        <v>3</v>
      </c>
      <c r="Q100" s="5">
        <v>3</v>
      </c>
      <c r="R100" s="5">
        <v>5</v>
      </c>
      <c r="S100" s="5">
        <v>2</v>
      </c>
      <c r="T100" s="5">
        <v>4</v>
      </c>
      <c r="U100" s="5">
        <v>3</v>
      </c>
      <c r="V100" s="5">
        <v>2</v>
      </c>
      <c r="W100" s="5">
        <v>4</v>
      </c>
      <c r="X100" s="5">
        <v>3</v>
      </c>
      <c r="Y100" s="5">
        <v>4</v>
      </c>
      <c r="Z100" s="5">
        <v>3</v>
      </c>
      <c r="AA100" s="5">
        <v>2</v>
      </c>
      <c r="AB100" s="5">
        <v>2</v>
      </c>
      <c r="AC100" s="5">
        <v>3</v>
      </c>
      <c r="AD100" s="5">
        <v>4</v>
      </c>
      <c r="AE100" s="5">
        <v>3</v>
      </c>
      <c r="AF100" s="5">
        <v>4</v>
      </c>
      <c r="AG100" s="5">
        <v>3</v>
      </c>
      <c r="AH100" s="5">
        <v>2</v>
      </c>
      <c r="AI100" s="5">
        <v>5</v>
      </c>
      <c r="AJ100" s="5">
        <v>4</v>
      </c>
      <c r="AK100" s="5">
        <v>2</v>
      </c>
      <c r="AL100" s="5">
        <v>3</v>
      </c>
      <c r="AM100" s="5">
        <v>3</v>
      </c>
      <c r="AN100" s="5">
        <v>3</v>
      </c>
      <c r="AO100" s="5">
        <v>3</v>
      </c>
      <c r="AP100" s="5">
        <v>3</v>
      </c>
      <c r="AQ100" s="5">
        <v>3</v>
      </c>
      <c r="AR100" s="5">
        <v>2</v>
      </c>
      <c r="AS100" s="5">
        <v>4</v>
      </c>
      <c r="AT100" s="5">
        <v>3</v>
      </c>
      <c r="AU100" s="5">
        <v>2</v>
      </c>
      <c r="AV100" s="5">
        <v>3</v>
      </c>
      <c r="AW100" s="5">
        <v>2</v>
      </c>
      <c r="AX100" s="5">
        <v>3</v>
      </c>
      <c r="AY100" s="5">
        <v>3</v>
      </c>
      <c r="AZ100" s="5">
        <v>3</v>
      </c>
      <c r="BA100" s="5">
        <v>4</v>
      </c>
      <c r="BB100" s="5">
        <v>3</v>
      </c>
      <c r="BC100" s="5">
        <v>2</v>
      </c>
      <c r="BD100" s="5">
        <v>3</v>
      </c>
      <c r="BE100" s="5">
        <v>2</v>
      </c>
      <c r="BF100" s="5">
        <v>3</v>
      </c>
      <c r="BG100" s="5">
        <v>4</v>
      </c>
      <c r="BH100" s="5">
        <v>3</v>
      </c>
      <c r="BI100" s="5">
        <v>3</v>
      </c>
      <c r="BJ100" s="5">
        <v>4</v>
      </c>
      <c r="BK100" s="5">
        <v>4</v>
      </c>
      <c r="BL100" s="2" t="s">
        <v>561</v>
      </c>
      <c r="BM100" s="1">
        <v>45940.722527777776</v>
      </c>
    </row>
    <row r="101" spans="1:65" ht="13.5" customHeight="1" x14ac:dyDescent="0.35">
      <c r="A101" t="s">
        <v>697</v>
      </c>
      <c r="B101" s="2" t="s">
        <v>516</v>
      </c>
      <c r="C101" s="2" t="s">
        <v>517</v>
      </c>
      <c r="D101" s="5">
        <v>5</v>
      </c>
      <c r="E101" s="5">
        <v>5</v>
      </c>
      <c r="F101" s="5">
        <v>1</v>
      </c>
      <c r="G101" s="5">
        <v>4</v>
      </c>
      <c r="H101" s="5">
        <v>3</v>
      </c>
      <c r="I101" s="5">
        <v>4</v>
      </c>
      <c r="J101" s="5">
        <v>5</v>
      </c>
      <c r="K101" s="5">
        <v>2</v>
      </c>
      <c r="L101" s="5">
        <v>2</v>
      </c>
      <c r="M101" s="5">
        <v>5</v>
      </c>
      <c r="N101" s="5">
        <v>4</v>
      </c>
      <c r="O101" s="5">
        <v>4</v>
      </c>
      <c r="P101" s="5">
        <v>4</v>
      </c>
      <c r="Q101" s="5">
        <v>3</v>
      </c>
      <c r="R101" s="5">
        <v>5</v>
      </c>
      <c r="S101" s="5">
        <v>1</v>
      </c>
      <c r="T101" s="5">
        <v>4</v>
      </c>
      <c r="U101" s="5">
        <v>3</v>
      </c>
      <c r="V101" s="5">
        <v>2</v>
      </c>
      <c r="W101" s="5">
        <v>4</v>
      </c>
      <c r="X101" s="5">
        <v>5</v>
      </c>
      <c r="Y101" s="5">
        <v>3</v>
      </c>
      <c r="Z101" s="5">
        <v>4</v>
      </c>
      <c r="AA101" s="5">
        <v>2</v>
      </c>
      <c r="AB101" s="5">
        <v>2</v>
      </c>
      <c r="AC101" s="5">
        <v>5</v>
      </c>
      <c r="AD101" s="5">
        <v>4</v>
      </c>
      <c r="AE101" s="5">
        <v>3</v>
      </c>
      <c r="AF101" s="5">
        <v>4</v>
      </c>
      <c r="AG101" s="5">
        <v>4</v>
      </c>
      <c r="AH101" s="5">
        <v>1</v>
      </c>
      <c r="AI101" s="5">
        <v>3</v>
      </c>
      <c r="AJ101" s="5">
        <v>5</v>
      </c>
      <c r="AK101" s="5">
        <v>3</v>
      </c>
      <c r="AL101" s="5">
        <v>3</v>
      </c>
      <c r="AM101" s="5">
        <v>2</v>
      </c>
      <c r="AN101" s="5">
        <v>4</v>
      </c>
      <c r="AO101" s="5">
        <v>3</v>
      </c>
      <c r="AP101" s="5">
        <v>3</v>
      </c>
      <c r="AQ101" s="5">
        <v>3</v>
      </c>
      <c r="AR101" s="5">
        <v>1</v>
      </c>
      <c r="AS101" s="5">
        <v>4</v>
      </c>
      <c r="AT101" s="5">
        <v>4</v>
      </c>
      <c r="AU101" s="5">
        <v>3</v>
      </c>
      <c r="AV101" s="5">
        <v>4</v>
      </c>
      <c r="AW101" s="5">
        <v>1</v>
      </c>
      <c r="AX101" s="5">
        <v>3</v>
      </c>
      <c r="AY101" s="5">
        <v>3</v>
      </c>
      <c r="AZ101" s="5">
        <v>3</v>
      </c>
      <c r="BA101" s="5">
        <v>3</v>
      </c>
      <c r="BB101" s="5">
        <v>5</v>
      </c>
      <c r="BC101" s="5">
        <v>3</v>
      </c>
      <c r="BD101" s="5">
        <v>5</v>
      </c>
      <c r="BE101" s="5">
        <v>5</v>
      </c>
      <c r="BF101" s="5">
        <v>4</v>
      </c>
      <c r="BG101" s="5">
        <v>4</v>
      </c>
      <c r="BH101" s="5">
        <v>5</v>
      </c>
      <c r="BI101" s="5">
        <v>3</v>
      </c>
      <c r="BJ101" s="5">
        <v>3</v>
      </c>
      <c r="BK101" s="5">
        <v>3</v>
      </c>
      <c r="BL101" s="2" t="s">
        <v>518</v>
      </c>
      <c r="BM101" s="1">
        <v>45940.715843726852</v>
      </c>
    </row>
    <row r="102" spans="1:65" ht="13.5" customHeight="1" x14ac:dyDescent="0.35">
      <c r="A102" t="s">
        <v>698</v>
      </c>
      <c r="B102" s="2" t="s">
        <v>539</v>
      </c>
      <c r="C102" s="2" t="s">
        <v>540</v>
      </c>
      <c r="D102" s="5">
        <v>4</v>
      </c>
      <c r="E102" s="5">
        <v>3</v>
      </c>
      <c r="F102" s="5">
        <v>4</v>
      </c>
      <c r="G102" s="5">
        <v>3</v>
      </c>
      <c r="H102" s="5">
        <v>5</v>
      </c>
      <c r="I102" s="5">
        <v>2</v>
      </c>
      <c r="J102" s="5">
        <v>4</v>
      </c>
      <c r="K102" s="5">
        <v>1</v>
      </c>
      <c r="L102" s="5">
        <v>4</v>
      </c>
      <c r="M102" s="5">
        <v>5</v>
      </c>
      <c r="N102" s="5">
        <v>4</v>
      </c>
      <c r="O102" s="5">
        <v>2</v>
      </c>
      <c r="P102" s="5">
        <v>5</v>
      </c>
      <c r="Q102" s="5">
        <v>1</v>
      </c>
      <c r="R102" s="5">
        <v>4</v>
      </c>
      <c r="S102" s="5">
        <v>1</v>
      </c>
      <c r="T102" s="5">
        <v>5</v>
      </c>
      <c r="U102" s="5">
        <v>4</v>
      </c>
      <c r="V102" s="5">
        <v>1</v>
      </c>
      <c r="W102" s="5">
        <v>5</v>
      </c>
      <c r="X102" s="5">
        <v>4</v>
      </c>
      <c r="Y102" s="5">
        <v>2</v>
      </c>
      <c r="Z102" s="5">
        <v>5</v>
      </c>
      <c r="AA102" s="5">
        <v>1</v>
      </c>
      <c r="AB102" s="5">
        <v>1</v>
      </c>
      <c r="AC102" s="5">
        <v>5</v>
      </c>
      <c r="AD102" s="5">
        <v>4</v>
      </c>
      <c r="AE102" s="5">
        <v>4</v>
      </c>
      <c r="AF102" s="5">
        <v>3</v>
      </c>
      <c r="AG102" s="5">
        <v>2</v>
      </c>
      <c r="AH102" s="5">
        <v>1</v>
      </c>
      <c r="AI102" s="5">
        <v>5</v>
      </c>
      <c r="AJ102" s="5">
        <v>5</v>
      </c>
      <c r="AK102" s="5">
        <v>4</v>
      </c>
      <c r="AL102" s="5">
        <v>2</v>
      </c>
      <c r="AM102" s="5">
        <v>1</v>
      </c>
      <c r="AN102" s="5">
        <v>3</v>
      </c>
      <c r="AO102" s="5">
        <v>5</v>
      </c>
      <c r="AP102" s="5">
        <v>5</v>
      </c>
      <c r="AQ102" s="5">
        <v>4</v>
      </c>
      <c r="AR102" s="5">
        <v>3</v>
      </c>
      <c r="AS102" s="5">
        <v>2</v>
      </c>
      <c r="AT102" s="5">
        <v>5</v>
      </c>
      <c r="AU102" s="5">
        <v>4</v>
      </c>
      <c r="AV102" s="5">
        <v>4</v>
      </c>
      <c r="AW102" s="5">
        <v>1</v>
      </c>
      <c r="AX102" s="5">
        <v>4</v>
      </c>
      <c r="AY102" s="5">
        <v>3</v>
      </c>
      <c r="AZ102" s="5">
        <v>3</v>
      </c>
      <c r="BA102" s="5">
        <v>5</v>
      </c>
      <c r="BB102" s="5">
        <v>5</v>
      </c>
      <c r="BC102" s="5">
        <v>3</v>
      </c>
      <c r="BD102" s="5">
        <v>2</v>
      </c>
      <c r="BE102" s="5">
        <v>5</v>
      </c>
      <c r="BF102" s="5">
        <v>5</v>
      </c>
      <c r="BG102" s="5">
        <v>5</v>
      </c>
      <c r="BH102" s="5">
        <v>3</v>
      </c>
      <c r="BI102" s="5">
        <v>3</v>
      </c>
      <c r="BJ102" s="5">
        <v>5</v>
      </c>
      <c r="BK102" s="5">
        <v>5</v>
      </c>
      <c r="BL102" s="2" t="s">
        <v>541</v>
      </c>
      <c r="BM102" s="1">
        <v>45940.717665659722</v>
      </c>
    </row>
    <row r="103" spans="1:65" ht="13.5" customHeight="1" x14ac:dyDescent="0.35">
      <c r="A103" t="s">
        <v>699</v>
      </c>
      <c r="B103" s="2" t="s">
        <v>549</v>
      </c>
      <c r="C103" s="2" t="s">
        <v>550</v>
      </c>
      <c r="D103" s="5">
        <v>4</v>
      </c>
      <c r="E103" s="5">
        <v>2</v>
      </c>
      <c r="F103" s="5">
        <v>3</v>
      </c>
      <c r="G103" s="5">
        <v>5</v>
      </c>
      <c r="H103" s="5">
        <v>5</v>
      </c>
      <c r="I103" s="5">
        <v>2</v>
      </c>
      <c r="J103" s="5">
        <v>4</v>
      </c>
      <c r="K103" s="5">
        <v>1</v>
      </c>
      <c r="L103" s="5">
        <v>3</v>
      </c>
      <c r="M103" s="5">
        <v>5</v>
      </c>
      <c r="N103" s="5">
        <v>5</v>
      </c>
      <c r="O103" s="5">
        <v>3</v>
      </c>
      <c r="P103" s="5">
        <v>5</v>
      </c>
      <c r="Q103" s="5">
        <v>4</v>
      </c>
      <c r="R103" s="5">
        <v>5</v>
      </c>
      <c r="S103" s="5">
        <v>3</v>
      </c>
      <c r="T103" s="5">
        <v>5</v>
      </c>
      <c r="U103" s="5">
        <v>4</v>
      </c>
      <c r="V103" s="5">
        <v>1</v>
      </c>
      <c r="W103" s="5">
        <v>4</v>
      </c>
      <c r="X103" s="5">
        <v>2</v>
      </c>
      <c r="Y103" s="5">
        <v>1</v>
      </c>
      <c r="Z103" s="5">
        <v>1</v>
      </c>
      <c r="AA103" s="5">
        <v>2</v>
      </c>
      <c r="AB103" s="5">
        <v>2</v>
      </c>
      <c r="AC103" s="5">
        <v>4</v>
      </c>
      <c r="AD103" s="5">
        <v>5</v>
      </c>
      <c r="AE103" s="5">
        <v>5</v>
      </c>
      <c r="AF103" s="5">
        <v>3</v>
      </c>
      <c r="AG103" s="5">
        <v>5</v>
      </c>
      <c r="AH103" s="5">
        <v>2</v>
      </c>
      <c r="AI103" s="5">
        <v>4</v>
      </c>
      <c r="AJ103" s="5">
        <v>5</v>
      </c>
      <c r="AK103" s="5">
        <v>3</v>
      </c>
      <c r="AL103" s="5">
        <v>3</v>
      </c>
      <c r="AM103" s="5">
        <v>3</v>
      </c>
      <c r="AN103" s="5">
        <v>1</v>
      </c>
      <c r="AO103" s="5">
        <v>2</v>
      </c>
      <c r="AP103" s="5">
        <v>3</v>
      </c>
      <c r="AQ103" s="5">
        <v>2</v>
      </c>
      <c r="AR103" s="5">
        <v>2</v>
      </c>
      <c r="AS103" s="5">
        <v>2</v>
      </c>
      <c r="AT103" s="5">
        <v>5</v>
      </c>
      <c r="AU103" s="5">
        <v>3</v>
      </c>
      <c r="AV103" s="5">
        <v>4</v>
      </c>
      <c r="AW103" s="5">
        <v>5</v>
      </c>
      <c r="AX103" s="5">
        <v>4</v>
      </c>
      <c r="AY103" s="5">
        <v>3</v>
      </c>
      <c r="AZ103" s="5">
        <v>4</v>
      </c>
      <c r="BA103" s="5">
        <v>4</v>
      </c>
      <c r="BB103" s="5">
        <v>5</v>
      </c>
      <c r="BC103" s="5">
        <v>2</v>
      </c>
      <c r="BD103" s="5">
        <v>4</v>
      </c>
      <c r="BE103" s="5">
        <v>2</v>
      </c>
      <c r="BF103" s="5">
        <v>1</v>
      </c>
      <c r="BG103" s="5">
        <v>2</v>
      </c>
      <c r="BH103" s="5">
        <v>3</v>
      </c>
      <c r="BI103" s="5">
        <v>4</v>
      </c>
      <c r="BJ103" s="5">
        <v>4</v>
      </c>
      <c r="BK103" s="5">
        <v>5</v>
      </c>
      <c r="BL103" s="2" t="s">
        <v>551</v>
      </c>
      <c r="BM103" s="1">
        <v>45940.720580185189</v>
      </c>
    </row>
    <row r="104" spans="1:65" ht="13.5" customHeight="1" x14ac:dyDescent="0.35">
      <c r="A104" t="s">
        <v>700</v>
      </c>
      <c r="B104" s="2" t="s">
        <v>574</v>
      </c>
      <c r="C104" s="2" t="s">
        <v>575</v>
      </c>
      <c r="D104" s="5">
        <v>5</v>
      </c>
      <c r="E104" s="5">
        <v>3</v>
      </c>
      <c r="F104" s="5">
        <v>3</v>
      </c>
      <c r="G104" s="5">
        <v>4</v>
      </c>
      <c r="H104" s="5">
        <v>2</v>
      </c>
      <c r="I104" s="5">
        <v>5</v>
      </c>
      <c r="J104" s="5">
        <v>4</v>
      </c>
      <c r="K104" s="5">
        <v>3</v>
      </c>
      <c r="L104" s="5">
        <v>4</v>
      </c>
      <c r="M104" s="5">
        <v>4</v>
      </c>
      <c r="N104" s="5">
        <v>1</v>
      </c>
      <c r="O104" s="5">
        <v>4</v>
      </c>
      <c r="P104" s="5">
        <v>5</v>
      </c>
      <c r="Q104" s="5">
        <v>5</v>
      </c>
      <c r="R104" s="5">
        <v>5</v>
      </c>
      <c r="S104" s="5">
        <v>4</v>
      </c>
      <c r="T104" s="5">
        <v>4</v>
      </c>
      <c r="U104" s="5">
        <v>3</v>
      </c>
      <c r="V104" s="5">
        <v>3</v>
      </c>
      <c r="W104" s="5">
        <v>4</v>
      </c>
      <c r="X104" s="5">
        <v>3</v>
      </c>
      <c r="Y104" s="5">
        <v>2</v>
      </c>
      <c r="Z104" s="5">
        <v>1</v>
      </c>
      <c r="AA104" s="5">
        <v>3</v>
      </c>
      <c r="AB104" s="5">
        <v>2</v>
      </c>
      <c r="AC104" s="5">
        <v>1</v>
      </c>
      <c r="AD104" s="5">
        <v>3</v>
      </c>
      <c r="AE104" s="5">
        <v>2</v>
      </c>
      <c r="AF104" s="5">
        <v>5</v>
      </c>
      <c r="AG104" s="5">
        <v>4</v>
      </c>
      <c r="AH104" s="5">
        <v>2</v>
      </c>
      <c r="AI104" s="5">
        <v>2</v>
      </c>
      <c r="AJ104" s="5">
        <v>1</v>
      </c>
      <c r="AK104" s="5">
        <v>4</v>
      </c>
      <c r="AL104" s="5">
        <v>4</v>
      </c>
      <c r="AM104" s="5">
        <v>4</v>
      </c>
      <c r="AN104" s="5">
        <v>5</v>
      </c>
      <c r="AO104" s="5">
        <v>3</v>
      </c>
      <c r="AP104" s="5">
        <v>5</v>
      </c>
      <c r="AQ104" s="5">
        <v>3</v>
      </c>
      <c r="AR104" s="5">
        <v>2</v>
      </c>
      <c r="AS104" s="5">
        <v>5</v>
      </c>
      <c r="AT104" s="5">
        <v>2</v>
      </c>
      <c r="AU104" s="5">
        <v>4</v>
      </c>
      <c r="AV104" s="5">
        <v>3</v>
      </c>
      <c r="AW104" s="5">
        <v>2</v>
      </c>
      <c r="AX104" s="5">
        <v>3</v>
      </c>
      <c r="AY104" s="5">
        <v>2</v>
      </c>
      <c r="AZ104" s="5">
        <v>3</v>
      </c>
      <c r="BA104" s="5">
        <v>3</v>
      </c>
      <c r="BB104" s="5">
        <v>4</v>
      </c>
      <c r="BC104" s="5">
        <v>2</v>
      </c>
      <c r="BD104" s="5">
        <v>5</v>
      </c>
      <c r="BE104" s="5">
        <v>5</v>
      </c>
      <c r="BF104" s="5">
        <v>2</v>
      </c>
      <c r="BG104" s="5">
        <v>3</v>
      </c>
      <c r="BH104" s="5">
        <v>4</v>
      </c>
      <c r="BI104" s="5">
        <v>4</v>
      </c>
      <c r="BJ104" s="5">
        <v>4</v>
      </c>
      <c r="BK104" s="5">
        <v>4</v>
      </c>
      <c r="BL104" s="2" t="s">
        <v>576</v>
      </c>
      <c r="BM104" s="1">
        <v>45941.507916215276</v>
      </c>
    </row>
    <row r="105" spans="1:65" ht="13.5" customHeight="1" x14ac:dyDescent="0.35">
      <c r="A105" t="s">
        <v>701</v>
      </c>
      <c r="B105" s="2" t="s">
        <v>569</v>
      </c>
      <c r="C105" s="2" t="s">
        <v>570</v>
      </c>
      <c r="D105" s="5">
        <v>4</v>
      </c>
      <c r="E105" s="5">
        <v>3</v>
      </c>
      <c r="F105" s="5">
        <v>4</v>
      </c>
      <c r="G105" s="5">
        <v>3</v>
      </c>
      <c r="H105" s="5">
        <v>2</v>
      </c>
      <c r="I105" s="5">
        <v>3</v>
      </c>
      <c r="J105" s="5">
        <v>4</v>
      </c>
      <c r="K105" s="5">
        <v>4</v>
      </c>
      <c r="L105" s="5">
        <v>2</v>
      </c>
      <c r="M105" s="5">
        <v>3</v>
      </c>
      <c r="N105" s="5">
        <v>2</v>
      </c>
      <c r="O105" s="5">
        <v>3</v>
      </c>
      <c r="P105" s="5">
        <v>3</v>
      </c>
      <c r="Q105" s="5">
        <v>4</v>
      </c>
      <c r="R105" s="5">
        <v>4</v>
      </c>
      <c r="S105" s="5">
        <v>4</v>
      </c>
      <c r="T105" s="5">
        <v>5</v>
      </c>
      <c r="U105" s="5">
        <v>4</v>
      </c>
      <c r="V105" s="5">
        <v>3</v>
      </c>
      <c r="W105" s="5">
        <v>2</v>
      </c>
      <c r="X105" s="5">
        <v>2</v>
      </c>
      <c r="Y105" s="5">
        <v>3</v>
      </c>
      <c r="Z105" s="5">
        <v>2</v>
      </c>
      <c r="AA105" s="5">
        <v>4</v>
      </c>
      <c r="AB105" s="5">
        <v>3</v>
      </c>
      <c r="AC105" s="5">
        <v>1</v>
      </c>
      <c r="AD105" s="5">
        <v>3</v>
      </c>
      <c r="AE105" s="5">
        <v>3</v>
      </c>
      <c r="AF105" s="5">
        <v>4</v>
      </c>
      <c r="AG105" s="5">
        <v>4</v>
      </c>
      <c r="AH105" s="5">
        <v>4</v>
      </c>
      <c r="AI105" s="5">
        <v>3</v>
      </c>
      <c r="AJ105" s="5">
        <v>3</v>
      </c>
      <c r="AK105" s="5">
        <v>3</v>
      </c>
      <c r="AL105" s="5">
        <v>4</v>
      </c>
      <c r="AM105" s="5">
        <v>3</v>
      </c>
      <c r="AN105" s="5">
        <v>3</v>
      </c>
      <c r="AO105" s="5">
        <v>2</v>
      </c>
      <c r="AP105" s="5">
        <v>3</v>
      </c>
      <c r="AQ105" s="5">
        <v>3</v>
      </c>
      <c r="AR105" s="5">
        <v>3</v>
      </c>
      <c r="AS105" s="5">
        <v>4</v>
      </c>
      <c r="AT105" s="5">
        <v>2</v>
      </c>
      <c r="AU105" s="5">
        <v>3</v>
      </c>
      <c r="AV105" s="5">
        <v>3</v>
      </c>
      <c r="AW105" s="5">
        <v>3</v>
      </c>
      <c r="AX105" s="5">
        <v>2</v>
      </c>
      <c r="AY105" s="5">
        <v>1</v>
      </c>
      <c r="AZ105" s="5">
        <v>3</v>
      </c>
      <c r="BA105" s="5">
        <v>2</v>
      </c>
      <c r="BB105" s="5">
        <v>2</v>
      </c>
      <c r="BC105" s="5">
        <v>3</v>
      </c>
      <c r="BD105" s="5">
        <v>4</v>
      </c>
      <c r="BE105" s="5">
        <v>4</v>
      </c>
      <c r="BF105" s="5">
        <v>2</v>
      </c>
      <c r="BG105" s="5">
        <v>3</v>
      </c>
      <c r="BH105" s="5">
        <v>4</v>
      </c>
      <c r="BI105" s="5">
        <v>3</v>
      </c>
      <c r="BJ105" s="5">
        <v>3</v>
      </c>
      <c r="BK105" s="5">
        <v>2</v>
      </c>
      <c r="BL105" s="2" t="s">
        <v>571</v>
      </c>
      <c r="BM105" s="1">
        <v>45941.507592268521</v>
      </c>
    </row>
    <row r="106" spans="1:65" ht="13.5" customHeight="1" x14ac:dyDescent="0.35">
      <c r="A106" t="s">
        <v>702</v>
      </c>
      <c r="B106" s="2" t="s">
        <v>585</v>
      </c>
      <c r="C106" s="2" t="s">
        <v>586</v>
      </c>
      <c r="D106" s="5">
        <v>5</v>
      </c>
      <c r="E106" s="5">
        <v>5</v>
      </c>
      <c r="F106" s="5">
        <v>3</v>
      </c>
      <c r="G106" s="5">
        <v>5</v>
      </c>
      <c r="H106" s="5">
        <v>5</v>
      </c>
      <c r="I106" s="5">
        <v>5</v>
      </c>
      <c r="J106" s="5">
        <v>5</v>
      </c>
      <c r="K106" s="5">
        <v>1</v>
      </c>
      <c r="L106" s="5">
        <v>4</v>
      </c>
      <c r="M106" s="5">
        <v>5</v>
      </c>
      <c r="N106" s="5">
        <v>5</v>
      </c>
      <c r="O106" s="5">
        <v>5</v>
      </c>
      <c r="P106" s="5">
        <v>5</v>
      </c>
      <c r="Q106" s="5">
        <v>1</v>
      </c>
      <c r="R106" s="5">
        <v>5</v>
      </c>
      <c r="S106" s="5">
        <v>1</v>
      </c>
      <c r="T106" s="5">
        <v>5</v>
      </c>
      <c r="U106" s="5">
        <v>5</v>
      </c>
      <c r="V106" s="5">
        <v>1</v>
      </c>
      <c r="W106" s="5">
        <v>5</v>
      </c>
      <c r="X106" s="5">
        <v>5</v>
      </c>
      <c r="Y106" s="5">
        <v>1</v>
      </c>
      <c r="Z106" s="5">
        <v>5</v>
      </c>
      <c r="AA106" s="5">
        <v>1</v>
      </c>
      <c r="AB106" s="5">
        <v>1</v>
      </c>
      <c r="AC106" s="5">
        <v>5</v>
      </c>
      <c r="AD106" s="5">
        <v>5</v>
      </c>
      <c r="AE106" s="5">
        <v>5</v>
      </c>
      <c r="AF106" s="5">
        <v>5</v>
      </c>
      <c r="AG106" s="5">
        <v>5</v>
      </c>
      <c r="AH106" s="5">
        <v>1</v>
      </c>
      <c r="AI106" s="5">
        <v>5</v>
      </c>
      <c r="AJ106" s="5">
        <v>5</v>
      </c>
      <c r="AK106" s="5">
        <v>5</v>
      </c>
      <c r="AL106" s="5">
        <v>2</v>
      </c>
      <c r="AM106" s="5">
        <v>1</v>
      </c>
      <c r="AN106" s="5">
        <v>5</v>
      </c>
      <c r="AO106" s="5">
        <v>5</v>
      </c>
      <c r="AP106" s="5">
        <v>5</v>
      </c>
      <c r="AQ106" s="5">
        <v>5</v>
      </c>
      <c r="AR106" s="5">
        <v>1</v>
      </c>
      <c r="AS106" s="5">
        <v>5</v>
      </c>
      <c r="AT106" s="5">
        <v>5</v>
      </c>
      <c r="AU106" s="5">
        <v>5</v>
      </c>
      <c r="AV106" s="5">
        <v>5</v>
      </c>
      <c r="AW106" s="5">
        <v>1</v>
      </c>
      <c r="AX106" s="5">
        <v>5</v>
      </c>
      <c r="AY106" s="5">
        <v>5</v>
      </c>
      <c r="AZ106" s="5">
        <v>5</v>
      </c>
      <c r="BA106" s="5">
        <v>5</v>
      </c>
      <c r="BB106" s="5">
        <v>5</v>
      </c>
      <c r="BC106" s="5">
        <v>5</v>
      </c>
      <c r="BD106" s="5">
        <v>5</v>
      </c>
      <c r="BE106" s="5">
        <v>5</v>
      </c>
      <c r="BF106" s="5">
        <v>5</v>
      </c>
      <c r="BG106" s="5">
        <v>5</v>
      </c>
      <c r="BH106" s="5">
        <v>5</v>
      </c>
      <c r="BI106" s="5">
        <v>5</v>
      </c>
      <c r="BJ106" s="5">
        <v>5</v>
      </c>
      <c r="BK106" s="5">
        <v>5</v>
      </c>
      <c r="BL106" s="2" t="s">
        <v>587</v>
      </c>
      <c r="BM106" s="1">
        <v>45941.51769252315</v>
      </c>
    </row>
    <row r="107" spans="1:65" ht="13.5" customHeight="1" x14ac:dyDescent="0.35">
      <c r="A107" t="s">
        <v>703</v>
      </c>
      <c r="B107" s="2" t="s">
        <v>564</v>
      </c>
      <c r="C107" s="2" t="s">
        <v>565</v>
      </c>
      <c r="D107" s="5">
        <v>5</v>
      </c>
      <c r="E107" s="5">
        <v>1</v>
      </c>
      <c r="F107" s="5">
        <v>3</v>
      </c>
      <c r="G107" s="5">
        <v>3</v>
      </c>
      <c r="H107" s="5">
        <v>4</v>
      </c>
      <c r="I107" s="5">
        <v>3</v>
      </c>
      <c r="J107" s="5">
        <v>5</v>
      </c>
      <c r="K107" s="5">
        <v>1</v>
      </c>
      <c r="L107" s="5">
        <v>4</v>
      </c>
      <c r="M107" s="5">
        <v>4</v>
      </c>
      <c r="N107" s="5">
        <v>5</v>
      </c>
      <c r="O107" s="5">
        <v>3</v>
      </c>
      <c r="P107" s="5">
        <v>5</v>
      </c>
      <c r="Q107" s="5">
        <v>2</v>
      </c>
      <c r="R107" s="5">
        <v>5</v>
      </c>
      <c r="S107" s="5">
        <v>1</v>
      </c>
      <c r="T107" s="5">
        <v>5</v>
      </c>
      <c r="U107" s="5">
        <v>5</v>
      </c>
      <c r="V107" s="5">
        <v>1</v>
      </c>
      <c r="W107" s="5">
        <v>5</v>
      </c>
      <c r="X107" s="5">
        <v>2</v>
      </c>
      <c r="Y107" s="5">
        <v>3</v>
      </c>
      <c r="Z107" s="5">
        <v>5</v>
      </c>
      <c r="AA107" s="5">
        <v>2</v>
      </c>
      <c r="AB107" s="5">
        <v>1</v>
      </c>
      <c r="AC107" s="5">
        <v>4</v>
      </c>
      <c r="AD107" s="5">
        <v>3</v>
      </c>
      <c r="AE107" s="5">
        <v>4</v>
      </c>
      <c r="AF107" s="5">
        <v>5</v>
      </c>
      <c r="AG107" s="5">
        <v>3</v>
      </c>
      <c r="AH107" s="5">
        <v>1</v>
      </c>
      <c r="AI107" s="5">
        <v>4</v>
      </c>
      <c r="AJ107" s="5">
        <v>5</v>
      </c>
      <c r="AK107" s="5">
        <v>5</v>
      </c>
      <c r="AL107" s="5">
        <v>3</v>
      </c>
      <c r="AM107" s="5">
        <v>1</v>
      </c>
      <c r="AN107" s="5">
        <v>2</v>
      </c>
      <c r="AO107" s="5">
        <v>5</v>
      </c>
      <c r="AP107" s="5">
        <v>5</v>
      </c>
      <c r="AQ107" s="5">
        <v>3</v>
      </c>
      <c r="AR107" s="5">
        <v>2</v>
      </c>
      <c r="AS107" s="5">
        <v>3</v>
      </c>
      <c r="AT107" s="5">
        <v>5</v>
      </c>
      <c r="AU107" s="5">
        <v>5</v>
      </c>
      <c r="AV107" s="5">
        <v>3</v>
      </c>
      <c r="AW107" s="5">
        <v>1</v>
      </c>
      <c r="AX107" s="5">
        <v>5</v>
      </c>
      <c r="AY107" s="5">
        <v>1</v>
      </c>
      <c r="AZ107" s="5">
        <v>4</v>
      </c>
      <c r="BA107" s="5">
        <v>4</v>
      </c>
      <c r="BB107" s="5">
        <v>5</v>
      </c>
      <c r="BC107" s="5">
        <v>2</v>
      </c>
      <c r="BD107" s="5">
        <v>4</v>
      </c>
      <c r="BE107" s="5">
        <v>5</v>
      </c>
      <c r="BF107" s="5">
        <v>5</v>
      </c>
      <c r="BG107" s="5">
        <v>3</v>
      </c>
      <c r="BH107" s="5">
        <v>4</v>
      </c>
      <c r="BI107" s="5">
        <v>5</v>
      </c>
      <c r="BJ107" s="5">
        <v>3</v>
      </c>
      <c r="BK107" s="5">
        <v>5</v>
      </c>
      <c r="BL107" s="2" t="s">
        <v>566</v>
      </c>
      <c r="BM107" s="1">
        <v>45941.506911412034</v>
      </c>
    </row>
    <row r="108" spans="1:65" ht="13.5" customHeight="1" x14ac:dyDescent="0.35">
      <c r="A108" t="s">
        <v>704</v>
      </c>
      <c r="B108" s="2" t="s">
        <v>579</v>
      </c>
      <c r="C108" s="2" t="s">
        <v>580</v>
      </c>
      <c r="D108" s="5">
        <v>5</v>
      </c>
      <c r="E108" s="5">
        <v>5</v>
      </c>
      <c r="F108" s="5">
        <v>1</v>
      </c>
      <c r="G108" s="5">
        <v>3</v>
      </c>
      <c r="H108" s="5">
        <v>4</v>
      </c>
      <c r="I108" s="5">
        <v>4</v>
      </c>
      <c r="J108" s="5">
        <v>4</v>
      </c>
      <c r="K108" s="5">
        <v>1</v>
      </c>
      <c r="L108" s="5">
        <v>1</v>
      </c>
      <c r="M108" s="5">
        <v>5</v>
      </c>
      <c r="N108" s="5">
        <v>5</v>
      </c>
      <c r="O108" s="5">
        <v>5</v>
      </c>
      <c r="P108" s="5">
        <v>5</v>
      </c>
      <c r="Q108" s="5">
        <v>5</v>
      </c>
      <c r="R108" s="5">
        <v>5</v>
      </c>
      <c r="S108" s="5">
        <v>1</v>
      </c>
      <c r="T108" s="5">
        <v>5</v>
      </c>
      <c r="U108" s="5">
        <v>3</v>
      </c>
      <c r="V108" s="5">
        <v>1</v>
      </c>
      <c r="W108" s="5">
        <v>1</v>
      </c>
      <c r="X108" s="5">
        <v>5</v>
      </c>
      <c r="Y108" s="5">
        <v>2</v>
      </c>
      <c r="Z108" s="5">
        <v>2</v>
      </c>
      <c r="AA108" s="5">
        <v>4</v>
      </c>
      <c r="AB108" s="5">
        <v>2</v>
      </c>
      <c r="AC108" s="5">
        <v>5</v>
      </c>
      <c r="AD108" s="5">
        <v>5</v>
      </c>
      <c r="AE108" s="5">
        <v>5</v>
      </c>
      <c r="AF108" s="5">
        <v>4</v>
      </c>
      <c r="AG108" s="5">
        <v>5</v>
      </c>
      <c r="AH108" s="5">
        <v>2</v>
      </c>
      <c r="AI108" s="5">
        <v>2</v>
      </c>
      <c r="AJ108" s="5">
        <v>5</v>
      </c>
      <c r="AK108" s="5">
        <v>1</v>
      </c>
      <c r="AL108" s="5">
        <v>5</v>
      </c>
      <c r="AM108" s="5">
        <v>1</v>
      </c>
      <c r="AN108" s="5">
        <v>5</v>
      </c>
      <c r="AO108" s="5">
        <v>5</v>
      </c>
      <c r="AP108" s="5">
        <v>5</v>
      </c>
      <c r="AQ108" s="5">
        <v>5</v>
      </c>
      <c r="AR108" s="5">
        <v>1</v>
      </c>
      <c r="AS108" s="5">
        <v>5</v>
      </c>
      <c r="AT108" s="5">
        <v>5</v>
      </c>
      <c r="AU108" s="5">
        <v>5</v>
      </c>
      <c r="AV108" s="5">
        <v>5</v>
      </c>
      <c r="AW108" s="5">
        <v>1</v>
      </c>
      <c r="AX108" s="5">
        <v>5</v>
      </c>
      <c r="AY108" s="5">
        <v>5</v>
      </c>
      <c r="AZ108" s="5">
        <v>5</v>
      </c>
      <c r="BA108" s="5">
        <v>5</v>
      </c>
      <c r="BB108" s="5">
        <v>5</v>
      </c>
      <c r="BC108" s="5">
        <v>2</v>
      </c>
      <c r="BD108" s="5">
        <v>1</v>
      </c>
      <c r="BE108" s="5">
        <v>1</v>
      </c>
      <c r="BF108" s="5">
        <v>4</v>
      </c>
      <c r="BG108" s="5">
        <v>5</v>
      </c>
      <c r="BH108" s="5">
        <v>5</v>
      </c>
      <c r="BI108" s="5">
        <v>5</v>
      </c>
      <c r="BJ108" s="5">
        <v>4</v>
      </c>
      <c r="BK108" s="5">
        <v>4</v>
      </c>
      <c r="BL108" s="2" t="s">
        <v>581</v>
      </c>
      <c r="BM108" s="1">
        <v>45941.509012881943</v>
      </c>
    </row>
    <row r="109" spans="1:65" ht="13.5" customHeight="1" x14ac:dyDescent="0.35">
      <c r="A109" t="s">
        <v>786</v>
      </c>
      <c r="B109" t="s">
        <v>796</v>
      </c>
      <c r="C109" t="s">
        <v>797</v>
      </c>
      <c r="D109" s="5">
        <v>5</v>
      </c>
      <c r="E109" s="5">
        <v>2</v>
      </c>
      <c r="F109" s="5">
        <v>3</v>
      </c>
      <c r="G109" s="5">
        <v>5</v>
      </c>
      <c r="H109" s="5">
        <v>5</v>
      </c>
      <c r="I109" s="5">
        <v>2</v>
      </c>
      <c r="J109" s="5">
        <v>5</v>
      </c>
      <c r="K109" s="5">
        <v>1</v>
      </c>
      <c r="L109" s="5">
        <v>4</v>
      </c>
      <c r="M109" s="5">
        <v>5</v>
      </c>
      <c r="N109" s="5">
        <v>5</v>
      </c>
      <c r="O109" s="5">
        <v>5</v>
      </c>
      <c r="P109" s="5">
        <v>4</v>
      </c>
      <c r="Q109" s="5">
        <v>3</v>
      </c>
      <c r="R109" s="5">
        <v>5</v>
      </c>
      <c r="S109" s="5">
        <v>4</v>
      </c>
      <c r="T109" s="5">
        <v>5</v>
      </c>
      <c r="U109" s="5">
        <v>5</v>
      </c>
      <c r="V109" s="5">
        <v>3</v>
      </c>
      <c r="W109" s="5">
        <v>5</v>
      </c>
      <c r="X109" s="5">
        <v>3</v>
      </c>
      <c r="Y109" s="5">
        <v>1</v>
      </c>
      <c r="Z109" s="5">
        <v>2</v>
      </c>
      <c r="AA109" s="5">
        <v>1</v>
      </c>
      <c r="AB109" s="5">
        <v>2</v>
      </c>
      <c r="AC109" s="5">
        <v>3</v>
      </c>
      <c r="AD109" s="5">
        <v>3</v>
      </c>
      <c r="AE109" s="5">
        <v>2</v>
      </c>
      <c r="AF109" s="5">
        <v>5</v>
      </c>
      <c r="AG109" s="5">
        <v>4</v>
      </c>
      <c r="AH109" s="5">
        <v>1</v>
      </c>
      <c r="AI109" s="5">
        <v>5</v>
      </c>
      <c r="AJ109" s="5">
        <v>4</v>
      </c>
      <c r="AK109" s="5">
        <v>5</v>
      </c>
      <c r="AL109" s="5">
        <v>2</v>
      </c>
      <c r="AM109" s="5">
        <v>4</v>
      </c>
      <c r="AN109" s="5">
        <v>2</v>
      </c>
      <c r="AO109" s="5">
        <v>4</v>
      </c>
      <c r="AP109" s="5">
        <v>5</v>
      </c>
      <c r="AQ109" s="5">
        <v>4</v>
      </c>
      <c r="AR109" s="5">
        <v>3</v>
      </c>
      <c r="AS109" s="5">
        <v>2</v>
      </c>
      <c r="AT109" s="5">
        <v>5</v>
      </c>
      <c r="AU109" s="5">
        <v>5</v>
      </c>
      <c r="AV109" s="5">
        <v>4</v>
      </c>
      <c r="AW109" s="5">
        <v>2</v>
      </c>
      <c r="AX109" s="5">
        <v>5</v>
      </c>
      <c r="AY109" s="5">
        <v>2</v>
      </c>
      <c r="AZ109" s="5">
        <v>4</v>
      </c>
      <c r="BA109" s="5">
        <v>4</v>
      </c>
      <c r="BB109" s="5">
        <v>4</v>
      </c>
      <c r="BC109" s="5">
        <v>4</v>
      </c>
      <c r="BD109" s="5">
        <v>5</v>
      </c>
      <c r="BE109" s="5">
        <v>4</v>
      </c>
      <c r="BF109" s="5">
        <v>4</v>
      </c>
      <c r="BG109" s="5">
        <v>2</v>
      </c>
      <c r="BH109" s="5">
        <v>5</v>
      </c>
      <c r="BI109" s="5">
        <v>5</v>
      </c>
      <c r="BJ109" s="5">
        <v>4</v>
      </c>
      <c r="BK109" s="5">
        <v>5</v>
      </c>
      <c r="BL109" t="s">
        <v>872</v>
      </c>
      <c r="BM109" s="1">
        <v>46002.784525462965</v>
      </c>
    </row>
    <row r="110" spans="1:65" ht="13.5" customHeight="1" x14ac:dyDescent="0.35">
      <c r="A110" t="s">
        <v>787</v>
      </c>
      <c r="B110" t="s">
        <v>798</v>
      </c>
      <c r="C110" t="s">
        <v>799</v>
      </c>
      <c r="D110" s="5">
        <v>5</v>
      </c>
      <c r="E110" s="5">
        <v>3</v>
      </c>
      <c r="F110" s="5">
        <v>4</v>
      </c>
      <c r="G110" s="5">
        <v>4</v>
      </c>
      <c r="H110" s="5">
        <v>3</v>
      </c>
      <c r="I110" s="5">
        <v>5</v>
      </c>
      <c r="J110" s="5">
        <v>4</v>
      </c>
      <c r="K110" s="5">
        <v>2</v>
      </c>
      <c r="L110" s="5">
        <v>4</v>
      </c>
      <c r="M110" s="5">
        <v>4</v>
      </c>
      <c r="N110" s="5">
        <v>3</v>
      </c>
      <c r="O110" s="5">
        <v>5</v>
      </c>
      <c r="P110" s="5">
        <v>5</v>
      </c>
      <c r="Q110" s="5">
        <v>4</v>
      </c>
      <c r="R110" s="5">
        <v>3</v>
      </c>
      <c r="S110" s="5">
        <v>2</v>
      </c>
      <c r="T110" s="5">
        <v>4</v>
      </c>
      <c r="U110" s="5">
        <v>3</v>
      </c>
      <c r="V110" s="5">
        <v>2</v>
      </c>
      <c r="W110" s="5">
        <v>4</v>
      </c>
      <c r="X110" s="5">
        <v>3</v>
      </c>
      <c r="Y110" s="5">
        <v>2</v>
      </c>
      <c r="Z110" s="5">
        <v>4</v>
      </c>
      <c r="AA110" s="5">
        <v>3</v>
      </c>
      <c r="AB110" s="5">
        <v>2</v>
      </c>
      <c r="AC110" s="5">
        <v>4</v>
      </c>
      <c r="AD110" s="5">
        <v>5</v>
      </c>
      <c r="AE110" s="5">
        <v>4</v>
      </c>
      <c r="AF110" s="5">
        <v>4</v>
      </c>
      <c r="AG110" s="5">
        <v>4</v>
      </c>
      <c r="AH110" s="5">
        <v>3</v>
      </c>
      <c r="AI110" s="5">
        <v>4</v>
      </c>
      <c r="AJ110" s="5">
        <v>4</v>
      </c>
      <c r="AK110" s="5">
        <v>2</v>
      </c>
      <c r="AL110" s="5">
        <v>4</v>
      </c>
      <c r="AM110" s="5">
        <v>3</v>
      </c>
      <c r="AN110" s="5">
        <v>4</v>
      </c>
      <c r="AO110" s="5">
        <v>3</v>
      </c>
      <c r="AP110" s="5">
        <v>4</v>
      </c>
      <c r="AQ110" s="5">
        <v>4</v>
      </c>
      <c r="AR110" s="5">
        <v>4</v>
      </c>
      <c r="AS110" s="5">
        <v>5</v>
      </c>
      <c r="AT110" s="5">
        <v>4</v>
      </c>
      <c r="AU110" s="5">
        <v>4</v>
      </c>
      <c r="AV110" s="5">
        <v>4</v>
      </c>
      <c r="AW110" s="5">
        <v>2</v>
      </c>
      <c r="AX110" s="5">
        <v>5</v>
      </c>
      <c r="AY110" s="5">
        <v>2</v>
      </c>
      <c r="AZ110" s="5">
        <v>4</v>
      </c>
      <c r="BA110" s="5">
        <v>5</v>
      </c>
      <c r="BB110" s="5">
        <v>4</v>
      </c>
      <c r="BC110" s="5">
        <v>3</v>
      </c>
      <c r="BD110" s="5">
        <v>3</v>
      </c>
      <c r="BE110" s="5">
        <v>4</v>
      </c>
      <c r="BF110" s="5">
        <v>4</v>
      </c>
      <c r="BG110" s="5">
        <v>2</v>
      </c>
      <c r="BH110" s="5">
        <v>4</v>
      </c>
      <c r="BI110" s="5">
        <v>2</v>
      </c>
      <c r="BJ110" s="5">
        <v>4</v>
      </c>
      <c r="BK110" s="5">
        <v>4</v>
      </c>
      <c r="BL110" t="s">
        <v>873</v>
      </c>
      <c r="BM110" s="1">
        <v>46002.786678240744</v>
      </c>
    </row>
    <row r="111" spans="1:65" ht="13.5" customHeight="1" x14ac:dyDescent="0.35">
      <c r="A111" t="s">
        <v>788</v>
      </c>
      <c r="B111" t="s">
        <v>800</v>
      </c>
      <c r="C111" t="s">
        <v>801</v>
      </c>
      <c r="D111" s="5">
        <v>4</v>
      </c>
      <c r="E111" s="5">
        <v>5</v>
      </c>
      <c r="F111" s="5">
        <v>3</v>
      </c>
      <c r="G111" s="5">
        <v>4</v>
      </c>
      <c r="H111" s="5">
        <v>4</v>
      </c>
      <c r="I111" s="5">
        <v>4</v>
      </c>
      <c r="J111" s="5">
        <v>3</v>
      </c>
      <c r="K111" s="5">
        <v>2</v>
      </c>
      <c r="L111" s="5">
        <v>1</v>
      </c>
      <c r="M111" s="5">
        <v>4</v>
      </c>
      <c r="N111" s="5">
        <v>3</v>
      </c>
      <c r="O111" s="5">
        <v>3</v>
      </c>
      <c r="P111" s="5">
        <v>3</v>
      </c>
      <c r="Q111" s="5">
        <v>3</v>
      </c>
      <c r="R111" s="5">
        <v>5</v>
      </c>
      <c r="S111" s="5">
        <v>1</v>
      </c>
      <c r="T111" s="5">
        <v>5</v>
      </c>
      <c r="U111" s="5">
        <v>3</v>
      </c>
      <c r="V111" s="5">
        <v>1</v>
      </c>
      <c r="W111" s="5">
        <v>5</v>
      </c>
      <c r="X111" s="5">
        <v>4</v>
      </c>
      <c r="Y111" s="5">
        <v>3</v>
      </c>
      <c r="Z111" s="5">
        <v>4</v>
      </c>
      <c r="AA111" s="5">
        <v>2</v>
      </c>
      <c r="AB111" s="5">
        <v>1</v>
      </c>
      <c r="AC111" s="5">
        <v>4</v>
      </c>
      <c r="AD111" s="5">
        <v>4</v>
      </c>
      <c r="AE111" s="5">
        <v>4</v>
      </c>
      <c r="AF111" s="5">
        <v>4</v>
      </c>
      <c r="AG111" s="5">
        <v>4</v>
      </c>
      <c r="AH111" s="5">
        <v>2</v>
      </c>
      <c r="AI111" s="5">
        <v>3</v>
      </c>
      <c r="AJ111" s="5">
        <v>4</v>
      </c>
      <c r="AK111" s="5">
        <v>3</v>
      </c>
      <c r="AL111" s="5">
        <v>4</v>
      </c>
      <c r="AM111" s="5">
        <v>2</v>
      </c>
      <c r="AN111" s="5">
        <v>4</v>
      </c>
      <c r="AO111" s="5">
        <v>4</v>
      </c>
      <c r="AP111" s="5">
        <v>3</v>
      </c>
      <c r="AQ111" s="5">
        <v>3</v>
      </c>
      <c r="AR111" s="5">
        <v>2</v>
      </c>
      <c r="AS111" s="5">
        <v>4</v>
      </c>
      <c r="AT111" s="5">
        <v>4</v>
      </c>
      <c r="AU111" s="5">
        <v>3</v>
      </c>
      <c r="AV111" s="5">
        <v>5</v>
      </c>
      <c r="AW111" s="5">
        <v>2</v>
      </c>
      <c r="AX111" s="5">
        <v>2</v>
      </c>
      <c r="AY111" s="5">
        <v>1</v>
      </c>
      <c r="AZ111" s="5">
        <v>3</v>
      </c>
      <c r="BA111" s="5">
        <v>4</v>
      </c>
      <c r="BB111" s="5">
        <v>4</v>
      </c>
      <c r="BC111" s="5">
        <v>1</v>
      </c>
      <c r="BD111" s="5">
        <v>5</v>
      </c>
      <c r="BE111" s="5">
        <v>3</v>
      </c>
      <c r="BF111" s="5">
        <v>3</v>
      </c>
      <c r="BG111" s="5">
        <v>5</v>
      </c>
      <c r="BH111" s="5">
        <v>4</v>
      </c>
      <c r="BI111" s="5">
        <v>3</v>
      </c>
      <c r="BJ111" s="5">
        <v>3</v>
      </c>
      <c r="BK111" s="5">
        <v>5</v>
      </c>
      <c r="BL111" t="s">
        <v>874</v>
      </c>
      <c r="BM111" s="1">
        <v>46002.786956018521</v>
      </c>
    </row>
    <row r="112" spans="1:65" ht="13.5" customHeight="1" x14ac:dyDescent="0.35">
      <c r="A112" t="s">
        <v>789</v>
      </c>
      <c r="B112" t="s">
        <v>802</v>
      </c>
      <c r="C112" t="s">
        <v>803</v>
      </c>
      <c r="D112" s="5">
        <v>4</v>
      </c>
      <c r="E112" s="5">
        <v>5</v>
      </c>
      <c r="F112" s="5">
        <v>5</v>
      </c>
      <c r="G112" s="5">
        <v>2</v>
      </c>
      <c r="H112" s="5">
        <v>2</v>
      </c>
      <c r="I112" s="5">
        <v>5</v>
      </c>
      <c r="J112" s="5">
        <v>5</v>
      </c>
      <c r="K112" s="5">
        <v>4</v>
      </c>
      <c r="L112" s="5">
        <v>1</v>
      </c>
      <c r="M112" s="5">
        <v>2</v>
      </c>
      <c r="N112" s="5">
        <v>5</v>
      </c>
      <c r="O112" s="5">
        <v>5</v>
      </c>
      <c r="P112" s="5">
        <v>5</v>
      </c>
      <c r="Q112" s="5">
        <v>4</v>
      </c>
      <c r="R112" s="5">
        <v>5</v>
      </c>
      <c r="S112" s="5">
        <v>5</v>
      </c>
      <c r="T112" s="5">
        <v>2</v>
      </c>
      <c r="U112" s="5">
        <v>1</v>
      </c>
      <c r="V112" s="5">
        <v>4</v>
      </c>
      <c r="W112" s="5">
        <v>1</v>
      </c>
      <c r="X112" s="5">
        <v>5</v>
      </c>
      <c r="Y112" s="5">
        <v>1</v>
      </c>
      <c r="Z112" s="5">
        <v>2</v>
      </c>
      <c r="AA112" s="5">
        <v>5</v>
      </c>
      <c r="AB112" s="5">
        <v>2</v>
      </c>
      <c r="AC112" s="5">
        <v>1</v>
      </c>
      <c r="AD112" s="5">
        <v>3</v>
      </c>
      <c r="AE112" s="5">
        <v>5</v>
      </c>
      <c r="AF112" s="5">
        <v>4</v>
      </c>
      <c r="AG112" s="5">
        <v>4</v>
      </c>
      <c r="AH112" s="5">
        <v>5</v>
      </c>
      <c r="AI112" s="5">
        <v>2</v>
      </c>
      <c r="AJ112" s="5">
        <v>2</v>
      </c>
      <c r="AK112" s="5">
        <v>1</v>
      </c>
      <c r="AL112" s="5">
        <v>2</v>
      </c>
      <c r="AM112" s="5">
        <v>4</v>
      </c>
      <c r="AN112" s="5">
        <v>5</v>
      </c>
      <c r="AO112" s="5">
        <v>5</v>
      </c>
      <c r="AP112" s="5">
        <v>5</v>
      </c>
      <c r="AQ112" s="5">
        <v>3</v>
      </c>
      <c r="AR112" s="5">
        <v>4</v>
      </c>
      <c r="AS112" s="5">
        <v>5</v>
      </c>
      <c r="AT112" s="5">
        <v>4</v>
      </c>
      <c r="AU112" s="5">
        <v>5</v>
      </c>
      <c r="AV112" s="5">
        <v>3</v>
      </c>
      <c r="AW112" s="5">
        <v>4</v>
      </c>
      <c r="AX112" s="5">
        <v>3</v>
      </c>
      <c r="AY112" s="5">
        <v>5</v>
      </c>
      <c r="AZ112" s="5">
        <v>3</v>
      </c>
      <c r="BA112" s="5">
        <v>3</v>
      </c>
      <c r="BB112" s="5">
        <v>3</v>
      </c>
      <c r="BC112" s="5">
        <v>4</v>
      </c>
      <c r="BD112" s="5">
        <v>1</v>
      </c>
      <c r="BE112" s="5">
        <v>3</v>
      </c>
      <c r="BF112" s="5">
        <v>4</v>
      </c>
      <c r="BG112" s="5">
        <v>5</v>
      </c>
      <c r="BH112" s="5">
        <v>4</v>
      </c>
      <c r="BI112" s="5">
        <v>3</v>
      </c>
      <c r="BJ112" s="5">
        <v>2</v>
      </c>
      <c r="BK112" s="5">
        <v>5</v>
      </c>
      <c r="BL112" t="s">
        <v>875</v>
      </c>
      <c r="BM112" s="1">
        <v>46002.787129629629</v>
      </c>
    </row>
    <row r="113" spans="1:65" ht="13.5" customHeight="1" x14ac:dyDescent="0.35">
      <c r="A113" t="s">
        <v>790</v>
      </c>
      <c r="B113" t="s">
        <v>804</v>
      </c>
      <c r="C113" t="s">
        <v>805</v>
      </c>
      <c r="D113" s="5">
        <v>4</v>
      </c>
      <c r="E113" s="5">
        <v>5</v>
      </c>
      <c r="F113" s="5">
        <v>2</v>
      </c>
      <c r="G113" s="5">
        <v>4</v>
      </c>
      <c r="H113" s="5">
        <v>3</v>
      </c>
      <c r="I113" s="5">
        <v>4</v>
      </c>
      <c r="J113" s="5">
        <v>4</v>
      </c>
      <c r="K113" s="5">
        <v>1</v>
      </c>
      <c r="L113" s="5">
        <v>1</v>
      </c>
      <c r="M113" s="5">
        <v>3</v>
      </c>
      <c r="N113" s="5">
        <v>5</v>
      </c>
      <c r="O113" s="5">
        <v>3</v>
      </c>
      <c r="P113" s="5">
        <v>3</v>
      </c>
      <c r="Q113" s="5">
        <v>2</v>
      </c>
      <c r="R113" s="5">
        <v>5</v>
      </c>
      <c r="S113" s="5">
        <v>1</v>
      </c>
      <c r="T113" s="5">
        <v>5</v>
      </c>
      <c r="U113" s="5">
        <v>3</v>
      </c>
      <c r="V113" s="5">
        <v>2</v>
      </c>
      <c r="W113" s="5">
        <v>4</v>
      </c>
      <c r="X113" s="5">
        <v>5</v>
      </c>
      <c r="Y113" s="5">
        <v>1</v>
      </c>
      <c r="Z113" s="5">
        <v>4</v>
      </c>
      <c r="AA113" s="5">
        <v>1</v>
      </c>
      <c r="AB113" s="5">
        <v>2</v>
      </c>
      <c r="AC113" s="5">
        <v>4</v>
      </c>
      <c r="AD113" s="5">
        <v>4</v>
      </c>
      <c r="AE113" s="5">
        <v>4</v>
      </c>
      <c r="AF113" s="5">
        <v>3</v>
      </c>
      <c r="AG113" s="5">
        <v>4</v>
      </c>
      <c r="AH113" s="5">
        <v>1</v>
      </c>
      <c r="AI113" s="5">
        <v>4</v>
      </c>
      <c r="AJ113" s="5">
        <v>5</v>
      </c>
      <c r="AK113" s="5">
        <v>2</v>
      </c>
      <c r="AL113" s="5">
        <v>3</v>
      </c>
      <c r="AM113" s="5">
        <v>1</v>
      </c>
      <c r="AN113" s="5">
        <v>4</v>
      </c>
      <c r="AO113" s="5">
        <v>3</v>
      </c>
      <c r="AP113" s="5">
        <v>3</v>
      </c>
      <c r="AQ113" s="5">
        <v>4</v>
      </c>
      <c r="AR113" s="5">
        <v>1</v>
      </c>
      <c r="AS113" s="5">
        <v>4</v>
      </c>
      <c r="AT113" s="5">
        <v>5</v>
      </c>
      <c r="AU113" s="5">
        <v>2</v>
      </c>
      <c r="AV113" s="5">
        <v>4</v>
      </c>
      <c r="AW113" s="5">
        <v>2</v>
      </c>
      <c r="AX113" s="5">
        <v>3</v>
      </c>
      <c r="AY113" s="5">
        <v>5</v>
      </c>
      <c r="AZ113" s="5">
        <v>3</v>
      </c>
      <c r="BA113" s="5">
        <v>4</v>
      </c>
      <c r="BB113" s="5">
        <v>5</v>
      </c>
      <c r="BC113" s="5">
        <v>2</v>
      </c>
      <c r="BD113" s="5">
        <v>4</v>
      </c>
      <c r="BE113" s="5">
        <v>4</v>
      </c>
      <c r="BF113" s="5">
        <v>4</v>
      </c>
      <c r="BG113" s="5">
        <v>4</v>
      </c>
      <c r="BH113" s="5">
        <v>5</v>
      </c>
      <c r="BI113" s="5">
        <v>2</v>
      </c>
      <c r="BJ113" s="5">
        <v>4</v>
      </c>
      <c r="BK113" s="5">
        <v>4</v>
      </c>
      <c r="BL113" t="s">
        <v>876</v>
      </c>
      <c r="BM113" s="1">
        <v>46002.787523148145</v>
      </c>
    </row>
    <row r="114" spans="1:65" ht="13.5" customHeight="1" x14ac:dyDescent="0.35">
      <c r="A114" t="s">
        <v>791</v>
      </c>
      <c r="B114" t="s">
        <v>806</v>
      </c>
      <c r="C114" t="s">
        <v>807</v>
      </c>
      <c r="D114" s="5">
        <v>5</v>
      </c>
      <c r="E114" s="5">
        <v>5</v>
      </c>
      <c r="F114" s="5">
        <v>2</v>
      </c>
      <c r="G114" s="5">
        <v>4</v>
      </c>
      <c r="H114" s="5">
        <v>5</v>
      </c>
      <c r="I114" s="5">
        <v>5</v>
      </c>
      <c r="J114" s="5">
        <v>5</v>
      </c>
      <c r="K114" s="5">
        <v>1</v>
      </c>
      <c r="L114" s="5">
        <v>2</v>
      </c>
      <c r="M114" s="5">
        <v>5</v>
      </c>
      <c r="N114" s="5">
        <v>5</v>
      </c>
      <c r="O114" s="5">
        <v>5</v>
      </c>
      <c r="P114" s="5">
        <v>5</v>
      </c>
      <c r="Q114" s="5">
        <v>2</v>
      </c>
      <c r="R114" s="5">
        <v>5</v>
      </c>
      <c r="S114" s="5">
        <v>1</v>
      </c>
      <c r="T114" s="5">
        <v>5</v>
      </c>
      <c r="U114" s="5">
        <v>4</v>
      </c>
      <c r="V114" s="5">
        <v>1</v>
      </c>
      <c r="W114" s="5">
        <v>4</v>
      </c>
      <c r="X114" s="5">
        <v>5</v>
      </c>
      <c r="Y114" s="5">
        <v>2</v>
      </c>
      <c r="Z114" s="5">
        <v>4</v>
      </c>
      <c r="AA114" s="5">
        <v>1</v>
      </c>
      <c r="AB114" s="5">
        <v>1</v>
      </c>
      <c r="AC114" s="5">
        <v>1</v>
      </c>
      <c r="AD114" s="5">
        <v>4</v>
      </c>
      <c r="AE114" s="5">
        <v>5</v>
      </c>
      <c r="AF114" s="5">
        <v>4</v>
      </c>
      <c r="AG114" s="5">
        <v>5</v>
      </c>
      <c r="AH114" s="5">
        <v>1</v>
      </c>
      <c r="AI114" s="5">
        <v>4</v>
      </c>
      <c r="AJ114" s="5">
        <v>5</v>
      </c>
      <c r="AK114" s="5">
        <v>3</v>
      </c>
      <c r="AL114" s="5">
        <v>5</v>
      </c>
      <c r="AM114" s="5">
        <v>1</v>
      </c>
      <c r="AN114" s="5">
        <v>5</v>
      </c>
      <c r="AO114" s="5">
        <v>5</v>
      </c>
      <c r="AP114" s="5">
        <v>3</v>
      </c>
      <c r="AQ114" s="5">
        <v>4</v>
      </c>
      <c r="AR114" s="5">
        <v>1</v>
      </c>
      <c r="AS114" s="5">
        <v>5</v>
      </c>
      <c r="AT114" s="5">
        <v>5</v>
      </c>
      <c r="AU114" s="5">
        <v>3</v>
      </c>
      <c r="AV114" s="5">
        <v>5</v>
      </c>
      <c r="AW114" s="5">
        <v>1</v>
      </c>
      <c r="AX114" s="5">
        <v>3</v>
      </c>
      <c r="AY114" s="5">
        <v>5</v>
      </c>
      <c r="AZ114" s="5">
        <v>5</v>
      </c>
      <c r="BA114" s="5">
        <v>5</v>
      </c>
      <c r="BB114" s="5">
        <v>5</v>
      </c>
      <c r="BC114" s="5">
        <v>1</v>
      </c>
      <c r="BD114" s="5">
        <v>2</v>
      </c>
      <c r="BE114" s="5">
        <v>5</v>
      </c>
      <c r="BF114" s="5">
        <v>5</v>
      </c>
      <c r="BG114" s="5">
        <v>5</v>
      </c>
      <c r="BH114" s="5">
        <v>5</v>
      </c>
      <c r="BI114" s="5">
        <v>2</v>
      </c>
      <c r="BJ114" s="5">
        <v>5</v>
      </c>
      <c r="BK114" s="5">
        <v>5</v>
      </c>
      <c r="BL114" t="s">
        <v>877</v>
      </c>
      <c r="BM114" s="1">
        <v>46002.787731481483</v>
      </c>
    </row>
    <row r="115" spans="1:65" ht="13.5" customHeight="1" x14ac:dyDescent="0.35">
      <c r="A115" t="s">
        <v>792</v>
      </c>
      <c r="B115" t="s">
        <v>808</v>
      </c>
      <c r="C115" s="24" t="s">
        <v>809</v>
      </c>
      <c r="D115" s="5">
        <v>5</v>
      </c>
      <c r="E115" s="5">
        <v>5</v>
      </c>
      <c r="F115" s="5">
        <v>1</v>
      </c>
      <c r="G115" s="5">
        <v>2</v>
      </c>
      <c r="H115" s="5">
        <v>5</v>
      </c>
      <c r="I115" s="5">
        <v>5</v>
      </c>
      <c r="J115" s="5">
        <v>4</v>
      </c>
      <c r="K115" s="5">
        <v>1</v>
      </c>
      <c r="L115" s="5">
        <v>1</v>
      </c>
      <c r="M115" s="5">
        <v>3</v>
      </c>
      <c r="N115" s="5">
        <v>5</v>
      </c>
      <c r="O115" s="5">
        <v>1</v>
      </c>
      <c r="P115" s="5">
        <v>2</v>
      </c>
      <c r="Q115" s="5">
        <v>1</v>
      </c>
      <c r="R115" s="5">
        <v>5</v>
      </c>
      <c r="S115" s="5">
        <v>1</v>
      </c>
      <c r="T115" s="5">
        <v>5</v>
      </c>
      <c r="U115" s="5">
        <v>1</v>
      </c>
      <c r="V115" s="5">
        <v>1</v>
      </c>
      <c r="W115" s="5">
        <v>5</v>
      </c>
      <c r="X115" s="5">
        <v>5</v>
      </c>
      <c r="Y115" s="5">
        <v>2</v>
      </c>
      <c r="Z115" s="5">
        <v>5</v>
      </c>
      <c r="AA115" s="5">
        <v>1</v>
      </c>
      <c r="AB115" s="5">
        <v>1</v>
      </c>
      <c r="AC115" s="5">
        <v>5</v>
      </c>
      <c r="AD115" s="5">
        <v>5</v>
      </c>
      <c r="AE115" s="5">
        <v>5</v>
      </c>
      <c r="AF115" s="5">
        <v>3</v>
      </c>
      <c r="AG115" s="5">
        <v>1</v>
      </c>
      <c r="AH115" s="5">
        <v>1</v>
      </c>
      <c r="AI115" s="5">
        <v>4</v>
      </c>
      <c r="AJ115" s="5">
        <v>5</v>
      </c>
      <c r="AK115" s="5">
        <v>3</v>
      </c>
      <c r="AL115" s="5">
        <v>4</v>
      </c>
      <c r="AM115" s="5">
        <v>1</v>
      </c>
      <c r="AN115" s="5">
        <v>1</v>
      </c>
      <c r="AO115" s="5">
        <v>5</v>
      </c>
      <c r="AP115" s="5">
        <v>2</v>
      </c>
      <c r="AQ115" s="5">
        <v>1</v>
      </c>
      <c r="AR115" s="5">
        <v>1</v>
      </c>
      <c r="AS115" s="5">
        <v>4</v>
      </c>
      <c r="AT115" s="5">
        <v>5</v>
      </c>
      <c r="AU115" s="5">
        <v>2</v>
      </c>
      <c r="AV115" s="5">
        <v>5</v>
      </c>
      <c r="AW115" s="5">
        <v>1</v>
      </c>
      <c r="AX115" s="5">
        <v>4</v>
      </c>
      <c r="AY115" s="5">
        <v>5</v>
      </c>
      <c r="AZ115" s="5">
        <v>3</v>
      </c>
      <c r="BA115" s="5">
        <v>5</v>
      </c>
      <c r="BB115" s="5">
        <v>5</v>
      </c>
      <c r="BC115" s="5">
        <v>1</v>
      </c>
      <c r="BD115" s="5">
        <v>5</v>
      </c>
      <c r="BE115" s="5">
        <v>4</v>
      </c>
      <c r="BF115" s="5">
        <v>5</v>
      </c>
      <c r="BG115" s="5">
        <v>3</v>
      </c>
      <c r="BH115" s="5">
        <v>2</v>
      </c>
      <c r="BI115" s="5">
        <v>2</v>
      </c>
      <c r="BJ115" s="5">
        <v>5</v>
      </c>
      <c r="BK115" s="5">
        <v>5</v>
      </c>
      <c r="BL115" t="s">
        <v>878</v>
      </c>
      <c r="BM115" s="1">
        <v>46002.787893518522</v>
      </c>
    </row>
    <row r="116" spans="1:65" ht="13.5" customHeight="1" x14ac:dyDescent="0.35">
      <c r="A116" t="s">
        <v>793</v>
      </c>
      <c r="B116" t="s">
        <v>810</v>
      </c>
      <c r="C116" t="s">
        <v>811</v>
      </c>
      <c r="D116" s="5">
        <v>5</v>
      </c>
      <c r="E116" s="5">
        <v>4</v>
      </c>
      <c r="F116" s="5">
        <v>3</v>
      </c>
      <c r="G116" s="5">
        <v>5</v>
      </c>
      <c r="H116" s="5">
        <v>4</v>
      </c>
      <c r="I116" s="5">
        <v>5</v>
      </c>
      <c r="J116" s="5">
        <v>4</v>
      </c>
      <c r="K116" s="5">
        <v>2</v>
      </c>
      <c r="L116" s="5">
        <v>2</v>
      </c>
      <c r="M116" s="5">
        <v>5</v>
      </c>
      <c r="N116" s="5">
        <v>4</v>
      </c>
      <c r="O116" s="5">
        <v>3</v>
      </c>
      <c r="P116" s="5">
        <v>5</v>
      </c>
      <c r="Q116" s="5">
        <v>3</v>
      </c>
      <c r="R116" s="5">
        <v>5</v>
      </c>
      <c r="S116" s="5">
        <v>4</v>
      </c>
      <c r="T116" s="5">
        <v>5</v>
      </c>
      <c r="U116" s="5">
        <v>4</v>
      </c>
      <c r="V116" s="5">
        <v>2</v>
      </c>
      <c r="W116" s="5">
        <v>3</v>
      </c>
      <c r="X116" s="5">
        <v>4</v>
      </c>
      <c r="Y116" s="5">
        <v>1</v>
      </c>
      <c r="Z116" s="5">
        <v>2</v>
      </c>
      <c r="AA116" s="5">
        <v>2</v>
      </c>
      <c r="AB116" s="5">
        <v>2</v>
      </c>
      <c r="AC116" s="5">
        <v>5</v>
      </c>
      <c r="AD116" s="5">
        <v>5</v>
      </c>
      <c r="AE116" s="5">
        <v>3</v>
      </c>
      <c r="AF116" s="5">
        <v>5</v>
      </c>
      <c r="AG116" s="5">
        <v>4</v>
      </c>
      <c r="AH116" s="5">
        <v>2</v>
      </c>
      <c r="AI116" s="5">
        <v>5</v>
      </c>
      <c r="AJ116" s="5">
        <v>4</v>
      </c>
      <c r="AK116" s="5">
        <v>5</v>
      </c>
      <c r="AL116" s="5">
        <v>5</v>
      </c>
      <c r="AM116" s="5">
        <v>1</v>
      </c>
      <c r="AN116" s="5">
        <v>2</v>
      </c>
      <c r="AO116" s="5">
        <v>3</v>
      </c>
      <c r="AP116" s="5">
        <v>4</v>
      </c>
      <c r="AQ116" s="5">
        <v>4</v>
      </c>
      <c r="AR116" s="5">
        <v>2</v>
      </c>
      <c r="AS116" s="5">
        <v>3</v>
      </c>
      <c r="AT116" s="5">
        <v>3</v>
      </c>
      <c r="AU116" s="5">
        <v>3</v>
      </c>
      <c r="AV116" s="5">
        <v>4</v>
      </c>
      <c r="AW116" s="5">
        <v>2</v>
      </c>
      <c r="AX116" s="5">
        <v>4</v>
      </c>
      <c r="AY116" s="5">
        <v>1</v>
      </c>
      <c r="AZ116" s="5">
        <v>3</v>
      </c>
      <c r="BA116" s="5">
        <v>5</v>
      </c>
      <c r="BB116" s="5">
        <v>5</v>
      </c>
      <c r="BC116" s="5">
        <v>2</v>
      </c>
      <c r="BD116" s="5">
        <v>5</v>
      </c>
      <c r="BE116" s="5">
        <v>4</v>
      </c>
      <c r="BF116" s="5">
        <v>4</v>
      </c>
      <c r="BG116" s="5">
        <v>5</v>
      </c>
      <c r="BH116" s="5">
        <v>4</v>
      </c>
      <c r="BI116" s="5">
        <v>5</v>
      </c>
      <c r="BJ116" s="5">
        <v>4</v>
      </c>
      <c r="BK116" s="5">
        <v>5</v>
      </c>
      <c r="BL116" t="s">
        <v>879</v>
      </c>
      <c r="BM116" s="1">
        <v>46002.788113425922</v>
      </c>
    </row>
    <row r="117" spans="1:65" ht="13.5" customHeight="1" x14ac:dyDescent="0.35">
      <c r="A117" t="s">
        <v>794</v>
      </c>
      <c r="B117" t="s">
        <v>812</v>
      </c>
      <c r="C117" t="s">
        <v>813</v>
      </c>
      <c r="D117" s="5">
        <v>4</v>
      </c>
      <c r="E117" s="5">
        <v>5</v>
      </c>
      <c r="F117" s="5">
        <v>4</v>
      </c>
      <c r="G117" s="5">
        <v>4</v>
      </c>
      <c r="H117" s="5">
        <v>5</v>
      </c>
      <c r="I117" s="5">
        <v>5</v>
      </c>
      <c r="J117" s="5">
        <v>5</v>
      </c>
      <c r="K117" s="5">
        <v>3</v>
      </c>
      <c r="L117" s="5">
        <v>5</v>
      </c>
      <c r="M117" s="5">
        <v>5</v>
      </c>
      <c r="N117" s="5">
        <v>4</v>
      </c>
      <c r="O117" s="5">
        <v>5</v>
      </c>
      <c r="P117" s="5">
        <v>4</v>
      </c>
      <c r="Q117" s="5">
        <v>2</v>
      </c>
      <c r="R117" s="5">
        <v>5</v>
      </c>
      <c r="S117" s="5">
        <v>2</v>
      </c>
      <c r="T117" s="5">
        <v>5</v>
      </c>
      <c r="U117" s="5">
        <v>5</v>
      </c>
      <c r="V117" s="5">
        <v>2</v>
      </c>
      <c r="W117" s="5">
        <v>3</v>
      </c>
      <c r="X117" s="5">
        <v>5</v>
      </c>
      <c r="Y117" s="5">
        <v>2</v>
      </c>
      <c r="Z117" s="5">
        <v>5</v>
      </c>
      <c r="AA117" s="5">
        <v>1</v>
      </c>
      <c r="AB117" s="5">
        <v>2</v>
      </c>
      <c r="AC117" s="5">
        <v>4</v>
      </c>
      <c r="AD117" s="5">
        <v>4</v>
      </c>
      <c r="AE117" s="5">
        <v>4</v>
      </c>
      <c r="AF117" s="5">
        <v>4</v>
      </c>
      <c r="AG117" s="5">
        <v>5</v>
      </c>
      <c r="AH117" s="5">
        <v>1</v>
      </c>
      <c r="AI117" s="5">
        <v>2</v>
      </c>
      <c r="AJ117" s="5">
        <v>5</v>
      </c>
      <c r="AK117" s="5">
        <v>5</v>
      </c>
      <c r="AL117" s="5">
        <v>4</v>
      </c>
      <c r="AM117" s="5">
        <v>1</v>
      </c>
      <c r="AN117" s="5">
        <v>4</v>
      </c>
      <c r="AO117" s="5">
        <v>4</v>
      </c>
      <c r="AP117" s="5">
        <v>4</v>
      </c>
      <c r="AQ117" s="5">
        <v>5</v>
      </c>
      <c r="AR117" s="5">
        <v>2</v>
      </c>
      <c r="AS117" s="5">
        <v>4</v>
      </c>
      <c r="AT117" s="5">
        <v>5</v>
      </c>
      <c r="AU117" s="5">
        <v>3</v>
      </c>
      <c r="AV117" s="5">
        <v>4</v>
      </c>
      <c r="AW117" s="5">
        <v>1</v>
      </c>
      <c r="AX117" s="5">
        <v>4</v>
      </c>
      <c r="AY117" s="5">
        <v>5</v>
      </c>
      <c r="AZ117" s="5">
        <v>5</v>
      </c>
      <c r="BA117" s="5">
        <v>5</v>
      </c>
      <c r="BB117" s="5">
        <v>4</v>
      </c>
      <c r="BC117" s="5">
        <v>4</v>
      </c>
      <c r="BD117" s="5">
        <v>3</v>
      </c>
      <c r="BE117" s="5">
        <v>4</v>
      </c>
      <c r="BF117" s="5">
        <v>5</v>
      </c>
      <c r="BG117" s="5">
        <v>4</v>
      </c>
      <c r="BH117" s="5">
        <v>5</v>
      </c>
      <c r="BI117" s="5">
        <v>5</v>
      </c>
      <c r="BJ117" s="5">
        <v>5</v>
      </c>
      <c r="BK117" s="5">
        <v>4</v>
      </c>
      <c r="BL117" t="s">
        <v>880</v>
      </c>
      <c r="BM117" s="1">
        <v>46002.788252314815</v>
      </c>
    </row>
    <row r="118" spans="1:65" ht="13.5" customHeight="1" x14ac:dyDescent="0.35">
      <c r="A118" t="s">
        <v>795</v>
      </c>
      <c r="B118" t="s">
        <v>814</v>
      </c>
      <c r="C118" t="s">
        <v>815</v>
      </c>
      <c r="D118" s="5">
        <v>4</v>
      </c>
      <c r="E118" s="5">
        <v>4</v>
      </c>
      <c r="F118" s="5">
        <v>1</v>
      </c>
      <c r="G118" s="5">
        <v>4</v>
      </c>
      <c r="H118" s="5">
        <v>3</v>
      </c>
      <c r="I118" s="5">
        <v>3</v>
      </c>
      <c r="J118" s="5">
        <v>5</v>
      </c>
      <c r="K118" s="5">
        <v>1</v>
      </c>
      <c r="L118" s="5">
        <v>3</v>
      </c>
      <c r="M118" s="5">
        <v>3</v>
      </c>
      <c r="N118" s="5">
        <v>3</v>
      </c>
      <c r="O118" s="5">
        <v>2</v>
      </c>
      <c r="P118" s="5">
        <v>5</v>
      </c>
      <c r="Q118" s="5">
        <v>2</v>
      </c>
      <c r="R118" s="5">
        <v>5</v>
      </c>
      <c r="S118" s="5">
        <v>1</v>
      </c>
      <c r="T118" s="5">
        <v>5</v>
      </c>
      <c r="U118" s="5">
        <v>3</v>
      </c>
      <c r="V118" s="5">
        <v>1</v>
      </c>
      <c r="W118" s="5">
        <v>4</v>
      </c>
      <c r="X118" s="5">
        <v>5</v>
      </c>
      <c r="Y118" s="5">
        <v>2</v>
      </c>
      <c r="Z118" s="5">
        <v>4</v>
      </c>
      <c r="AA118" s="5">
        <v>1</v>
      </c>
      <c r="AB118" s="5">
        <v>1</v>
      </c>
      <c r="AC118" s="5">
        <v>3</v>
      </c>
      <c r="AD118" s="5">
        <v>4</v>
      </c>
      <c r="AE118" s="5">
        <v>3</v>
      </c>
      <c r="AF118" s="5">
        <v>4</v>
      </c>
      <c r="AG118" s="5">
        <v>4</v>
      </c>
      <c r="AH118" s="5">
        <v>1</v>
      </c>
      <c r="AI118" s="5">
        <v>5</v>
      </c>
      <c r="AJ118" s="5">
        <v>5</v>
      </c>
      <c r="AK118" s="5">
        <v>2</v>
      </c>
      <c r="AL118" s="5">
        <v>5</v>
      </c>
      <c r="AM118" s="5">
        <v>2</v>
      </c>
      <c r="AN118" s="5">
        <v>4</v>
      </c>
      <c r="AO118" s="5">
        <v>5</v>
      </c>
      <c r="AP118" s="5">
        <v>4</v>
      </c>
      <c r="AQ118" s="5">
        <v>3</v>
      </c>
      <c r="AR118" s="5">
        <v>1</v>
      </c>
      <c r="AS118" s="5">
        <v>4</v>
      </c>
      <c r="AT118" s="5">
        <v>5</v>
      </c>
      <c r="AU118" s="5">
        <v>4</v>
      </c>
      <c r="AV118" s="5">
        <v>4</v>
      </c>
      <c r="AW118" s="5">
        <v>2</v>
      </c>
      <c r="AX118" s="5">
        <v>2</v>
      </c>
      <c r="AY118" s="5">
        <v>4</v>
      </c>
      <c r="AZ118" s="5">
        <v>4</v>
      </c>
      <c r="BA118" s="5">
        <v>3</v>
      </c>
      <c r="BB118" s="5">
        <v>3</v>
      </c>
      <c r="BC118" s="5">
        <v>1</v>
      </c>
      <c r="BD118" s="5">
        <v>2</v>
      </c>
      <c r="BE118" s="5">
        <v>4</v>
      </c>
      <c r="BF118" s="5">
        <v>4</v>
      </c>
      <c r="BG118" s="5">
        <v>3</v>
      </c>
      <c r="BH118" s="5">
        <v>3</v>
      </c>
      <c r="BI118" s="5">
        <v>4</v>
      </c>
      <c r="BJ118" s="5">
        <v>4</v>
      </c>
      <c r="BK118" s="5">
        <v>3</v>
      </c>
      <c r="BL118" s="25" t="s">
        <v>881</v>
      </c>
      <c r="BM118" s="1">
        <v>46002.788437499999</v>
      </c>
    </row>
    <row r="119" spans="1:65" ht="13.5" customHeight="1" x14ac:dyDescent="0.35">
      <c r="A119" t="s">
        <v>852</v>
      </c>
      <c r="B119" t="s">
        <v>816</v>
      </c>
      <c r="C119" t="s">
        <v>817</v>
      </c>
      <c r="D119" s="5">
        <v>4</v>
      </c>
      <c r="E119" s="5">
        <v>4</v>
      </c>
      <c r="F119" s="5">
        <v>4</v>
      </c>
      <c r="G119" s="5">
        <v>5</v>
      </c>
      <c r="H119" s="5">
        <v>4</v>
      </c>
      <c r="I119" s="5">
        <v>2</v>
      </c>
      <c r="J119" s="5">
        <v>3</v>
      </c>
      <c r="K119" s="5">
        <v>2</v>
      </c>
      <c r="L119" s="5">
        <v>1</v>
      </c>
      <c r="M119" s="5">
        <v>3</v>
      </c>
      <c r="N119" s="5">
        <v>1</v>
      </c>
      <c r="O119" s="5">
        <v>2</v>
      </c>
      <c r="P119" s="5">
        <v>4</v>
      </c>
      <c r="Q119" s="5">
        <v>2</v>
      </c>
      <c r="R119" s="5">
        <v>4</v>
      </c>
      <c r="S119" s="5">
        <v>1</v>
      </c>
      <c r="T119" s="5">
        <v>4</v>
      </c>
      <c r="U119" s="5">
        <v>5</v>
      </c>
      <c r="V119" s="5">
        <v>1</v>
      </c>
      <c r="W119" s="5">
        <v>4</v>
      </c>
      <c r="X119" s="5">
        <v>5</v>
      </c>
      <c r="Y119" s="5">
        <v>1</v>
      </c>
      <c r="Z119" s="5">
        <v>2</v>
      </c>
      <c r="AA119" s="5">
        <v>1</v>
      </c>
      <c r="AB119" s="5">
        <v>1</v>
      </c>
      <c r="AC119" s="5">
        <v>5</v>
      </c>
      <c r="AD119" s="5">
        <v>3</v>
      </c>
      <c r="AE119" s="5">
        <v>4</v>
      </c>
      <c r="AF119" s="5">
        <v>5</v>
      </c>
      <c r="AG119" s="5">
        <v>4</v>
      </c>
      <c r="AH119" s="5">
        <v>1</v>
      </c>
      <c r="AI119" s="5">
        <v>5</v>
      </c>
      <c r="AJ119" s="5">
        <v>3</v>
      </c>
      <c r="AK119" s="5">
        <v>4</v>
      </c>
      <c r="AL119" s="5">
        <v>1</v>
      </c>
      <c r="AM119" s="5">
        <v>1</v>
      </c>
      <c r="AN119" s="5">
        <v>2</v>
      </c>
      <c r="AO119" s="5">
        <v>5</v>
      </c>
      <c r="AP119" s="5">
        <v>3</v>
      </c>
      <c r="AQ119" s="5">
        <v>4</v>
      </c>
      <c r="AR119" s="5">
        <v>4</v>
      </c>
      <c r="AS119" s="5">
        <v>3</v>
      </c>
      <c r="AT119" s="5">
        <v>3</v>
      </c>
      <c r="AU119" s="5">
        <v>5</v>
      </c>
      <c r="AV119" s="5">
        <v>3</v>
      </c>
      <c r="AW119" s="5">
        <v>3</v>
      </c>
      <c r="AX119" s="5">
        <v>5</v>
      </c>
      <c r="AY119" s="5">
        <v>4</v>
      </c>
      <c r="AZ119" s="5">
        <v>2</v>
      </c>
      <c r="BA119" s="5">
        <v>5</v>
      </c>
      <c r="BB119" s="5">
        <v>5</v>
      </c>
      <c r="BC119" s="5">
        <v>3</v>
      </c>
      <c r="BD119" s="5">
        <v>5</v>
      </c>
      <c r="BE119" s="5">
        <v>1</v>
      </c>
      <c r="BF119" s="5">
        <v>3</v>
      </c>
      <c r="BG119" s="5">
        <v>5</v>
      </c>
      <c r="BH119" s="5">
        <v>2</v>
      </c>
      <c r="BI119" s="5">
        <v>5</v>
      </c>
      <c r="BJ119" s="5">
        <v>5</v>
      </c>
      <c r="BK119" s="5">
        <v>4</v>
      </c>
      <c r="BL119" t="s">
        <v>882</v>
      </c>
      <c r="BM119" s="1">
        <v>46002.788958333331</v>
      </c>
    </row>
    <row r="120" spans="1:65" ht="13.5" customHeight="1" x14ac:dyDescent="0.35">
      <c r="A120" t="s">
        <v>853</v>
      </c>
      <c r="B120" t="s">
        <v>818</v>
      </c>
      <c r="C120" t="s">
        <v>819</v>
      </c>
      <c r="D120" s="5">
        <v>3</v>
      </c>
      <c r="E120" s="5">
        <v>4</v>
      </c>
      <c r="F120" s="5">
        <v>3</v>
      </c>
      <c r="G120" s="5">
        <v>2</v>
      </c>
      <c r="H120" s="5">
        <v>4</v>
      </c>
      <c r="I120" s="5">
        <v>5</v>
      </c>
      <c r="J120" s="5">
        <v>1</v>
      </c>
      <c r="K120" s="5">
        <v>1</v>
      </c>
      <c r="L120" s="5">
        <v>2</v>
      </c>
      <c r="M120" s="5">
        <v>4</v>
      </c>
      <c r="N120" s="5">
        <v>3</v>
      </c>
      <c r="O120" s="5">
        <v>2</v>
      </c>
      <c r="P120" s="5">
        <v>2</v>
      </c>
      <c r="Q120" s="5">
        <v>4</v>
      </c>
      <c r="R120" s="5">
        <v>5</v>
      </c>
      <c r="S120" s="5">
        <v>1</v>
      </c>
      <c r="T120" s="5">
        <v>4</v>
      </c>
      <c r="U120" s="5">
        <v>3</v>
      </c>
      <c r="V120" s="5">
        <v>2</v>
      </c>
      <c r="W120" s="5">
        <v>2</v>
      </c>
      <c r="X120" s="5">
        <v>5</v>
      </c>
      <c r="Y120" s="5">
        <v>3</v>
      </c>
      <c r="Z120" s="5">
        <v>3</v>
      </c>
      <c r="AA120" s="5">
        <v>2</v>
      </c>
      <c r="AB120" s="5">
        <v>2</v>
      </c>
      <c r="AC120" s="5">
        <v>3</v>
      </c>
      <c r="AD120" s="5">
        <v>4</v>
      </c>
      <c r="AE120" s="5">
        <v>3</v>
      </c>
      <c r="AF120" s="5">
        <v>2</v>
      </c>
      <c r="AG120" s="5">
        <v>3</v>
      </c>
      <c r="AH120" s="5">
        <v>3</v>
      </c>
      <c r="AI120" s="5">
        <v>4</v>
      </c>
      <c r="AJ120" s="5">
        <v>4</v>
      </c>
      <c r="AK120" s="5">
        <v>4</v>
      </c>
      <c r="AL120" s="5">
        <v>3</v>
      </c>
      <c r="AM120" s="5">
        <v>3</v>
      </c>
      <c r="AN120" s="5">
        <v>4</v>
      </c>
      <c r="AO120" s="5">
        <v>5</v>
      </c>
      <c r="AP120" s="5">
        <v>1</v>
      </c>
      <c r="AQ120" s="5">
        <v>1</v>
      </c>
      <c r="AR120" s="5">
        <v>2</v>
      </c>
      <c r="AS120" s="5">
        <v>3</v>
      </c>
      <c r="AT120" s="5">
        <v>2</v>
      </c>
      <c r="AU120" s="5">
        <v>2</v>
      </c>
      <c r="AV120" s="5">
        <v>3</v>
      </c>
      <c r="AW120" s="5">
        <v>3</v>
      </c>
      <c r="AX120" s="5">
        <v>3</v>
      </c>
      <c r="AY120" s="5">
        <v>2</v>
      </c>
      <c r="AZ120" s="5">
        <v>3</v>
      </c>
      <c r="BA120" s="5">
        <v>4</v>
      </c>
      <c r="BB120" s="5">
        <v>4</v>
      </c>
      <c r="BC120" s="5">
        <v>2</v>
      </c>
      <c r="BD120" s="5">
        <v>4</v>
      </c>
      <c r="BE120" s="5">
        <v>1</v>
      </c>
      <c r="BF120" s="5">
        <v>4</v>
      </c>
      <c r="BG120" s="5">
        <v>5</v>
      </c>
      <c r="BH120" s="5">
        <v>2</v>
      </c>
      <c r="BI120" s="5">
        <v>4</v>
      </c>
      <c r="BJ120" s="5">
        <v>4</v>
      </c>
      <c r="BK120" s="5">
        <v>5</v>
      </c>
      <c r="BL120" t="s">
        <v>883</v>
      </c>
      <c r="BM120" s="1">
        <v>46002.789571759262</v>
      </c>
    </row>
    <row r="121" spans="1:65" ht="13.5" customHeight="1" x14ac:dyDescent="0.35">
      <c r="A121" t="s">
        <v>854</v>
      </c>
      <c r="B121" t="s">
        <v>820</v>
      </c>
      <c r="C121" t="s">
        <v>821</v>
      </c>
      <c r="D121" s="5">
        <v>5</v>
      </c>
      <c r="E121" s="5">
        <v>3</v>
      </c>
      <c r="F121" s="5">
        <v>1</v>
      </c>
      <c r="G121" s="5">
        <v>4</v>
      </c>
      <c r="H121" s="5">
        <v>3</v>
      </c>
      <c r="I121" s="5">
        <v>3</v>
      </c>
      <c r="J121" s="5">
        <v>2</v>
      </c>
      <c r="K121" s="5">
        <v>1</v>
      </c>
      <c r="L121" s="5">
        <v>1</v>
      </c>
      <c r="M121" s="5">
        <v>5</v>
      </c>
      <c r="N121" s="5">
        <v>4</v>
      </c>
      <c r="O121" s="5">
        <v>4</v>
      </c>
      <c r="P121" s="5">
        <v>4</v>
      </c>
      <c r="Q121" s="5">
        <v>3</v>
      </c>
      <c r="R121" s="5">
        <v>5</v>
      </c>
      <c r="S121" s="5">
        <v>2</v>
      </c>
      <c r="T121" s="5">
        <v>4</v>
      </c>
      <c r="U121" s="5">
        <v>2</v>
      </c>
      <c r="V121" s="5">
        <v>2</v>
      </c>
      <c r="W121" s="5">
        <v>4</v>
      </c>
      <c r="X121" s="5">
        <v>3</v>
      </c>
      <c r="Y121" s="5">
        <v>2</v>
      </c>
      <c r="Z121" s="5">
        <v>4</v>
      </c>
      <c r="AA121" s="5">
        <v>2</v>
      </c>
      <c r="AB121" s="5">
        <v>2</v>
      </c>
      <c r="AC121" s="5">
        <v>4</v>
      </c>
      <c r="AD121" s="5">
        <v>4</v>
      </c>
      <c r="AE121" s="5">
        <v>3</v>
      </c>
      <c r="AF121" s="5">
        <v>2</v>
      </c>
      <c r="AG121" s="5">
        <v>5</v>
      </c>
      <c r="AH121" s="5">
        <v>2</v>
      </c>
      <c r="AI121" s="5">
        <v>3</v>
      </c>
      <c r="AJ121" s="5">
        <v>4</v>
      </c>
      <c r="AK121" s="5">
        <v>2</v>
      </c>
      <c r="AL121" s="5">
        <v>3</v>
      </c>
      <c r="AM121" s="5">
        <v>2</v>
      </c>
      <c r="AN121" s="5">
        <v>2</v>
      </c>
      <c r="AO121" s="5">
        <v>3</v>
      </c>
      <c r="AP121" s="5">
        <v>3</v>
      </c>
      <c r="AQ121" s="5">
        <v>2</v>
      </c>
      <c r="AR121" s="5">
        <v>2</v>
      </c>
      <c r="AS121" s="5">
        <v>3</v>
      </c>
      <c r="AT121" s="5">
        <v>3</v>
      </c>
      <c r="AU121" s="5">
        <v>4</v>
      </c>
      <c r="AV121" s="5">
        <v>4</v>
      </c>
      <c r="AW121" s="5">
        <v>3</v>
      </c>
      <c r="AX121" s="5">
        <v>3</v>
      </c>
      <c r="AY121" s="5">
        <v>3</v>
      </c>
      <c r="AZ121" s="5">
        <v>4</v>
      </c>
      <c r="BA121" s="5">
        <v>3</v>
      </c>
      <c r="BB121" s="5">
        <v>4</v>
      </c>
      <c r="BC121" s="5">
        <v>2</v>
      </c>
      <c r="BD121" s="5">
        <v>5</v>
      </c>
      <c r="BE121" s="5">
        <v>3</v>
      </c>
      <c r="BF121" s="5">
        <v>4</v>
      </c>
      <c r="BG121" s="5">
        <v>3</v>
      </c>
      <c r="BH121" s="5">
        <v>4</v>
      </c>
      <c r="BI121" s="5">
        <v>2</v>
      </c>
      <c r="BJ121" s="5">
        <v>3</v>
      </c>
      <c r="BK121" s="5">
        <v>5</v>
      </c>
      <c r="BL121" t="s">
        <v>884</v>
      </c>
      <c r="BM121" s="1">
        <v>46002.789895833332</v>
      </c>
    </row>
    <row r="122" spans="1:65" ht="13.5" customHeight="1" x14ac:dyDescent="0.35">
      <c r="A122" t="s">
        <v>855</v>
      </c>
      <c r="B122" t="s">
        <v>822</v>
      </c>
      <c r="C122" t="s">
        <v>823</v>
      </c>
      <c r="D122" s="5">
        <v>3</v>
      </c>
      <c r="E122" s="5">
        <v>5</v>
      </c>
      <c r="F122" s="5">
        <v>3</v>
      </c>
      <c r="G122" s="5">
        <v>4</v>
      </c>
      <c r="H122" s="5">
        <v>4</v>
      </c>
      <c r="I122" s="5">
        <v>4</v>
      </c>
      <c r="J122" s="5">
        <v>2</v>
      </c>
      <c r="K122" s="5">
        <v>3</v>
      </c>
      <c r="L122" s="5">
        <v>1</v>
      </c>
      <c r="M122" s="5">
        <v>4</v>
      </c>
      <c r="N122" s="5">
        <v>2</v>
      </c>
      <c r="O122" s="5">
        <v>2</v>
      </c>
      <c r="P122" s="5">
        <v>2</v>
      </c>
      <c r="Q122" s="5">
        <v>3</v>
      </c>
      <c r="R122" s="5">
        <v>5</v>
      </c>
      <c r="S122" s="5">
        <v>4</v>
      </c>
      <c r="T122" s="5">
        <v>3</v>
      </c>
      <c r="U122" s="5">
        <v>1</v>
      </c>
      <c r="V122" s="5">
        <v>3</v>
      </c>
      <c r="W122" s="5">
        <v>3</v>
      </c>
      <c r="X122" s="5">
        <v>5</v>
      </c>
      <c r="Y122" s="5">
        <v>1</v>
      </c>
      <c r="Z122" s="5">
        <v>4</v>
      </c>
      <c r="AA122" s="5">
        <v>2</v>
      </c>
      <c r="AB122" s="5">
        <v>2</v>
      </c>
      <c r="AC122" s="5">
        <v>5</v>
      </c>
      <c r="AD122" s="5">
        <v>4</v>
      </c>
      <c r="AE122" s="5">
        <v>3</v>
      </c>
      <c r="AF122" s="5">
        <v>2</v>
      </c>
      <c r="AG122" s="5">
        <v>5</v>
      </c>
      <c r="AH122" s="5">
        <v>2</v>
      </c>
      <c r="AI122" s="5">
        <v>5</v>
      </c>
      <c r="AJ122" s="5">
        <v>3</v>
      </c>
      <c r="AK122" s="5">
        <v>2</v>
      </c>
      <c r="AL122" s="5">
        <v>3</v>
      </c>
      <c r="AM122" s="5">
        <v>2</v>
      </c>
      <c r="AN122" s="5">
        <v>4</v>
      </c>
      <c r="AO122" s="5">
        <v>4</v>
      </c>
      <c r="AP122" s="5">
        <v>1</v>
      </c>
      <c r="AQ122" s="5">
        <v>3</v>
      </c>
      <c r="AR122" s="5">
        <v>3</v>
      </c>
      <c r="AS122" s="5">
        <v>4</v>
      </c>
      <c r="AT122" s="5">
        <v>3</v>
      </c>
      <c r="AU122" s="5">
        <v>2</v>
      </c>
      <c r="AV122" s="5">
        <v>5</v>
      </c>
      <c r="AW122" s="5">
        <v>3</v>
      </c>
      <c r="AX122" s="5">
        <v>3</v>
      </c>
      <c r="AY122" s="5">
        <v>4</v>
      </c>
      <c r="AZ122" s="5">
        <v>3</v>
      </c>
      <c r="BA122" s="5">
        <v>5</v>
      </c>
      <c r="BB122" s="5">
        <v>3</v>
      </c>
      <c r="BC122" s="5">
        <v>2</v>
      </c>
      <c r="BD122" s="5">
        <v>5</v>
      </c>
      <c r="BE122" s="5">
        <v>3</v>
      </c>
      <c r="BF122" s="5">
        <v>4</v>
      </c>
      <c r="BG122" s="5">
        <v>5</v>
      </c>
      <c r="BH122" s="5">
        <v>4</v>
      </c>
      <c r="BI122" s="5">
        <v>3</v>
      </c>
      <c r="BJ122" s="5">
        <v>4</v>
      </c>
      <c r="BK122" s="5">
        <v>5</v>
      </c>
      <c r="BL122" t="s">
        <v>885</v>
      </c>
      <c r="BM122" s="1">
        <v>46002.790497685186</v>
      </c>
    </row>
    <row r="123" spans="1:65" ht="13.5" customHeight="1" x14ac:dyDescent="0.35">
      <c r="A123" t="s">
        <v>856</v>
      </c>
      <c r="B123" t="s">
        <v>824</v>
      </c>
      <c r="C123" t="s">
        <v>825</v>
      </c>
      <c r="D123" s="5">
        <v>4</v>
      </c>
      <c r="E123" s="5">
        <v>5</v>
      </c>
      <c r="F123" s="5">
        <v>4</v>
      </c>
      <c r="G123" s="5">
        <v>3</v>
      </c>
      <c r="H123" s="5">
        <v>4</v>
      </c>
      <c r="I123" s="5">
        <v>3</v>
      </c>
      <c r="J123" s="5">
        <v>2</v>
      </c>
      <c r="K123" s="5">
        <v>2</v>
      </c>
      <c r="L123" s="5">
        <v>2</v>
      </c>
      <c r="M123" s="5">
        <v>4</v>
      </c>
      <c r="N123" s="5">
        <v>3</v>
      </c>
      <c r="O123" s="5">
        <v>3</v>
      </c>
      <c r="P123" s="5">
        <v>2</v>
      </c>
      <c r="Q123" s="5">
        <v>3</v>
      </c>
      <c r="R123" s="5">
        <v>4</v>
      </c>
      <c r="S123" s="5">
        <v>3</v>
      </c>
      <c r="T123" s="5">
        <v>2</v>
      </c>
      <c r="U123" s="5">
        <v>1</v>
      </c>
      <c r="V123" s="5">
        <v>4</v>
      </c>
      <c r="W123" s="5">
        <v>3</v>
      </c>
      <c r="X123" s="5">
        <v>4</v>
      </c>
      <c r="Y123" s="5">
        <v>3</v>
      </c>
      <c r="Z123" s="5">
        <v>4</v>
      </c>
      <c r="AA123" s="5">
        <v>2</v>
      </c>
      <c r="AB123" s="5">
        <v>2</v>
      </c>
      <c r="AC123" s="5">
        <v>4</v>
      </c>
      <c r="AD123" s="5">
        <v>3</v>
      </c>
      <c r="AE123" s="5">
        <v>3</v>
      </c>
      <c r="AF123" s="5">
        <v>2</v>
      </c>
      <c r="AG123" s="5">
        <v>4</v>
      </c>
      <c r="AH123" s="5">
        <v>2</v>
      </c>
      <c r="AI123" s="5">
        <v>3</v>
      </c>
      <c r="AJ123" s="5">
        <v>4</v>
      </c>
      <c r="AK123" s="5">
        <v>2</v>
      </c>
      <c r="AL123" s="5">
        <v>4</v>
      </c>
      <c r="AM123" s="5">
        <v>4</v>
      </c>
      <c r="AN123" s="5">
        <v>3</v>
      </c>
      <c r="AO123" s="5">
        <v>3</v>
      </c>
      <c r="AP123" s="5">
        <v>2</v>
      </c>
      <c r="AQ123" s="5">
        <v>3</v>
      </c>
      <c r="AR123" s="5">
        <v>3</v>
      </c>
      <c r="AS123" s="5">
        <v>3</v>
      </c>
      <c r="AT123" s="5">
        <v>4</v>
      </c>
      <c r="AU123" s="5">
        <v>2</v>
      </c>
      <c r="AV123" s="5">
        <v>3</v>
      </c>
      <c r="AW123" s="5">
        <v>2</v>
      </c>
      <c r="AX123" s="5">
        <v>3</v>
      </c>
      <c r="AY123" s="5">
        <v>4</v>
      </c>
      <c r="AZ123" s="5">
        <v>3</v>
      </c>
      <c r="BA123" s="5">
        <v>4</v>
      </c>
      <c r="BB123" s="5">
        <v>3</v>
      </c>
      <c r="BC123" s="5">
        <v>2</v>
      </c>
      <c r="BD123" s="5">
        <v>5</v>
      </c>
      <c r="BE123" s="5">
        <v>3</v>
      </c>
      <c r="BF123" s="5">
        <v>4</v>
      </c>
      <c r="BG123" s="5">
        <v>4</v>
      </c>
      <c r="BH123" s="5">
        <v>2</v>
      </c>
      <c r="BI123" s="5">
        <v>2</v>
      </c>
      <c r="BJ123" s="5">
        <v>3</v>
      </c>
      <c r="BK123" s="5">
        <v>4</v>
      </c>
      <c r="BL123" t="s">
        <v>886</v>
      </c>
      <c r="BM123" s="1">
        <v>46002.790833333333</v>
      </c>
    </row>
    <row r="124" spans="1:65" ht="13.5" customHeight="1" x14ac:dyDescent="0.35">
      <c r="A124" t="s">
        <v>857</v>
      </c>
      <c r="B124" t="s">
        <v>826</v>
      </c>
      <c r="C124" t="s">
        <v>827</v>
      </c>
      <c r="D124" s="5">
        <v>5</v>
      </c>
      <c r="E124" s="5">
        <v>5</v>
      </c>
      <c r="F124" s="5">
        <v>3</v>
      </c>
      <c r="G124" s="5">
        <v>4</v>
      </c>
      <c r="H124" s="5">
        <v>5</v>
      </c>
      <c r="I124" s="5">
        <v>3</v>
      </c>
      <c r="J124" s="5">
        <v>5</v>
      </c>
      <c r="K124" s="5">
        <v>3</v>
      </c>
      <c r="L124" s="5">
        <v>3</v>
      </c>
      <c r="M124" s="5">
        <v>4</v>
      </c>
      <c r="N124" s="5">
        <v>5</v>
      </c>
      <c r="O124" s="5">
        <v>3</v>
      </c>
      <c r="P124" s="5">
        <v>4</v>
      </c>
      <c r="Q124" s="5">
        <v>4</v>
      </c>
      <c r="R124" s="5">
        <v>4</v>
      </c>
      <c r="S124" s="5">
        <v>3</v>
      </c>
      <c r="T124" s="5">
        <v>4</v>
      </c>
      <c r="U124" s="5">
        <v>4</v>
      </c>
      <c r="V124" s="5">
        <v>2</v>
      </c>
      <c r="W124" s="5">
        <v>2</v>
      </c>
      <c r="X124" s="5">
        <v>4</v>
      </c>
      <c r="Y124" s="5">
        <v>3</v>
      </c>
      <c r="Z124" s="5">
        <v>4</v>
      </c>
      <c r="AA124" s="5">
        <v>2</v>
      </c>
      <c r="AB124" s="5">
        <v>2</v>
      </c>
      <c r="AC124" s="5">
        <v>3</v>
      </c>
      <c r="AD124" s="5">
        <v>4</v>
      </c>
      <c r="AE124" s="5">
        <v>4</v>
      </c>
      <c r="AF124" s="5">
        <v>3</v>
      </c>
      <c r="AG124" s="5">
        <v>3</v>
      </c>
      <c r="AH124" s="5">
        <v>3</v>
      </c>
      <c r="AI124" s="5">
        <v>4</v>
      </c>
      <c r="AJ124" s="5">
        <v>4</v>
      </c>
      <c r="AK124" s="5">
        <v>3</v>
      </c>
      <c r="AL124" s="5">
        <v>4</v>
      </c>
      <c r="AM124" s="5">
        <v>3</v>
      </c>
      <c r="AN124" s="5">
        <v>4</v>
      </c>
      <c r="AO124" s="5">
        <v>4</v>
      </c>
      <c r="AP124" s="5">
        <v>4</v>
      </c>
      <c r="AQ124" s="5">
        <v>3</v>
      </c>
      <c r="AR124" s="5">
        <v>3</v>
      </c>
      <c r="AS124" s="5">
        <v>4</v>
      </c>
      <c r="AT124" s="5">
        <v>4</v>
      </c>
      <c r="AU124" s="5">
        <v>3</v>
      </c>
      <c r="AV124" s="5">
        <v>4</v>
      </c>
      <c r="AW124" s="5">
        <v>4</v>
      </c>
      <c r="AX124" s="5">
        <v>3</v>
      </c>
      <c r="AY124" s="5">
        <v>4</v>
      </c>
      <c r="AZ124" s="5">
        <v>4</v>
      </c>
      <c r="BA124" s="5">
        <v>4</v>
      </c>
      <c r="BB124" s="5">
        <v>4</v>
      </c>
      <c r="BC124" s="5">
        <v>3</v>
      </c>
      <c r="BD124" s="5">
        <v>4</v>
      </c>
      <c r="BE124" s="5">
        <v>4</v>
      </c>
      <c r="BF124" s="5">
        <v>4</v>
      </c>
      <c r="BG124" s="5">
        <v>4</v>
      </c>
      <c r="BH124" s="5">
        <v>4</v>
      </c>
      <c r="BI124" s="5">
        <v>4</v>
      </c>
      <c r="BJ124" s="5">
        <v>3</v>
      </c>
      <c r="BK124" s="5">
        <v>4</v>
      </c>
      <c r="BL124" t="s">
        <v>887</v>
      </c>
      <c r="BM124" s="1">
        <v>46002.791643518518</v>
      </c>
    </row>
    <row r="125" spans="1:65" ht="13.5" customHeight="1" x14ac:dyDescent="0.35">
      <c r="A125" t="s">
        <v>858</v>
      </c>
      <c r="B125" t="s">
        <v>828</v>
      </c>
      <c r="C125" t="s">
        <v>829</v>
      </c>
      <c r="D125" s="5">
        <v>5</v>
      </c>
      <c r="E125" s="5">
        <v>4</v>
      </c>
      <c r="F125" s="5">
        <v>3</v>
      </c>
      <c r="G125" s="5">
        <v>2</v>
      </c>
      <c r="H125" s="5">
        <v>5</v>
      </c>
      <c r="I125" s="5">
        <v>1</v>
      </c>
      <c r="J125" s="5">
        <v>3</v>
      </c>
      <c r="K125" s="5">
        <v>1</v>
      </c>
      <c r="L125" s="5">
        <v>4</v>
      </c>
      <c r="M125" s="5">
        <v>4</v>
      </c>
      <c r="N125" s="5">
        <v>3</v>
      </c>
      <c r="O125" s="5">
        <v>5</v>
      </c>
      <c r="P125" s="5">
        <v>3</v>
      </c>
      <c r="Q125" s="5">
        <v>5</v>
      </c>
      <c r="R125" s="5">
        <v>3</v>
      </c>
      <c r="S125" s="5">
        <v>4</v>
      </c>
      <c r="T125" s="5">
        <v>1</v>
      </c>
      <c r="U125" s="5">
        <v>3</v>
      </c>
      <c r="V125" s="5">
        <v>4</v>
      </c>
      <c r="W125" s="5">
        <v>4</v>
      </c>
      <c r="X125" s="5">
        <v>1</v>
      </c>
      <c r="Y125" s="5">
        <v>3</v>
      </c>
      <c r="Z125" s="5">
        <v>1</v>
      </c>
      <c r="AA125" s="5">
        <v>4</v>
      </c>
      <c r="AB125" s="5">
        <v>3</v>
      </c>
      <c r="AC125" s="5">
        <v>2</v>
      </c>
      <c r="AD125" s="5">
        <v>4</v>
      </c>
      <c r="AE125" s="5">
        <v>3</v>
      </c>
      <c r="AF125" s="5">
        <v>2</v>
      </c>
      <c r="AG125" s="5">
        <v>4</v>
      </c>
      <c r="AH125" s="5">
        <v>3</v>
      </c>
      <c r="AI125" s="5">
        <v>4</v>
      </c>
      <c r="AJ125" s="5">
        <v>1</v>
      </c>
      <c r="AK125" s="5">
        <v>3</v>
      </c>
      <c r="AL125" s="5">
        <v>5</v>
      </c>
      <c r="AM125" s="5">
        <v>3</v>
      </c>
      <c r="AN125" s="5">
        <v>3</v>
      </c>
      <c r="AO125" s="5">
        <v>5</v>
      </c>
      <c r="AP125" s="5">
        <v>2</v>
      </c>
      <c r="AQ125" s="5">
        <v>4</v>
      </c>
      <c r="AR125" s="5">
        <v>2</v>
      </c>
      <c r="AS125" s="5">
        <v>4</v>
      </c>
      <c r="AT125" s="5">
        <v>2</v>
      </c>
      <c r="AU125" s="5">
        <v>1</v>
      </c>
      <c r="AV125" s="5">
        <v>4</v>
      </c>
      <c r="AW125" s="5">
        <v>4</v>
      </c>
      <c r="AX125" s="5">
        <v>4</v>
      </c>
      <c r="AY125" s="5">
        <v>5</v>
      </c>
      <c r="AZ125" s="5">
        <v>3</v>
      </c>
      <c r="BA125" s="5">
        <v>2</v>
      </c>
      <c r="BB125" s="5">
        <v>2</v>
      </c>
      <c r="BC125" s="5">
        <v>3</v>
      </c>
      <c r="BD125" s="5">
        <v>1</v>
      </c>
      <c r="BE125" s="5">
        <v>4</v>
      </c>
      <c r="BF125" s="5">
        <v>3</v>
      </c>
      <c r="BG125" s="5">
        <v>1</v>
      </c>
      <c r="BH125" s="5">
        <v>4</v>
      </c>
      <c r="BI125" s="5">
        <v>2</v>
      </c>
      <c r="BJ125" s="5">
        <v>3</v>
      </c>
      <c r="BK125" s="5">
        <v>5</v>
      </c>
      <c r="BL125" t="s">
        <v>888</v>
      </c>
      <c r="BM125" s="1">
        <v>46002.79173611111</v>
      </c>
    </row>
    <row r="126" spans="1:65" ht="13.5" customHeight="1" x14ac:dyDescent="0.35">
      <c r="A126" t="s">
        <v>859</v>
      </c>
      <c r="B126" t="s">
        <v>830</v>
      </c>
      <c r="C126" t="s">
        <v>831</v>
      </c>
      <c r="D126" s="5">
        <v>4</v>
      </c>
      <c r="E126" s="5">
        <v>4</v>
      </c>
      <c r="F126" s="5">
        <v>4</v>
      </c>
      <c r="G126" s="5">
        <v>3</v>
      </c>
      <c r="H126" s="5">
        <v>4</v>
      </c>
      <c r="I126" s="5">
        <v>3</v>
      </c>
      <c r="J126" s="5">
        <v>4</v>
      </c>
      <c r="K126" s="5">
        <v>2</v>
      </c>
      <c r="L126" s="5">
        <v>3</v>
      </c>
      <c r="M126" s="5">
        <v>4</v>
      </c>
      <c r="N126" s="5">
        <v>3</v>
      </c>
      <c r="O126" s="5">
        <v>4</v>
      </c>
      <c r="P126" s="5">
        <v>4</v>
      </c>
      <c r="Q126" s="5">
        <v>4</v>
      </c>
      <c r="R126" s="5">
        <v>1</v>
      </c>
      <c r="S126" s="5">
        <v>5</v>
      </c>
      <c r="T126" s="5">
        <v>2</v>
      </c>
      <c r="U126" s="5">
        <v>2</v>
      </c>
      <c r="V126" s="5">
        <v>4</v>
      </c>
      <c r="W126" s="5">
        <v>5</v>
      </c>
      <c r="X126" s="5">
        <v>2</v>
      </c>
      <c r="Y126" s="5">
        <v>2</v>
      </c>
      <c r="Z126" s="5">
        <v>2</v>
      </c>
      <c r="AA126" s="5">
        <v>4</v>
      </c>
      <c r="AB126" s="5">
        <v>2</v>
      </c>
      <c r="AC126" s="5">
        <v>1</v>
      </c>
      <c r="AD126" s="5">
        <v>5</v>
      </c>
      <c r="AE126" s="5">
        <v>4</v>
      </c>
      <c r="AF126" s="5">
        <v>1</v>
      </c>
      <c r="AG126" s="5">
        <v>4</v>
      </c>
      <c r="AH126" s="5">
        <v>4</v>
      </c>
      <c r="AI126" s="5">
        <v>5</v>
      </c>
      <c r="AJ126" s="5">
        <v>2</v>
      </c>
      <c r="AK126" s="5">
        <v>2</v>
      </c>
      <c r="AL126" s="5">
        <v>4</v>
      </c>
      <c r="AM126" s="5">
        <v>4</v>
      </c>
      <c r="AN126" s="5">
        <v>4</v>
      </c>
      <c r="AO126" s="5">
        <v>5</v>
      </c>
      <c r="AP126" s="5">
        <v>5</v>
      </c>
      <c r="AQ126" s="5">
        <v>5</v>
      </c>
      <c r="AR126" s="5">
        <v>5</v>
      </c>
      <c r="AS126" s="5">
        <v>4</v>
      </c>
      <c r="AT126" s="5">
        <v>5</v>
      </c>
      <c r="AU126" s="5">
        <v>4</v>
      </c>
      <c r="AV126" s="5">
        <v>5</v>
      </c>
      <c r="AW126" s="5">
        <v>5</v>
      </c>
      <c r="AX126" s="5">
        <v>3</v>
      </c>
      <c r="AY126" s="5">
        <v>4</v>
      </c>
      <c r="AZ126" s="5">
        <v>5</v>
      </c>
      <c r="BA126" s="5">
        <v>4</v>
      </c>
      <c r="BB126" s="5">
        <v>3</v>
      </c>
      <c r="BC126" s="5">
        <v>1</v>
      </c>
      <c r="BD126" s="5">
        <v>1</v>
      </c>
      <c r="BE126" s="5">
        <v>5</v>
      </c>
      <c r="BF126" s="5">
        <v>4</v>
      </c>
      <c r="BG126" s="5">
        <v>3</v>
      </c>
      <c r="BH126" s="5">
        <v>2</v>
      </c>
      <c r="BI126" s="5">
        <v>1</v>
      </c>
      <c r="BJ126" s="5">
        <v>4</v>
      </c>
      <c r="BK126" s="5">
        <v>4</v>
      </c>
      <c r="BL126" t="s">
        <v>889</v>
      </c>
      <c r="BM126" s="1">
        <v>46002.791747685187</v>
      </c>
    </row>
    <row r="127" spans="1:65" ht="13.5" customHeight="1" x14ac:dyDescent="0.35">
      <c r="A127" t="s">
        <v>860</v>
      </c>
      <c r="B127" t="s">
        <v>870</v>
      </c>
      <c r="C127" t="s">
        <v>871</v>
      </c>
      <c r="D127" s="5">
        <v>5</v>
      </c>
      <c r="E127" s="5">
        <v>4</v>
      </c>
      <c r="F127" s="5">
        <v>2</v>
      </c>
      <c r="G127" s="5">
        <v>5</v>
      </c>
      <c r="H127" s="5">
        <v>5</v>
      </c>
      <c r="I127" s="5">
        <v>5</v>
      </c>
      <c r="J127" s="5">
        <v>5</v>
      </c>
      <c r="K127" s="5">
        <v>2</v>
      </c>
      <c r="L127" s="5">
        <v>4</v>
      </c>
      <c r="M127" s="5">
        <v>5</v>
      </c>
      <c r="N127" s="5">
        <v>3</v>
      </c>
      <c r="O127" s="5">
        <v>5</v>
      </c>
      <c r="P127" s="5">
        <v>5</v>
      </c>
      <c r="Q127" s="5">
        <v>3</v>
      </c>
      <c r="R127" s="5">
        <v>5</v>
      </c>
      <c r="S127" s="5">
        <v>1</v>
      </c>
      <c r="T127" s="5">
        <v>4</v>
      </c>
      <c r="U127" s="5">
        <v>5</v>
      </c>
      <c r="V127" s="5">
        <v>2</v>
      </c>
      <c r="W127" s="5">
        <v>4</v>
      </c>
      <c r="X127" s="5">
        <v>4</v>
      </c>
      <c r="Y127" s="5">
        <v>1</v>
      </c>
      <c r="Z127" s="5">
        <v>2</v>
      </c>
      <c r="AA127" s="5">
        <v>2</v>
      </c>
      <c r="AB127" s="5">
        <v>1</v>
      </c>
      <c r="AC127" s="5">
        <v>4</v>
      </c>
      <c r="AD127" s="5">
        <v>5</v>
      </c>
      <c r="AE127" s="5">
        <v>3</v>
      </c>
      <c r="AF127" s="5">
        <v>5</v>
      </c>
      <c r="AG127" s="5">
        <v>5</v>
      </c>
      <c r="AH127" s="5">
        <v>1</v>
      </c>
      <c r="AI127" s="5">
        <v>5</v>
      </c>
      <c r="AJ127" s="5">
        <v>4</v>
      </c>
      <c r="AK127" s="5">
        <v>5</v>
      </c>
      <c r="AL127" s="5">
        <v>5</v>
      </c>
      <c r="AM127" s="5">
        <v>1</v>
      </c>
      <c r="AN127" s="5">
        <v>5</v>
      </c>
      <c r="AO127" s="5">
        <v>5</v>
      </c>
      <c r="AP127" s="5">
        <v>5</v>
      </c>
      <c r="AQ127" s="5">
        <v>5</v>
      </c>
      <c r="AR127" s="5">
        <v>1</v>
      </c>
      <c r="AS127" s="5">
        <v>5</v>
      </c>
      <c r="AT127" s="5">
        <v>4</v>
      </c>
      <c r="AU127" s="5">
        <v>5</v>
      </c>
      <c r="AV127" s="5">
        <v>5</v>
      </c>
      <c r="AW127" s="5">
        <v>1</v>
      </c>
      <c r="AX127" s="5">
        <v>5</v>
      </c>
      <c r="AY127" s="5">
        <v>1</v>
      </c>
      <c r="AZ127" s="5">
        <v>5</v>
      </c>
      <c r="BA127" s="5">
        <v>5</v>
      </c>
      <c r="BB127" s="5">
        <v>4</v>
      </c>
      <c r="BC127" s="5">
        <v>4</v>
      </c>
      <c r="BD127" s="5">
        <v>5</v>
      </c>
      <c r="BE127" s="5">
        <v>5</v>
      </c>
      <c r="BF127" s="5">
        <v>5</v>
      </c>
      <c r="BG127" s="5">
        <v>3</v>
      </c>
      <c r="BH127" s="5">
        <v>5</v>
      </c>
      <c r="BI127" s="5">
        <v>5</v>
      </c>
      <c r="BJ127" s="5">
        <v>5</v>
      </c>
      <c r="BK127" s="5">
        <v>4</v>
      </c>
      <c r="BL127" t="s">
        <v>890</v>
      </c>
      <c r="BM127" s="1">
        <v>46002.791851851849</v>
      </c>
    </row>
    <row r="128" spans="1:65" ht="13.5" customHeight="1" x14ac:dyDescent="0.35">
      <c r="A128" t="s">
        <v>861</v>
      </c>
      <c r="B128" t="s">
        <v>834</v>
      </c>
      <c r="C128" t="s">
        <v>835</v>
      </c>
      <c r="D128" s="5">
        <v>4</v>
      </c>
      <c r="E128" s="5">
        <v>5</v>
      </c>
      <c r="F128" s="5">
        <v>5</v>
      </c>
      <c r="G128" s="5">
        <v>4</v>
      </c>
      <c r="H128" s="5">
        <v>3</v>
      </c>
      <c r="I128" s="5">
        <v>5</v>
      </c>
      <c r="J128" s="5">
        <v>3</v>
      </c>
      <c r="K128" s="5">
        <v>5</v>
      </c>
      <c r="L128" s="5">
        <v>1</v>
      </c>
      <c r="M128" s="5">
        <v>5</v>
      </c>
      <c r="N128" s="5">
        <v>2</v>
      </c>
      <c r="O128" s="5">
        <v>4</v>
      </c>
      <c r="P128" s="5">
        <v>3</v>
      </c>
      <c r="Q128" s="5">
        <v>3</v>
      </c>
      <c r="R128" s="5">
        <v>5</v>
      </c>
      <c r="S128" s="5">
        <v>4</v>
      </c>
      <c r="T128" s="5">
        <v>2</v>
      </c>
      <c r="U128" s="5">
        <v>3</v>
      </c>
      <c r="V128" s="5">
        <v>3</v>
      </c>
      <c r="W128" s="5">
        <v>1</v>
      </c>
      <c r="X128" s="5">
        <v>5</v>
      </c>
      <c r="Y128" s="5">
        <v>1</v>
      </c>
      <c r="Z128" s="5">
        <v>4</v>
      </c>
      <c r="AA128" s="5">
        <v>5</v>
      </c>
      <c r="AB128" s="5">
        <v>3</v>
      </c>
      <c r="AC128" s="5">
        <v>5</v>
      </c>
      <c r="AD128" s="5">
        <v>4</v>
      </c>
      <c r="AE128" s="5">
        <v>3</v>
      </c>
      <c r="AF128" s="5">
        <v>2</v>
      </c>
      <c r="AG128" s="5">
        <v>5</v>
      </c>
      <c r="AH128" s="5">
        <v>3</v>
      </c>
      <c r="AI128" s="5">
        <v>5</v>
      </c>
      <c r="AJ128" s="5">
        <v>1</v>
      </c>
      <c r="AK128" s="5">
        <v>4</v>
      </c>
      <c r="AL128" s="5">
        <v>5</v>
      </c>
      <c r="AM128" s="5">
        <v>4</v>
      </c>
      <c r="AN128" s="5">
        <v>5</v>
      </c>
      <c r="AO128" s="5">
        <v>2</v>
      </c>
      <c r="AP128" s="5">
        <v>1</v>
      </c>
      <c r="AQ128" s="5">
        <v>3</v>
      </c>
      <c r="AR128" s="5">
        <v>5</v>
      </c>
      <c r="AS128" s="5">
        <v>4</v>
      </c>
      <c r="AT128" s="5">
        <v>3</v>
      </c>
      <c r="AU128" s="5">
        <v>3</v>
      </c>
      <c r="AV128" s="5">
        <v>5</v>
      </c>
      <c r="AW128" s="5">
        <v>1</v>
      </c>
      <c r="AX128" s="5">
        <v>3</v>
      </c>
      <c r="AY128" s="5">
        <v>5</v>
      </c>
      <c r="AZ128" s="5">
        <v>2</v>
      </c>
      <c r="BA128" s="5">
        <v>5</v>
      </c>
      <c r="BB128" s="5">
        <v>4</v>
      </c>
      <c r="BC128" s="5">
        <v>2</v>
      </c>
      <c r="BD128" s="5">
        <v>4</v>
      </c>
      <c r="BE128" s="5">
        <v>4</v>
      </c>
      <c r="BF128" s="5">
        <v>2</v>
      </c>
      <c r="BG128" s="5">
        <v>5</v>
      </c>
      <c r="BH128" s="5">
        <v>5</v>
      </c>
      <c r="BI128" s="5">
        <v>4</v>
      </c>
      <c r="BJ128" s="5">
        <v>5</v>
      </c>
      <c r="BK128" s="5">
        <v>3</v>
      </c>
      <c r="BL128" t="s">
        <v>891</v>
      </c>
      <c r="BM128" s="1">
        <v>46002.79310185185</v>
      </c>
    </row>
    <row r="129" spans="1:65" ht="13.5" customHeight="1" x14ac:dyDescent="0.35">
      <c r="A129" t="s">
        <v>862</v>
      </c>
      <c r="B129" t="s">
        <v>836</v>
      </c>
      <c r="C129" t="s">
        <v>837</v>
      </c>
      <c r="D129" s="5">
        <v>4</v>
      </c>
      <c r="E129" s="5">
        <v>5</v>
      </c>
      <c r="F129" s="5">
        <v>4</v>
      </c>
      <c r="G129" s="5">
        <v>4</v>
      </c>
      <c r="H129" s="5">
        <v>3</v>
      </c>
      <c r="I129" s="5">
        <v>5</v>
      </c>
      <c r="J129" s="5">
        <v>4</v>
      </c>
      <c r="K129" s="5">
        <v>3</v>
      </c>
      <c r="L129" s="5">
        <v>2</v>
      </c>
      <c r="M129" s="5">
        <v>4</v>
      </c>
      <c r="N129" s="5">
        <v>4</v>
      </c>
      <c r="O129" s="5">
        <v>4</v>
      </c>
      <c r="P129" s="5">
        <v>3</v>
      </c>
      <c r="Q129" s="5">
        <v>3</v>
      </c>
      <c r="R129" s="5">
        <v>5</v>
      </c>
      <c r="S129" s="5">
        <v>3</v>
      </c>
      <c r="T129" s="5">
        <v>3</v>
      </c>
      <c r="U129" s="5">
        <v>2</v>
      </c>
      <c r="V129" s="5">
        <v>3</v>
      </c>
      <c r="W129" s="5">
        <v>4</v>
      </c>
      <c r="X129" s="5">
        <v>5</v>
      </c>
      <c r="Y129" s="5">
        <v>2</v>
      </c>
      <c r="Z129" s="5">
        <v>3</v>
      </c>
      <c r="AA129" s="5">
        <v>3</v>
      </c>
      <c r="AB129" s="5">
        <v>2</v>
      </c>
      <c r="AC129" s="5">
        <v>4</v>
      </c>
      <c r="AD129" s="5">
        <v>3</v>
      </c>
      <c r="AE129" s="5">
        <v>4</v>
      </c>
      <c r="AF129" s="5">
        <v>2</v>
      </c>
      <c r="AG129" s="5">
        <v>4</v>
      </c>
      <c r="AH129" s="5">
        <v>3</v>
      </c>
      <c r="AI129" s="5">
        <v>4</v>
      </c>
      <c r="AJ129" s="5">
        <v>3</v>
      </c>
      <c r="AK129" s="5">
        <v>3</v>
      </c>
      <c r="AL129" s="5">
        <v>4</v>
      </c>
      <c r="AM129" s="5">
        <v>3</v>
      </c>
      <c r="AN129" s="5">
        <v>4</v>
      </c>
      <c r="AO129" s="5">
        <v>4</v>
      </c>
      <c r="AP129" s="5">
        <v>3</v>
      </c>
      <c r="AQ129" s="5">
        <v>4</v>
      </c>
      <c r="AR129" s="5">
        <v>2</v>
      </c>
      <c r="AS129" s="5">
        <v>4</v>
      </c>
      <c r="AT129" s="5">
        <v>4</v>
      </c>
      <c r="AU129" s="5">
        <v>4</v>
      </c>
      <c r="AV129" s="5">
        <v>4</v>
      </c>
      <c r="AW129" s="5">
        <v>3</v>
      </c>
      <c r="AX129" s="5">
        <v>3</v>
      </c>
      <c r="AY129" s="5">
        <v>5</v>
      </c>
      <c r="AZ129" s="5">
        <v>3</v>
      </c>
      <c r="BA129" s="5">
        <v>4</v>
      </c>
      <c r="BB129" s="5">
        <v>4</v>
      </c>
      <c r="BC129" s="5">
        <v>2</v>
      </c>
      <c r="BD129" s="5">
        <v>4</v>
      </c>
      <c r="BE129" s="5">
        <v>4</v>
      </c>
      <c r="BF129" s="5">
        <v>4</v>
      </c>
      <c r="BG129" s="5">
        <v>5</v>
      </c>
      <c r="BH129" s="5">
        <v>4</v>
      </c>
      <c r="BI129" s="5">
        <v>4</v>
      </c>
      <c r="BJ129" s="5">
        <v>4</v>
      </c>
      <c r="BK129" s="5">
        <v>4</v>
      </c>
      <c r="BL129" t="s">
        <v>892</v>
      </c>
      <c r="BM129" s="1">
        <v>46002.793912037036</v>
      </c>
    </row>
    <row r="130" spans="1:65" ht="13.5" customHeight="1" x14ac:dyDescent="0.35">
      <c r="A130" t="s">
        <v>863</v>
      </c>
      <c r="B130" s="24" t="s">
        <v>838</v>
      </c>
      <c r="C130" t="s">
        <v>839</v>
      </c>
      <c r="D130" s="5">
        <v>4</v>
      </c>
      <c r="E130" s="5">
        <v>5</v>
      </c>
      <c r="F130" s="5">
        <v>2</v>
      </c>
      <c r="G130" s="5">
        <v>4</v>
      </c>
      <c r="H130" s="5">
        <v>4</v>
      </c>
      <c r="I130" s="5">
        <v>3</v>
      </c>
      <c r="J130" s="5">
        <v>4</v>
      </c>
      <c r="K130" s="5">
        <v>2</v>
      </c>
      <c r="L130" s="5">
        <v>2</v>
      </c>
      <c r="M130" s="5">
        <v>4</v>
      </c>
      <c r="N130" s="5">
        <v>5</v>
      </c>
      <c r="O130" s="5">
        <v>4</v>
      </c>
      <c r="P130" s="5">
        <v>4</v>
      </c>
      <c r="Q130" s="5">
        <v>4</v>
      </c>
      <c r="R130" s="5">
        <v>5</v>
      </c>
      <c r="S130" s="5">
        <v>2</v>
      </c>
      <c r="T130" s="5">
        <v>5</v>
      </c>
      <c r="U130" s="5">
        <v>3</v>
      </c>
      <c r="V130" s="5">
        <v>1</v>
      </c>
      <c r="W130" s="5">
        <v>2</v>
      </c>
      <c r="X130" s="5">
        <v>5</v>
      </c>
      <c r="Y130" s="5">
        <v>1</v>
      </c>
      <c r="Z130" s="5">
        <v>3</v>
      </c>
      <c r="AA130" s="5">
        <v>2</v>
      </c>
      <c r="AB130" s="5">
        <v>2</v>
      </c>
      <c r="AC130" s="5">
        <v>4</v>
      </c>
      <c r="AD130" s="5">
        <v>4</v>
      </c>
      <c r="AE130" s="5">
        <v>3</v>
      </c>
      <c r="AF130" s="5">
        <v>4</v>
      </c>
      <c r="AG130" s="5">
        <v>4</v>
      </c>
      <c r="AH130" s="5">
        <v>2</v>
      </c>
      <c r="AI130" s="5">
        <v>3</v>
      </c>
      <c r="AJ130" s="5">
        <v>4</v>
      </c>
      <c r="AK130" s="5">
        <v>3</v>
      </c>
      <c r="AL130" s="5">
        <v>3</v>
      </c>
      <c r="AM130" s="5">
        <v>3</v>
      </c>
      <c r="AN130" s="5">
        <v>3</v>
      </c>
      <c r="AO130" s="5">
        <v>4</v>
      </c>
      <c r="AP130" s="5">
        <v>2</v>
      </c>
      <c r="AQ130" s="5">
        <v>3</v>
      </c>
      <c r="AR130" s="5">
        <v>3</v>
      </c>
      <c r="AS130" s="5">
        <v>3</v>
      </c>
      <c r="AT130" s="5">
        <v>4</v>
      </c>
      <c r="AU130" s="5">
        <v>4</v>
      </c>
      <c r="AV130" s="5">
        <v>3</v>
      </c>
      <c r="AW130" s="5">
        <v>2</v>
      </c>
      <c r="AX130" s="5">
        <v>3</v>
      </c>
      <c r="AY130" s="5">
        <v>4</v>
      </c>
      <c r="AZ130" s="5">
        <v>3</v>
      </c>
      <c r="BA130" s="5">
        <v>3</v>
      </c>
      <c r="BB130" s="5">
        <v>4</v>
      </c>
      <c r="BC130" s="5">
        <v>2</v>
      </c>
      <c r="BD130" s="5">
        <v>4</v>
      </c>
      <c r="BE130" s="5">
        <v>4</v>
      </c>
      <c r="BF130" s="5">
        <v>5</v>
      </c>
      <c r="BG130" s="5">
        <v>3</v>
      </c>
      <c r="BH130" s="5">
        <v>3</v>
      </c>
      <c r="BI130" s="5">
        <v>3</v>
      </c>
      <c r="BJ130" s="5">
        <v>4</v>
      </c>
      <c r="BK130" s="5">
        <v>4</v>
      </c>
      <c r="BL130" t="s">
        <v>893</v>
      </c>
      <c r="BM130" s="1">
        <v>46002.800474537034</v>
      </c>
    </row>
    <row r="131" spans="1:65" ht="13.5" customHeight="1" x14ac:dyDescent="0.35">
      <c r="A131" t="s">
        <v>864</v>
      </c>
      <c r="B131" s="24" t="s">
        <v>840</v>
      </c>
      <c r="C131" s="24" t="s">
        <v>841</v>
      </c>
      <c r="D131" s="5">
        <v>4</v>
      </c>
      <c r="E131" s="5">
        <v>4</v>
      </c>
      <c r="F131" s="5">
        <v>2</v>
      </c>
      <c r="G131" s="5">
        <v>2</v>
      </c>
      <c r="H131" s="5">
        <v>5</v>
      </c>
      <c r="I131" s="5">
        <v>3</v>
      </c>
      <c r="J131" s="5">
        <v>5</v>
      </c>
      <c r="K131" s="5">
        <v>1</v>
      </c>
      <c r="L131" s="5">
        <v>4</v>
      </c>
      <c r="M131" s="5">
        <v>5</v>
      </c>
      <c r="N131" s="5">
        <v>4</v>
      </c>
      <c r="O131" s="5">
        <v>4</v>
      </c>
      <c r="P131" s="5">
        <v>5</v>
      </c>
      <c r="Q131" s="5">
        <v>2</v>
      </c>
      <c r="R131" s="5">
        <v>5</v>
      </c>
      <c r="S131" s="5">
        <v>1</v>
      </c>
      <c r="T131" s="5">
        <v>5</v>
      </c>
      <c r="U131" s="5">
        <v>5</v>
      </c>
      <c r="V131" s="5">
        <v>1</v>
      </c>
      <c r="W131" s="5">
        <v>4</v>
      </c>
      <c r="X131" s="5">
        <v>5</v>
      </c>
      <c r="Y131" s="5">
        <v>2</v>
      </c>
      <c r="Z131" s="5">
        <v>4</v>
      </c>
      <c r="AA131" s="5">
        <v>2</v>
      </c>
      <c r="AB131" s="5">
        <v>2</v>
      </c>
      <c r="AC131" s="5">
        <v>5</v>
      </c>
      <c r="AD131" s="5">
        <v>4</v>
      </c>
      <c r="AE131" s="5">
        <v>3</v>
      </c>
      <c r="AF131" s="5">
        <v>5</v>
      </c>
      <c r="AG131" s="5">
        <v>3</v>
      </c>
      <c r="AH131" s="5">
        <v>2</v>
      </c>
      <c r="AI131" s="5">
        <v>5</v>
      </c>
      <c r="AJ131" s="5">
        <v>5</v>
      </c>
      <c r="AK131" s="5">
        <v>5</v>
      </c>
      <c r="AL131" s="5">
        <v>4</v>
      </c>
      <c r="AM131" s="5">
        <v>1</v>
      </c>
      <c r="AN131" s="5">
        <v>4</v>
      </c>
      <c r="AO131" s="5">
        <v>3</v>
      </c>
      <c r="AP131" s="5">
        <v>5</v>
      </c>
      <c r="AQ131" s="5">
        <v>2</v>
      </c>
      <c r="AR131" s="5">
        <v>1</v>
      </c>
      <c r="AS131" s="5">
        <v>4</v>
      </c>
      <c r="AT131" s="5">
        <v>5</v>
      </c>
      <c r="AU131" s="5">
        <v>5</v>
      </c>
      <c r="AV131" s="5">
        <v>3</v>
      </c>
      <c r="AW131" s="5">
        <v>1</v>
      </c>
      <c r="AX131" s="5">
        <v>4</v>
      </c>
      <c r="AY131" s="5">
        <v>3</v>
      </c>
      <c r="AZ131" s="5">
        <v>5</v>
      </c>
      <c r="BA131" s="5">
        <v>5</v>
      </c>
      <c r="BB131" s="5">
        <v>5</v>
      </c>
      <c r="BC131" s="5">
        <v>4</v>
      </c>
      <c r="BD131" s="5">
        <v>3</v>
      </c>
      <c r="BE131" s="5">
        <v>5</v>
      </c>
      <c r="BF131" s="5">
        <v>5</v>
      </c>
      <c r="BG131" s="5">
        <v>4</v>
      </c>
      <c r="BH131" s="5">
        <v>4</v>
      </c>
      <c r="BI131" s="5">
        <v>5</v>
      </c>
      <c r="BJ131" s="5">
        <v>4</v>
      </c>
      <c r="BK131" s="5">
        <v>4</v>
      </c>
      <c r="BL131" t="s">
        <v>894</v>
      </c>
      <c r="BM131" s="1">
        <v>46002.80269675926</v>
      </c>
    </row>
    <row r="132" spans="1:65" ht="13.5" customHeight="1" x14ac:dyDescent="0.35">
      <c r="A132" t="s">
        <v>865</v>
      </c>
      <c r="B132" t="s">
        <v>842</v>
      </c>
      <c r="C132" t="s">
        <v>843</v>
      </c>
      <c r="D132" s="5">
        <v>3</v>
      </c>
      <c r="E132" s="5">
        <v>4</v>
      </c>
      <c r="F132" s="5">
        <v>3</v>
      </c>
      <c r="G132" s="5">
        <v>4</v>
      </c>
      <c r="H132" s="5">
        <v>4</v>
      </c>
      <c r="I132" s="5">
        <v>3</v>
      </c>
      <c r="J132" s="5">
        <v>3</v>
      </c>
      <c r="K132" s="5">
        <v>2</v>
      </c>
      <c r="L132" s="5">
        <v>1</v>
      </c>
      <c r="M132" s="5">
        <v>4</v>
      </c>
      <c r="N132" s="5">
        <v>4</v>
      </c>
      <c r="O132" s="5">
        <v>4</v>
      </c>
      <c r="P132" s="5">
        <v>4</v>
      </c>
      <c r="Q132" s="5">
        <v>4</v>
      </c>
      <c r="R132" s="5">
        <v>4</v>
      </c>
      <c r="S132" s="5">
        <v>4</v>
      </c>
      <c r="T132" s="5">
        <v>3</v>
      </c>
      <c r="U132" s="5">
        <v>2</v>
      </c>
      <c r="V132" s="5">
        <v>3</v>
      </c>
      <c r="W132" s="5">
        <v>4</v>
      </c>
      <c r="X132" s="5">
        <v>4</v>
      </c>
      <c r="Y132" s="5">
        <v>2</v>
      </c>
      <c r="Z132" s="5">
        <v>4</v>
      </c>
      <c r="AA132" s="5">
        <v>3</v>
      </c>
      <c r="AB132" s="5">
        <v>2</v>
      </c>
      <c r="AC132" s="5">
        <v>5</v>
      </c>
      <c r="AD132" s="5">
        <v>4</v>
      </c>
      <c r="AE132" s="5">
        <v>4</v>
      </c>
      <c r="AF132" s="5">
        <v>5</v>
      </c>
      <c r="AG132" s="5">
        <v>5</v>
      </c>
      <c r="AH132" s="5">
        <v>1</v>
      </c>
      <c r="AI132" s="5">
        <v>5</v>
      </c>
      <c r="AJ132" s="5">
        <v>4</v>
      </c>
      <c r="AK132" s="5">
        <v>2</v>
      </c>
      <c r="AL132" s="5">
        <v>3</v>
      </c>
      <c r="AM132" s="5">
        <v>1</v>
      </c>
      <c r="AN132" s="5">
        <v>3</v>
      </c>
      <c r="AO132" s="5">
        <v>3</v>
      </c>
      <c r="AP132" s="5">
        <v>2</v>
      </c>
      <c r="AQ132" s="5">
        <v>4</v>
      </c>
      <c r="AR132" s="5">
        <v>2</v>
      </c>
      <c r="AS132" s="5">
        <v>3</v>
      </c>
      <c r="AT132" s="5">
        <v>3</v>
      </c>
      <c r="AU132" s="5">
        <v>2</v>
      </c>
      <c r="AV132" s="5">
        <v>4</v>
      </c>
      <c r="AW132" s="5">
        <v>4</v>
      </c>
      <c r="AX132" s="5">
        <v>3</v>
      </c>
      <c r="AY132" s="5">
        <v>2</v>
      </c>
      <c r="AZ132" s="5">
        <v>3</v>
      </c>
      <c r="BA132" s="5">
        <v>5</v>
      </c>
      <c r="BB132" s="5">
        <v>3</v>
      </c>
      <c r="BC132" s="5">
        <v>1</v>
      </c>
      <c r="BD132" s="5">
        <v>4</v>
      </c>
      <c r="BE132" s="5">
        <v>4</v>
      </c>
      <c r="BF132" s="5">
        <v>4</v>
      </c>
      <c r="BG132" s="5">
        <v>2</v>
      </c>
      <c r="BH132" s="5">
        <v>3</v>
      </c>
      <c r="BI132" s="5">
        <v>3</v>
      </c>
      <c r="BJ132" s="5">
        <v>5</v>
      </c>
      <c r="BK132" s="5">
        <v>4</v>
      </c>
      <c r="BL132" t="s">
        <v>895</v>
      </c>
      <c r="BM132" s="1">
        <v>46002.811238425929</v>
      </c>
    </row>
    <row r="133" spans="1:65" ht="13.5" customHeight="1" x14ac:dyDescent="0.35">
      <c r="A133" t="s">
        <v>866</v>
      </c>
      <c r="B133" t="s">
        <v>844</v>
      </c>
      <c r="C133" t="s">
        <v>851</v>
      </c>
      <c r="D133" s="5">
        <v>4</v>
      </c>
      <c r="E133" s="5">
        <v>4</v>
      </c>
      <c r="F133" s="5">
        <v>3</v>
      </c>
      <c r="G133" s="5">
        <v>4</v>
      </c>
      <c r="H133" s="5">
        <v>3</v>
      </c>
      <c r="I133" s="5">
        <v>3</v>
      </c>
      <c r="J133" s="5">
        <v>3</v>
      </c>
      <c r="K133" s="5">
        <v>2</v>
      </c>
      <c r="L133" s="5">
        <v>2</v>
      </c>
      <c r="M133" s="5">
        <v>4</v>
      </c>
      <c r="N133" s="5">
        <v>3</v>
      </c>
      <c r="O133" s="5">
        <v>4</v>
      </c>
      <c r="P133" s="5">
        <v>3</v>
      </c>
      <c r="Q133" s="5">
        <v>3</v>
      </c>
      <c r="R133" s="5">
        <v>5</v>
      </c>
      <c r="S133" s="5">
        <v>2</v>
      </c>
      <c r="T133" s="5">
        <v>4</v>
      </c>
      <c r="U133" s="5">
        <v>4</v>
      </c>
      <c r="V133" s="5">
        <v>4</v>
      </c>
      <c r="W133" s="5">
        <v>2</v>
      </c>
      <c r="X133" s="5">
        <v>4</v>
      </c>
      <c r="Y133" s="5">
        <v>2</v>
      </c>
      <c r="Z133" s="5">
        <v>3</v>
      </c>
      <c r="AA133" s="5">
        <v>3</v>
      </c>
      <c r="AB133" s="5">
        <v>3</v>
      </c>
      <c r="AC133" s="5">
        <v>2</v>
      </c>
      <c r="AD133" s="5">
        <v>3</v>
      </c>
      <c r="AE133" s="5">
        <v>3</v>
      </c>
      <c r="AF133" s="5">
        <v>4</v>
      </c>
      <c r="AG133" s="5">
        <v>4</v>
      </c>
      <c r="AH133" s="5">
        <v>2</v>
      </c>
      <c r="AI133" s="5">
        <v>3</v>
      </c>
      <c r="AJ133" s="5">
        <v>4</v>
      </c>
      <c r="AK133" s="5">
        <v>3</v>
      </c>
      <c r="AL133" s="5">
        <v>3</v>
      </c>
      <c r="AM133" s="5">
        <v>2</v>
      </c>
      <c r="AN133" s="5">
        <v>4</v>
      </c>
      <c r="AO133" s="5">
        <v>3</v>
      </c>
      <c r="AP133" s="5">
        <v>4</v>
      </c>
      <c r="AQ133" s="5">
        <v>4</v>
      </c>
      <c r="AR133" s="5">
        <v>3</v>
      </c>
      <c r="AS133" s="5">
        <v>4</v>
      </c>
      <c r="AT133" s="5">
        <v>3</v>
      </c>
      <c r="AU133" s="5">
        <v>3</v>
      </c>
      <c r="AV133" s="5">
        <v>3</v>
      </c>
      <c r="AW133" s="5">
        <v>3</v>
      </c>
      <c r="AX133" s="5">
        <v>3</v>
      </c>
      <c r="AY133" s="5">
        <v>3</v>
      </c>
      <c r="AZ133" s="5">
        <v>4</v>
      </c>
      <c r="BA133" s="5">
        <v>3</v>
      </c>
      <c r="BB133" s="5">
        <v>3</v>
      </c>
      <c r="BC133" s="5">
        <v>3</v>
      </c>
      <c r="BD133" s="5">
        <v>4</v>
      </c>
      <c r="BE133" s="5">
        <v>3</v>
      </c>
      <c r="BF133" s="5">
        <v>3</v>
      </c>
      <c r="BG133" s="5">
        <v>4</v>
      </c>
      <c r="BH133" s="5">
        <v>5</v>
      </c>
      <c r="BI133" s="5">
        <v>4</v>
      </c>
      <c r="BJ133" s="5">
        <v>4</v>
      </c>
      <c r="BK133" s="5">
        <v>4</v>
      </c>
      <c r="BL133" t="s">
        <v>896</v>
      </c>
      <c r="BM133" s="1">
        <v>46002.82608796296</v>
      </c>
    </row>
    <row r="134" spans="1:65" ht="13.5" customHeight="1" x14ac:dyDescent="0.35">
      <c r="A134" t="s">
        <v>867</v>
      </c>
      <c r="B134" t="s">
        <v>845</v>
      </c>
      <c r="C134" t="s">
        <v>846</v>
      </c>
      <c r="D134" s="5">
        <v>4</v>
      </c>
      <c r="E134" s="5">
        <v>5</v>
      </c>
      <c r="F134" s="5">
        <v>5</v>
      </c>
      <c r="G134" s="5">
        <v>4</v>
      </c>
      <c r="H134" s="5">
        <v>5</v>
      </c>
      <c r="I134" s="5">
        <v>5</v>
      </c>
      <c r="J134" s="5">
        <v>5</v>
      </c>
      <c r="K134" s="5">
        <v>2</v>
      </c>
      <c r="L134" s="5">
        <v>4</v>
      </c>
      <c r="M134" s="5">
        <v>3</v>
      </c>
      <c r="N134" s="5">
        <v>5</v>
      </c>
      <c r="O134" s="5">
        <v>3</v>
      </c>
      <c r="P134" s="5">
        <v>5</v>
      </c>
      <c r="Q134" s="5">
        <v>5</v>
      </c>
      <c r="R134" s="5">
        <v>5</v>
      </c>
      <c r="S134" s="5">
        <v>1</v>
      </c>
      <c r="T134" s="5">
        <v>5</v>
      </c>
      <c r="U134" s="5">
        <v>5</v>
      </c>
      <c r="V134" s="5">
        <v>2</v>
      </c>
      <c r="W134" s="5">
        <v>4</v>
      </c>
      <c r="X134" s="5">
        <v>5</v>
      </c>
      <c r="Y134" s="5">
        <v>3</v>
      </c>
      <c r="Z134" s="5">
        <v>4</v>
      </c>
      <c r="AA134" s="5">
        <v>2</v>
      </c>
      <c r="AB134" s="5">
        <v>2</v>
      </c>
      <c r="AC134" s="5">
        <v>4</v>
      </c>
      <c r="AD134" s="5">
        <v>5</v>
      </c>
      <c r="AE134" s="5">
        <v>5</v>
      </c>
      <c r="AF134" s="5">
        <v>5</v>
      </c>
      <c r="AG134" s="5">
        <v>3</v>
      </c>
      <c r="AH134" s="5">
        <v>2</v>
      </c>
      <c r="AI134" s="5">
        <v>5</v>
      </c>
      <c r="AJ134" s="5">
        <v>5</v>
      </c>
      <c r="AK134" s="5">
        <v>5</v>
      </c>
      <c r="AL134" s="5">
        <v>2</v>
      </c>
      <c r="AM134" s="5">
        <v>1</v>
      </c>
      <c r="AN134" s="5">
        <v>5</v>
      </c>
      <c r="AO134" s="5">
        <v>4</v>
      </c>
      <c r="AP134" s="5">
        <v>5</v>
      </c>
      <c r="AQ134" s="5">
        <v>3</v>
      </c>
      <c r="AR134" s="5">
        <v>3</v>
      </c>
      <c r="AS134" s="5">
        <v>5</v>
      </c>
      <c r="AT134" s="5">
        <v>5</v>
      </c>
      <c r="AU134" s="5">
        <v>5</v>
      </c>
      <c r="AV134" s="5">
        <v>5</v>
      </c>
      <c r="AW134" s="5">
        <v>4</v>
      </c>
      <c r="AX134" s="5">
        <v>5</v>
      </c>
      <c r="AY134" s="5">
        <v>3</v>
      </c>
      <c r="AZ134" s="5">
        <v>5</v>
      </c>
      <c r="BA134" s="5">
        <v>5</v>
      </c>
      <c r="BB134" s="5">
        <v>5</v>
      </c>
      <c r="BC134" s="5">
        <v>5</v>
      </c>
      <c r="BD134" s="5">
        <v>2</v>
      </c>
      <c r="BE134" s="5">
        <v>5</v>
      </c>
      <c r="BF134" s="5">
        <v>5</v>
      </c>
      <c r="BG134" s="5">
        <v>2</v>
      </c>
      <c r="BH134" s="5">
        <v>3</v>
      </c>
      <c r="BI134" s="5">
        <v>5</v>
      </c>
      <c r="BJ134" s="5">
        <v>5</v>
      </c>
      <c r="BK134" s="5">
        <v>5</v>
      </c>
      <c r="BL134" t="s">
        <v>897</v>
      </c>
      <c r="BM134" s="1">
        <v>46004.768877314818</v>
      </c>
    </row>
    <row r="135" spans="1:65" ht="13.5" customHeight="1" x14ac:dyDescent="0.35">
      <c r="A135" t="s">
        <v>868</v>
      </c>
      <c r="B135" t="s">
        <v>847</v>
      </c>
      <c r="C135" t="s">
        <v>848</v>
      </c>
      <c r="D135" s="5">
        <v>4</v>
      </c>
      <c r="E135" s="5">
        <v>3</v>
      </c>
      <c r="F135" s="5">
        <v>2</v>
      </c>
      <c r="G135" s="5">
        <v>5</v>
      </c>
      <c r="H135" s="5">
        <v>2</v>
      </c>
      <c r="I135" s="5">
        <v>5</v>
      </c>
      <c r="J135" s="5">
        <v>3</v>
      </c>
      <c r="K135" s="5">
        <v>2</v>
      </c>
      <c r="L135" s="5">
        <v>3</v>
      </c>
      <c r="M135" s="5">
        <v>5</v>
      </c>
      <c r="N135" s="5">
        <v>2</v>
      </c>
      <c r="O135" s="5">
        <v>4</v>
      </c>
      <c r="P135" s="5">
        <v>4</v>
      </c>
      <c r="Q135" s="5">
        <v>2</v>
      </c>
      <c r="R135" s="5">
        <v>5</v>
      </c>
      <c r="S135" s="5">
        <v>2</v>
      </c>
      <c r="T135" s="5">
        <v>4</v>
      </c>
      <c r="U135" s="5">
        <v>3</v>
      </c>
      <c r="V135" s="5">
        <v>2</v>
      </c>
      <c r="W135" s="5">
        <v>3</v>
      </c>
      <c r="X135" s="5">
        <v>4</v>
      </c>
      <c r="Y135" s="5">
        <v>2</v>
      </c>
      <c r="Z135" s="5">
        <v>4</v>
      </c>
      <c r="AA135" s="5">
        <v>2</v>
      </c>
      <c r="AB135" s="5">
        <v>2</v>
      </c>
      <c r="AC135" s="5">
        <v>4</v>
      </c>
      <c r="AD135" s="5">
        <v>4</v>
      </c>
      <c r="AE135" s="5">
        <v>3</v>
      </c>
      <c r="AF135" s="5">
        <v>4</v>
      </c>
      <c r="AG135" s="5">
        <v>5</v>
      </c>
      <c r="AH135" s="5">
        <v>2</v>
      </c>
      <c r="AI135" s="5">
        <v>4</v>
      </c>
      <c r="AJ135" s="5">
        <v>3</v>
      </c>
      <c r="AK135" s="5">
        <v>4</v>
      </c>
      <c r="AL135" s="5">
        <v>4</v>
      </c>
      <c r="AM135" s="5">
        <v>2</v>
      </c>
      <c r="AN135" s="5">
        <v>4</v>
      </c>
      <c r="AO135" s="5">
        <v>2</v>
      </c>
      <c r="AP135" s="5">
        <v>4</v>
      </c>
      <c r="AQ135" s="5">
        <v>3</v>
      </c>
      <c r="AR135" s="5">
        <v>2</v>
      </c>
      <c r="AS135" s="5">
        <v>5</v>
      </c>
      <c r="AT135" s="5">
        <v>3</v>
      </c>
      <c r="AU135" s="5">
        <v>3</v>
      </c>
      <c r="AV135" s="5">
        <v>4</v>
      </c>
      <c r="AW135" s="5">
        <v>2</v>
      </c>
      <c r="AX135" s="5">
        <v>3</v>
      </c>
      <c r="AY135" s="5">
        <v>3</v>
      </c>
      <c r="AZ135" s="5">
        <v>3</v>
      </c>
      <c r="BA135" s="5">
        <v>4</v>
      </c>
      <c r="BB135" s="5">
        <v>4</v>
      </c>
      <c r="BC135" s="5">
        <v>3</v>
      </c>
      <c r="BD135" s="5">
        <v>4</v>
      </c>
      <c r="BE135" s="5">
        <v>3</v>
      </c>
      <c r="BF135" s="5">
        <v>3</v>
      </c>
      <c r="BG135" s="5">
        <v>4</v>
      </c>
      <c r="BH135" s="5">
        <v>4</v>
      </c>
      <c r="BI135" s="5">
        <v>3</v>
      </c>
      <c r="BJ135" s="5">
        <v>4</v>
      </c>
      <c r="BK135" s="5">
        <v>3</v>
      </c>
      <c r="BL135" t="s">
        <v>898</v>
      </c>
      <c r="BM135" s="1">
        <v>46004.770312499997</v>
      </c>
    </row>
    <row r="136" spans="1:65" ht="13.5" customHeight="1" x14ac:dyDescent="0.35">
      <c r="A136" t="s">
        <v>869</v>
      </c>
      <c r="B136" t="s">
        <v>849</v>
      </c>
      <c r="C136" t="s">
        <v>850</v>
      </c>
      <c r="D136" s="5">
        <v>5</v>
      </c>
      <c r="E136" s="5">
        <v>3</v>
      </c>
      <c r="F136" s="5">
        <v>2</v>
      </c>
      <c r="G136" s="5">
        <v>2</v>
      </c>
      <c r="H136" s="5">
        <v>4</v>
      </c>
      <c r="I136" s="5">
        <v>5</v>
      </c>
      <c r="J136" s="5">
        <v>5</v>
      </c>
      <c r="K136" s="5">
        <v>1</v>
      </c>
      <c r="L136" s="5">
        <v>4</v>
      </c>
      <c r="M136" s="5">
        <v>5</v>
      </c>
      <c r="N136" s="5">
        <v>3</v>
      </c>
      <c r="O136" s="5">
        <v>5</v>
      </c>
      <c r="P136" s="5">
        <v>5</v>
      </c>
      <c r="Q136" s="5">
        <v>2</v>
      </c>
      <c r="R136" s="5">
        <v>4</v>
      </c>
      <c r="S136" s="5">
        <v>1</v>
      </c>
      <c r="T136" s="5">
        <v>4</v>
      </c>
      <c r="U136" s="5">
        <v>3</v>
      </c>
      <c r="V136" s="5">
        <v>1</v>
      </c>
      <c r="W136" s="5">
        <v>1</v>
      </c>
      <c r="X136" s="5">
        <v>5</v>
      </c>
      <c r="Y136" s="5">
        <v>2</v>
      </c>
      <c r="Z136" s="5">
        <v>1</v>
      </c>
      <c r="AA136" s="5">
        <v>1</v>
      </c>
      <c r="AB136" s="5">
        <v>1</v>
      </c>
      <c r="AC136" s="5">
        <v>5</v>
      </c>
      <c r="AD136" s="5">
        <v>4</v>
      </c>
      <c r="AE136" s="5">
        <v>3</v>
      </c>
      <c r="AF136" s="5">
        <v>5</v>
      </c>
      <c r="AG136" s="5">
        <v>4</v>
      </c>
      <c r="AH136" s="5">
        <v>1</v>
      </c>
      <c r="AI136" s="5">
        <v>4</v>
      </c>
      <c r="AJ136" s="5">
        <v>4</v>
      </c>
      <c r="AK136" s="5">
        <v>3</v>
      </c>
      <c r="AL136" s="5">
        <v>4</v>
      </c>
      <c r="AM136" s="5">
        <v>1</v>
      </c>
      <c r="AN136" s="5">
        <v>4</v>
      </c>
      <c r="AO136" s="5">
        <v>5</v>
      </c>
      <c r="AP136" s="5">
        <v>5</v>
      </c>
      <c r="AQ136" s="5">
        <v>3</v>
      </c>
      <c r="AR136" s="5">
        <v>1</v>
      </c>
      <c r="AS136" s="5">
        <v>5</v>
      </c>
      <c r="AT136" s="5">
        <v>2</v>
      </c>
      <c r="AU136" s="5">
        <v>5</v>
      </c>
      <c r="AV136" s="5">
        <v>4</v>
      </c>
      <c r="AW136" s="5">
        <v>1</v>
      </c>
      <c r="AX136" s="5">
        <v>5</v>
      </c>
      <c r="AY136" s="5">
        <v>2</v>
      </c>
      <c r="AZ136" s="5">
        <v>4</v>
      </c>
      <c r="BA136" s="5">
        <v>5</v>
      </c>
      <c r="BB136" s="5">
        <v>5</v>
      </c>
      <c r="BC136" s="5">
        <v>4</v>
      </c>
      <c r="BD136" s="5">
        <v>5</v>
      </c>
      <c r="BE136" s="5">
        <v>5</v>
      </c>
      <c r="BF136" s="5">
        <v>5</v>
      </c>
      <c r="BG136" s="5">
        <v>5</v>
      </c>
      <c r="BH136" s="5">
        <v>3</v>
      </c>
      <c r="BI136" s="5">
        <v>5</v>
      </c>
      <c r="BJ136" s="5">
        <v>5</v>
      </c>
      <c r="BK136" s="5">
        <v>2</v>
      </c>
      <c r="BL136" t="s">
        <v>899</v>
      </c>
      <c r="BM136" s="1">
        <v>46004.77070601852</v>
      </c>
    </row>
  </sheetData>
  <mergeCells count="1">
    <mergeCell ref="B2:C2"/>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4C31-02DB-41EF-A9E4-2A91329519C6}">
  <sheetPr codeName="Worksheet______3" filterMode="1"/>
  <dimension ref="A1:B114"/>
  <sheetViews>
    <sheetView topLeftCell="A48" workbookViewId="0">
      <selection activeCell="B48" sqref="B48"/>
    </sheetView>
  </sheetViews>
  <sheetFormatPr defaultRowHeight="14.5" x14ac:dyDescent="0.35"/>
  <cols>
    <col min="1" max="2" width="25.1796875" bestFit="1" customWidth="1"/>
  </cols>
  <sheetData>
    <row r="1" spans="1:2" x14ac:dyDescent="0.35">
      <c r="A1" s="3" t="s">
        <v>705</v>
      </c>
      <c r="B1" s="3" t="s">
        <v>706</v>
      </c>
    </row>
    <row r="2" spans="1:2" x14ac:dyDescent="0.35">
      <c r="A2" s="2"/>
      <c r="B2" s="2" t="s">
        <v>43</v>
      </c>
    </row>
    <row r="3" spans="1:2" hidden="1" x14ac:dyDescent="0.35">
      <c r="A3" s="2" t="s">
        <v>103</v>
      </c>
      <c r="B3" s="2" t="s">
        <v>50</v>
      </c>
    </row>
    <row r="4" spans="1:2" hidden="1" x14ac:dyDescent="0.35">
      <c r="A4" s="2" t="s">
        <v>151</v>
      </c>
      <c r="B4" s="2" t="s">
        <v>58</v>
      </c>
    </row>
    <row r="5" spans="1:2" hidden="1" x14ac:dyDescent="0.35">
      <c r="A5" s="2" t="s">
        <v>167</v>
      </c>
      <c r="B5" s="2" t="s">
        <v>63</v>
      </c>
    </row>
    <row r="6" spans="1:2" hidden="1" x14ac:dyDescent="0.35">
      <c r="A6" s="2" t="s">
        <v>87</v>
      </c>
      <c r="B6" s="2" t="s">
        <v>70</v>
      </c>
    </row>
    <row r="7" spans="1:2" x14ac:dyDescent="0.35">
      <c r="A7" s="2"/>
      <c r="B7" s="2" t="s">
        <v>76</v>
      </c>
    </row>
    <row r="8" spans="1:2" hidden="1" x14ac:dyDescent="0.35">
      <c r="A8" s="2" t="s">
        <v>92</v>
      </c>
      <c r="B8" s="2" t="s">
        <v>81</v>
      </c>
    </row>
    <row r="9" spans="1:2" hidden="1" x14ac:dyDescent="0.35">
      <c r="A9" s="2" t="s">
        <v>131</v>
      </c>
      <c r="B9" s="2" t="s">
        <v>87</v>
      </c>
    </row>
    <row r="10" spans="1:2" hidden="1" x14ac:dyDescent="0.35">
      <c r="A10" s="2" t="s">
        <v>58</v>
      </c>
      <c r="B10" s="2" t="s">
        <v>92</v>
      </c>
    </row>
    <row r="11" spans="1:2" hidden="1" x14ac:dyDescent="0.35">
      <c r="A11" s="2" t="s">
        <v>70</v>
      </c>
      <c r="B11" s="2" t="s">
        <v>97</v>
      </c>
    </row>
    <row r="12" spans="1:2" hidden="1" x14ac:dyDescent="0.35">
      <c r="A12" s="2" t="s">
        <v>172</v>
      </c>
      <c r="B12" s="2" t="s">
        <v>103</v>
      </c>
    </row>
    <row r="13" spans="1:2" x14ac:dyDescent="0.35">
      <c r="A13" s="2"/>
      <c r="B13" s="2" t="s">
        <v>108</v>
      </c>
    </row>
    <row r="14" spans="1:2" hidden="1" x14ac:dyDescent="0.35">
      <c r="A14" s="2" t="s">
        <v>125</v>
      </c>
      <c r="B14" s="2" t="s">
        <v>114</v>
      </c>
    </row>
    <row r="15" spans="1:2" hidden="1" x14ac:dyDescent="0.35">
      <c r="A15" s="2" t="s">
        <v>50</v>
      </c>
      <c r="B15" s="2" t="s">
        <v>119</v>
      </c>
    </row>
    <row r="16" spans="1:2" hidden="1" x14ac:dyDescent="0.35">
      <c r="A16" s="2" t="s">
        <v>97</v>
      </c>
      <c r="B16" s="2" t="s">
        <v>125</v>
      </c>
    </row>
    <row r="17" spans="1:2" hidden="1" x14ac:dyDescent="0.35">
      <c r="A17" s="2" t="s">
        <v>76</v>
      </c>
      <c r="B17" s="2" t="s">
        <v>131</v>
      </c>
    </row>
    <row r="18" spans="1:2" hidden="1" x14ac:dyDescent="0.35">
      <c r="A18" s="2" t="s">
        <v>81</v>
      </c>
      <c r="B18" s="2" t="s">
        <v>136</v>
      </c>
    </row>
    <row r="19" spans="1:2" hidden="1" x14ac:dyDescent="0.35">
      <c r="A19" s="2" t="s">
        <v>114</v>
      </c>
      <c r="B19" s="2" t="s">
        <v>141</v>
      </c>
    </row>
    <row r="20" spans="1:2" hidden="1" x14ac:dyDescent="0.35">
      <c r="A20" s="2" t="s">
        <v>182</v>
      </c>
      <c r="B20" s="2" t="s">
        <v>146</v>
      </c>
    </row>
    <row r="21" spans="1:2" hidden="1" x14ac:dyDescent="0.35">
      <c r="A21" s="2" t="s">
        <v>108</v>
      </c>
      <c r="B21" s="2" t="s">
        <v>151</v>
      </c>
    </row>
    <row r="22" spans="1:2" hidden="1" x14ac:dyDescent="0.35">
      <c r="A22" s="2" t="s">
        <v>63</v>
      </c>
      <c r="B22" s="2" t="s">
        <v>157</v>
      </c>
    </row>
    <row r="23" spans="1:2" hidden="1" x14ac:dyDescent="0.35">
      <c r="A23" s="2" t="s">
        <v>214</v>
      </c>
      <c r="B23" s="2" t="s">
        <v>162</v>
      </c>
    </row>
    <row r="24" spans="1:2" hidden="1" x14ac:dyDescent="0.35">
      <c r="A24" s="2" t="s">
        <v>141</v>
      </c>
      <c r="B24" s="2" t="s">
        <v>167</v>
      </c>
    </row>
    <row r="25" spans="1:2" hidden="1" x14ac:dyDescent="0.35">
      <c r="A25" s="2" t="s">
        <v>187</v>
      </c>
      <c r="B25" s="2" t="s">
        <v>172</v>
      </c>
    </row>
    <row r="26" spans="1:2" hidden="1" x14ac:dyDescent="0.35">
      <c r="A26" s="2" t="s">
        <v>209</v>
      </c>
      <c r="B26" s="2" t="s">
        <v>177</v>
      </c>
    </row>
    <row r="27" spans="1:2" hidden="1" x14ac:dyDescent="0.35">
      <c r="A27" s="2" t="s">
        <v>177</v>
      </c>
      <c r="B27" s="2" t="s">
        <v>182</v>
      </c>
    </row>
    <row r="28" spans="1:2" hidden="1" x14ac:dyDescent="0.35">
      <c r="A28" s="2" t="s">
        <v>157</v>
      </c>
      <c r="B28" s="2" t="s">
        <v>187</v>
      </c>
    </row>
    <row r="29" spans="1:2" hidden="1" x14ac:dyDescent="0.35">
      <c r="A29" s="2" t="s">
        <v>119</v>
      </c>
      <c r="B29" s="2" t="s">
        <v>192</v>
      </c>
    </row>
    <row r="30" spans="1:2" hidden="1" x14ac:dyDescent="0.35">
      <c r="A30" s="2" t="s">
        <v>192</v>
      </c>
      <c r="B30" s="2" t="s">
        <v>198</v>
      </c>
    </row>
    <row r="31" spans="1:2" hidden="1" x14ac:dyDescent="0.35">
      <c r="A31" s="2" t="s">
        <v>43</v>
      </c>
      <c r="B31" s="2" t="s">
        <v>204</v>
      </c>
    </row>
    <row r="32" spans="1:2" hidden="1" x14ac:dyDescent="0.35">
      <c r="A32" s="2" t="s">
        <v>136</v>
      </c>
      <c r="B32" s="2" t="s">
        <v>209</v>
      </c>
    </row>
    <row r="33" spans="1:2" hidden="1" x14ac:dyDescent="0.35">
      <c r="A33" s="2" t="s">
        <v>162</v>
      </c>
      <c r="B33" s="2" t="s">
        <v>214</v>
      </c>
    </row>
    <row r="34" spans="1:2" hidden="1" x14ac:dyDescent="0.35">
      <c r="A34" s="2" t="s">
        <v>146</v>
      </c>
      <c r="B34" s="2" t="s">
        <v>219</v>
      </c>
    </row>
    <row r="35" spans="1:2" hidden="1" x14ac:dyDescent="0.35">
      <c r="A35" s="2" t="s">
        <v>198</v>
      </c>
      <c r="B35" s="2" t="s">
        <v>224</v>
      </c>
    </row>
    <row r="36" spans="1:2" hidden="1" x14ac:dyDescent="0.35">
      <c r="A36" s="2" t="s">
        <v>219</v>
      </c>
      <c r="B36" s="2" t="s">
        <v>229</v>
      </c>
    </row>
    <row r="37" spans="1:2" hidden="1" x14ac:dyDescent="0.35">
      <c r="A37" s="2" t="s">
        <v>204</v>
      </c>
      <c r="B37" s="2" t="s">
        <v>236</v>
      </c>
    </row>
    <row r="38" spans="1:2" x14ac:dyDescent="0.35">
      <c r="A38" s="2"/>
      <c r="B38" s="2" t="s">
        <v>241</v>
      </c>
    </row>
    <row r="39" spans="1:2" hidden="1" x14ac:dyDescent="0.35">
      <c r="A39" s="2" t="s">
        <v>224</v>
      </c>
      <c r="B39" s="2" t="s">
        <v>246</v>
      </c>
    </row>
    <row r="40" spans="1:2" hidden="1" x14ac:dyDescent="0.35">
      <c r="A40" s="2" t="s">
        <v>229</v>
      </c>
      <c r="B40" s="2" t="s">
        <v>251</v>
      </c>
    </row>
    <row r="41" spans="1:2" hidden="1" x14ac:dyDescent="0.35">
      <c r="A41" s="2" t="s">
        <v>236</v>
      </c>
      <c r="B41" s="2" t="s">
        <v>256</v>
      </c>
    </row>
    <row r="42" spans="1:2" hidden="1" x14ac:dyDescent="0.35">
      <c r="A42" s="2" t="s">
        <v>241</v>
      </c>
      <c r="B42" s="2" t="s">
        <v>261</v>
      </c>
    </row>
    <row r="43" spans="1:2" hidden="1" x14ac:dyDescent="0.35">
      <c r="A43" s="2" t="s">
        <v>246</v>
      </c>
      <c r="B43" s="2" t="s">
        <v>266</v>
      </c>
    </row>
    <row r="44" spans="1:2" hidden="1" x14ac:dyDescent="0.35">
      <c r="A44" s="2" t="s">
        <v>251</v>
      </c>
      <c r="B44" s="2" t="s">
        <v>271</v>
      </c>
    </row>
    <row r="45" spans="1:2" hidden="1" x14ac:dyDescent="0.35">
      <c r="A45" s="2" t="s">
        <v>281</v>
      </c>
      <c r="B45" s="2" t="s">
        <v>276</v>
      </c>
    </row>
    <row r="46" spans="1:2" hidden="1" x14ac:dyDescent="0.35">
      <c r="A46" s="2" t="s">
        <v>256</v>
      </c>
      <c r="B46" s="2" t="s">
        <v>281</v>
      </c>
    </row>
    <row r="47" spans="1:2" hidden="1" x14ac:dyDescent="0.35">
      <c r="A47" s="2" t="s">
        <v>266</v>
      </c>
      <c r="B47" s="2" t="s">
        <v>286</v>
      </c>
    </row>
    <row r="48" spans="1:2" x14ac:dyDescent="0.35">
      <c r="A48" s="2"/>
      <c r="B48" s="2" t="s">
        <v>291</v>
      </c>
    </row>
    <row r="49" spans="1:2" hidden="1" x14ac:dyDescent="0.35">
      <c r="A49" s="2" t="s">
        <v>271</v>
      </c>
      <c r="B49" s="2" t="s">
        <v>296</v>
      </c>
    </row>
    <row r="50" spans="1:2" hidden="1" x14ac:dyDescent="0.35">
      <c r="A50" s="2" t="s">
        <v>261</v>
      </c>
      <c r="B50" s="2" t="s">
        <v>301</v>
      </c>
    </row>
    <row r="51" spans="1:2" x14ac:dyDescent="0.35">
      <c r="A51" s="2"/>
      <c r="B51" s="2" t="s">
        <v>306</v>
      </c>
    </row>
    <row r="52" spans="1:2" hidden="1" x14ac:dyDescent="0.35">
      <c r="A52" s="2" t="s">
        <v>291</v>
      </c>
      <c r="B52" s="2" t="s">
        <v>311</v>
      </c>
    </row>
    <row r="53" spans="1:2" hidden="1" x14ac:dyDescent="0.35">
      <c r="A53" s="2" t="s">
        <v>276</v>
      </c>
      <c r="B53" s="2" t="s">
        <v>316</v>
      </c>
    </row>
    <row r="54" spans="1:2" x14ac:dyDescent="0.35">
      <c r="A54" s="2"/>
      <c r="B54" s="2" t="s">
        <v>321</v>
      </c>
    </row>
    <row r="55" spans="1:2" hidden="1" x14ac:dyDescent="0.35">
      <c r="A55" s="2" t="s">
        <v>286</v>
      </c>
      <c r="B55" s="2" t="s">
        <v>326</v>
      </c>
    </row>
    <row r="56" spans="1:2" hidden="1" x14ac:dyDescent="0.35">
      <c r="A56" s="2" t="s">
        <v>296</v>
      </c>
      <c r="B56" s="2" t="s">
        <v>331</v>
      </c>
    </row>
    <row r="57" spans="1:2" hidden="1" x14ac:dyDescent="0.35">
      <c r="A57" s="2" t="s">
        <v>301</v>
      </c>
      <c r="B57" s="2" t="s">
        <v>336</v>
      </c>
    </row>
    <row r="58" spans="1:2" x14ac:dyDescent="0.35">
      <c r="A58" s="2"/>
      <c r="B58" s="2" t="s">
        <v>341</v>
      </c>
    </row>
    <row r="59" spans="1:2" hidden="1" x14ac:dyDescent="0.35">
      <c r="A59" s="2" t="s">
        <v>306</v>
      </c>
      <c r="B59" s="2" t="s">
        <v>346</v>
      </c>
    </row>
    <row r="60" spans="1:2" hidden="1" x14ac:dyDescent="0.35">
      <c r="A60" s="2" t="s">
        <v>311</v>
      </c>
      <c r="B60" t="s">
        <v>351</v>
      </c>
    </row>
    <row r="61" spans="1:2" hidden="1" x14ac:dyDescent="0.35">
      <c r="A61" s="7" t="s">
        <v>316</v>
      </c>
      <c r="B61" t="s">
        <v>356</v>
      </c>
    </row>
    <row r="62" spans="1:2" hidden="1" x14ac:dyDescent="0.35">
      <c r="A62" s="2" t="s">
        <v>331</v>
      </c>
    </row>
    <row r="63" spans="1:2" hidden="1" x14ac:dyDescent="0.35">
      <c r="A63" s="2" t="s">
        <v>326</v>
      </c>
    </row>
    <row r="64" spans="1:2" hidden="1" x14ac:dyDescent="0.35">
      <c r="A64" s="2" t="s">
        <v>341</v>
      </c>
    </row>
    <row r="65" spans="1:2" hidden="1" x14ac:dyDescent="0.35">
      <c r="A65" s="2" t="s">
        <v>336</v>
      </c>
    </row>
    <row r="66" spans="1:2" hidden="1" x14ac:dyDescent="0.35">
      <c r="A66" s="2" t="s">
        <v>321</v>
      </c>
    </row>
    <row r="67" spans="1:2" hidden="1" x14ac:dyDescent="0.35">
      <c r="A67" s="2" t="s">
        <v>346</v>
      </c>
    </row>
    <row r="68" spans="1:2" hidden="1" x14ac:dyDescent="0.35">
      <c r="A68" s="2" t="s">
        <v>351</v>
      </c>
    </row>
    <row r="69" spans="1:2" hidden="1" x14ac:dyDescent="0.35">
      <c r="A69" s="2" t="s">
        <v>356</v>
      </c>
    </row>
    <row r="70" spans="1:2" x14ac:dyDescent="0.35">
      <c r="A70" s="7" t="s">
        <v>381</v>
      </c>
      <c r="B70" s="8">
        <f>VLOOKUP(A70,'נתונים גולמיים שאלון התנהגות'!$A$2:$I$107,4,FALSE)</f>
        <v>45842.900706018518</v>
      </c>
    </row>
    <row r="71" spans="1:2" x14ac:dyDescent="0.35">
      <c r="A71" s="7" t="s">
        <v>361</v>
      </c>
      <c r="B71" s="8">
        <f>VLOOKUP(A71,'נתונים גולמיים שאלון התנהגות'!$A$2:$I$107,4,FALSE)</f>
        <v>45842.898726851854</v>
      </c>
    </row>
    <row r="72" spans="1:2" x14ac:dyDescent="0.35">
      <c r="A72" s="2" t="s">
        <v>407</v>
      </c>
      <c r="B72" s="8">
        <f>VLOOKUP(A72,'נתונים גולמיים שאלון התנהגות'!$A$2:$I$107,4,FALSE)</f>
        <v>45842.903055555558</v>
      </c>
    </row>
    <row r="73" spans="1:2" x14ac:dyDescent="0.35">
      <c r="A73" s="2" t="s">
        <v>397</v>
      </c>
      <c r="B73" s="8">
        <f>VLOOKUP(A73,'נתונים גולמיים שאלון התנהגות'!$A$2:$I$107,4,FALSE)</f>
        <v>45842.902013888888</v>
      </c>
    </row>
    <row r="74" spans="1:2" x14ac:dyDescent="0.35">
      <c r="A74" s="2" t="s">
        <v>386</v>
      </c>
      <c r="B74" s="8">
        <f>VLOOKUP(A74,'נתונים גולמיים שאלון התנהגות'!$A$2:$I$107,4,FALSE)</f>
        <v>45842.901446759257</v>
      </c>
    </row>
    <row r="75" spans="1:2" x14ac:dyDescent="0.35">
      <c r="A75" s="2" t="s">
        <v>376</v>
      </c>
      <c r="B75" s="8">
        <f>VLOOKUP(A75,'נתונים גולמיים שאלון התנהגות'!$A$2:$I$107,4,FALSE)</f>
        <v>45842.900393518517</v>
      </c>
    </row>
    <row r="76" spans="1:2" x14ac:dyDescent="0.35">
      <c r="A76" s="2" t="s">
        <v>366</v>
      </c>
      <c r="B76" s="8">
        <f>VLOOKUP(A76,'נתונים גולמיים שאלון התנהגות'!$A$2:$I$107,4,FALSE)</f>
        <v>45842.900011574071</v>
      </c>
    </row>
    <row r="77" spans="1:2" x14ac:dyDescent="0.35">
      <c r="A77" s="2" t="s">
        <v>402</v>
      </c>
      <c r="B77" s="8">
        <f>VLOOKUP(A77,'נתונים גולמיים שאלון התנהגות'!$A$2:$I$107,4,FALSE)</f>
        <v>45842.903043981481</v>
      </c>
    </row>
    <row r="78" spans="1:2" x14ac:dyDescent="0.35">
      <c r="A78" s="2" t="s">
        <v>371</v>
      </c>
      <c r="B78" s="8">
        <f>VLOOKUP(A78,'נתונים גולמיים שאלון התנהגות'!$A$2:$I$107,4,FALSE)</f>
        <v>45842.900254629632</v>
      </c>
    </row>
    <row r="79" spans="1:2" x14ac:dyDescent="0.35">
      <c r="A79" s="2" t="s">
        <v>412</v>
      </c>
      <c r="B79" s="8">
        <f>VLOOKUP(A79,'נתונים גולמיים שאלון התנהגות'!$A$2:$I$107,4,FALSE)</f>
        <v>45842.903078703705</v>
      </c>
    </row>
    <row r="80" spans="1:2" x14ac:dyDescent="0.35">
      <c r="A80" s="2" t="s">
        <v>417</v>
      </c>
      <c r="B80" s="8">
        <f>VLOOKUP(A80,'נתונים גולמיים שאלון התנהגות'!$A$2:$I$107,4,FALSE)</f>
        <v>45842.903252314813</v>
      </c>
    </row>
    <row r="81" spans="1:2" x14ac:dyDescent="0.35">
      <c r="A81" s="2" t="s">
        <v>391</v>
      </c>
      <c r="B81" s="8">
        <f>VLOOKUP(A81,'נתונים גולמיים שאלון התנהגות'!$A$2:$I$107,4,FALSE)</f>
        <v>45842.901446759257</v>
      </c>
    </row>
    <row r="82" spans="1:2" x14ac:dyDescent="0.35">
      <c r="A82" s="2" t="s">
        <v>437</v>
      </c>
      <c r="B82" s="8">
        <f>VLOOKUP(A82,'נתונים גולמיים שאלון התנהגות'!$A$2:$I$107,4,FALSE)</f>
        <v>45842.904780092591</v>
      </c>
    </row>
    <row r="83" spans="1:2" x14ac:dyDescent="0.35">
      <c r="A83" s="2" t="s">
        <v>447</v>
      </c>
      <c r="B83" s="8">
        <f>VLOOKUP(A83,'נתונים גולמיים שאלון התנהגות'!$A$2:$I$107,4,FALSE)</f>
        <v>45842.91615740741</v>
      </c>
    </row>
    <row r="84" spans="1:2" x14ac:dyDescent="0.35">
      <c r="A84" s="2" t="s">
        <v>422</v>
      </c>
      <c r="B84" s="8">
        <f>VLOOKUP(A84,'נתונים גולמיים שאלון התנהגות'!$A$2:$I$107,4,FALSE)</f>
        <v>45842.903854166667</v>
      </c>
    </row>
    <row r="85" spans="1:2" x14ac:dyDescent="0.35">
      <c r="A85" s="2" t="s">
        <v>427</v>
      </c>
      <c r="B85" s="8">
        <f>VLOOKUP(A85,'נתונים גולמיים שאלון התנהגות'!$A$2:$I$107,4,FALSE)</f>
        <v>45842.904675925929</v>
      </c>
    </row>
    <row r="86" spans="1:2" x14ac:dyDescent="0.35">
      <c r="A86" s="2" t="s">
        <v>432</v>
      </c>
      <c r="B86" s="8">
        <f>VLOOKUP(A86,'נתונים גולמיים שאלון התנהגות'!$A$2:$I$107,4,FALSE)</f>
        <v>45842.904710648145</v>
      </c>
    </row>
    <row r="87" spans="1:2" x14ac:dyDescent="0.35">
      <c r="A87" s="2" t="s">
        <v>442</v>
      </c>
      <c r="B87" s="8">
        <f>VLOOKUP(A87,'נתונים גולמיים שאלון התנהגות'!$A$2:$I$107,4,FALSE)</f>
        <v>45842.90902777778</v>
      </c>
    </row>
    <row r="88" spans="1:2" x14ac:dyDescent="0.35">
      <c r="A88" s="2" t="s">
        <v>452</v>
      </c>
      <c r="B88" s="8">
        <f>VLOOKUP(A88,'נתונים גולמיים שאלון התנהגות'!$A$2:$I$107,4,FALSE)</f>
        <v>45842.960590277777</v>
      </c>
    </row>
    <row r="89" spans="1:2" x14ac:dyDescent="0.35">
      <c r="A89" s="2" t="s">
        <v>457</v>
      </c>
      <c r="B89" s="8">
        <f>VLOOKUP(A89,'נתונים גולמיים שאלון התנהגות'!$A$2:$I$107,4,FALSE)</f>
        <v>45843.00885416667</v>
      </c>
    </row>
    <row r="90" spans="1:2" x14ac:dyDescent="0.35">
      <c r="A90" s="2" t="s">
        <v>462</v>
      </c>
      <c r="B90" s="8">
        <f>VLOOKUP(A90,'נתונים גולמיים שאלון התנהגות'!$A$2:$I$107,4,FALSE)</f>
        <v>45843.01289351852</v>
      </c>
    </row>
    <row r="91" spans="1:2" x14ac:dyDescent="0.35">
      <c r="A91" s="2" t="s">
        <v>472</v>
      </c>
      <c r="B91" s="8">
        <f>VLOOKUP(A91,'נתונים גולמיים שאלון התנהגות'!$A$2:$I$107,4,FALSE)</f>
        <v>45940.711099537039</v>
      </c>
    </row>
    <row r="92" spans="1:2" x14ac:dyDescent="0.35">
      <c r="A92" s="2" t="s">
        <v>467</v>
      </c>
      <c r="B92" s="8">
        <f>VLOOKUP(A92,'נתונים גולמיים שאלון התנהגות'!$A$2:$I$107,4,FALSE)</f>
        <v>45940.709710648145</v>
      </c>
    </row>
    <row r="93" spans="1:2" x14ac:dyDescent="0.35">
      <c r="A93" s="2" t="s">
        <v>529</v>
      </c>
      <c r="B93" s="8">
        <f>VLOOKUP(A93,'נתונים גולמיים שאלון התנהגות'!$A$2:$I$107,4,FALSE)</f>
        <v>45940.71638888889</v>
      </c>
    </row>
    <row r="94" spans="1:2" x14ac:dyDescent="0.35">
      <c r="A94" s="2" t="s">
        <v>497</v>
      </c>
      <c r="B94" s="8">
        <f>VLOOKUP(A94,'נתונים גולמיים שאלון התנהגות'!$A$2:$I$107,4,FALSE)</f>
        <v>45940.71298611111</v>
      </c>
    </row>
    <row r="95" spans="1:2" x14ac:dyDescent="0.35">
      <c r="A95" s="2" t="s">
        <v>492</v>
      </c>
      <c r="B95" s="8">
        <f>VLOOKUP(A95,'נתונים גולמיים שאלון התנהגות'!$A$2:$I$107,4,FALSE)</f>
        <v>45940.712696759256</v>
      </c>
    </row>
    <row r="96" spans="1:2" x14ac:dyDescent="0.35">
      <c r="A96" s="2" t="s">
        <v>508</v>
      </c>
      <c r="B96" s="8">
        <f>VLOOKUP(A96,'נתונים גולמיים שאלון התנהגות'!$A$2:$I$107,4,FALSE)</f>
        <v>45940.714699074073</v>
      </c>
    </row>
    <row r="97" spans="1:2" x14ac:dyDescent="0.35">
      <c r="A97" s="2" t="s">
        <v>477</v>
      </c>
      <c r="B97" s="8">
        <f>VLOOKUP(A97,'נתונים גולמיים שאלון התנהגות'!$A$2:$I$107,4,FALSE)</f>
        <v>45940.71197916667</v>
      </c>
    </row>
    <row r="98" spans="1:2" x14ac:dyDescent="0.35">
      <c r="A98" s="2" t="s">
        <v>546</v>
      </c>
      <c r="B98" s="8">
        <f>VLOOKUP(A98,'נתונים גולמיים שאלון התנהגות'!$A$2:$I$107,4,FALSE)</f>
        <v>45940.719826388886</v>
      </c>
    </row>
    <row r="99" spans="1:2" x14ac:dyDescent="0.35">
      <c r="A99" s="2" t="s">
        <v>524</v>
      </c>
      <c r="B99" s="8">
        <f>VLOOKUP(A99,'נתונים גולמיים שאלון התנהגות'!$A$2:$I$107,4,FALSE)</f>
        <v>45940.715891203705</v>
      </c>
    </row>
    <row r="100" spans="1:2" x14ac:dyDescent="0.35">
      <c r="A100" s="2" t="s">
        <v>482</v>
      </c>
      <c r="B100" s="8">
        <f>VLOOKUP(A100,'נתונים גולמיים שאלון התנהגות'!$A$2:$I$107,4,FALSE)</f>
        <v>45940.712199074071</v>
      </c>
    </row>
    <row r="101" spans="1:2" x14ac:dyDescent="0.35">
      <c r="A101" s="2" t="s">
        <v>487</v>
      </c>
      <c r="B101" s="8">
        <f>VLOOKUP(A101,'נתונים גולמיים שאלון התנהגות'!$A$2:$I$107,4,FALSE)</f>
        <v>45940.712314814817</v>
      </c>
    </row>
    <row r="102" spans="1:2" x14ac:dyDescent="0.35">
      <c r="A102" s="2" t="s">
        <v>536</v>
      </c>
      <c r="B102" s="8">
        <f>VLOOKUP(A102,'נתונים גולמיים שאלון התנהגות'!$A$2:$I$107,4,FALSE)</f>
        <v>45940.71707175926</v>
      </c>
    </row>
    <row r="103" spans="1:2" x14ac:dyDescent="0.35">
      <c r="A103" s="2" t="s">
        <v>513</v>
      </c>
      <c r="B103" s="8">
        <f>VLOOKUP(A103,'נתונים גולמיים שאלון התנהגות'!$A$2:$I$107,4,FALSE)</f>
        <v>45940.715289351851</v>
      </c>
    </row>
    <row r="104" spans="1:2" x14ac:dyDescent="0.35">
      <c r="A104" s="2" t="s">
        <v>556</v>
      </c>
      <c r="B104" s="8">
        <f>VLOOKUP(A104,'נתונים גולמיים שאלון התנהגות'!$A$2:$I$107,4,FALSE)</f>
        <v>45940.721770833334</v>
      </c>
    </row>
    <row r="105" spans="1:2" x14ac:dyDescent="0.35">
      <c r="A105" s="2" t="s">
        <v>503</v>
      </c>
      <c r="B105" s="8">
        <f>VLOOKUP(A105,'נתונים גולמיים שאלון התנהגות'!$A$2:$I$107,4,FALSE)</f>
        <v>45940.713391203702</v>
      </c>
    </row>
    <row r="106" spans="1:2" x14ac:dyDescent="0.35">
      <c r="A106" s="2" t="s">
        <v>561</v>
      </c>
      <c r="B106" s="8">
        <f>VLOOKUP(A106,'נתונים גולמיים שאלון התנהגות'!$A$2:$I$107,4,FALSE)</f>
        <v>45940.72252314815</v>
      </c>
    </row>
    <row r="107" spans="1:2" x14ac:dyDescent="0.35">
      <c r="A107" s="2" t="s">
        <v>518</v>
      </c>
      <c r="B107" s="8">
        <f>VLOOKUP(A107,'נתונים גולמיים שאלון התנהגות'!$A$2:$I$107,4,FALSE)</f>
        <v>45940.715833333335</v>
      </c>
    </row>
    <row r="108" spans="1:2" x14ac:dyDescent="0.35">
      <c r="A108" s="2" t="s">
        <v>541</v>
      </c>
      <c r="B108" s="8">
        <f>VLOOKUP(A108,'נתונים גולמיים שאלון התנהגות'!$A$2:$I$107,4,FALSE)</f>
        <v>45940.717650462961</v>
      </c>
    </row>
    <row r="109" spans="1:2" x14ac:dyDescent="0.35">
      <c r="A109" s="2" t="s">
        <v>551</v>
      </c>
      <c r="B109" s="8">
        <f>VLOOKUP(A109,'נתונים גולמיים שאלון התנהגות'!$A$2:$I$107,4,FALSE)</f>
        <v>45940.720567129632</v>
      </c>
    </row>
    <row r="110" spans="1:2" x14ac:dyDescent="0.35">
      <c r="A110" s="2" t="s">
        <v>576</v>
      </c>
      <c r="B110" s="8">
        <f>VLOOKUP(A110,'נתונים גולמיים שאלון התנהגות'!$A$2:$I$107,4,FALSE)</f>
        <v>45941.507905092592</v>
      </c>
    </row>
    <row r="111" spans="1:2" x14ac:dyDescent="0.35">
      <c r="A111" s="2" t="s">
        <v>571</v>
      </c>
      <c r="B111" s="8">
        <f>VLOOKUP(A111,'נתונים גולמיים שאלון התנהגות'!$A$2:$I$107,4,FALSE)</f>
        <v>45941.507581018515</v>
      </c>
    </row>
    <row r="112" spans="1:2" x14ac:dyDescent="0.35">
      <c r="A112" s="2" t="s">
        <v>587</v>
      </c>
      <c r="B112" s="8">
        <f>VLOOKUP(A112,'נתונים גולמיים שאלון התנהגות'!$A$2:$I$107,4,FALSE)</f>
        <v>45941.517685185187</v>
      </c>
    </row>
    <row r="113" spans="1:2" x14ac:dyDescent="0.35">
      <c r="A113" s="2" t="s">
        <v>566</v>
      </c>
      <c r="B113" s="8">
        <f>VLOOKUP(A113,'נתונים גולמיים שאלון התנהגות'!$A$2:$I$107,4,FALSE)</f>
        <v>45941.506898148145</v>
      </c>
    </row>
    <row r="114" spans="1:2" x14ac:dyDescent="0.35">
      <c r="A114" s="2" t="s">
        <v>581</v>
      </c>
      <c r="B114" s="8">
        <f>VLOOKUP(A114,'נתונים גולמיים שאלון התנהגות'!$A$2:$I$107,4,FALSE)</f>
        <v>45941.509004629632</v>
      </c>
    </row>
  </sheetData>
  <autoFilter ref="A1:B114" xr:uid="{98E04C31-02DB-41EF-A9E4-2A91329519C6}">
    <filterColumn colId="0">
      <colorFilter dxfId="29"/>
    </filterColumn>
    <sortState xmlns:xlrd2="http://schemas.microsoft.com/office/spreadsheetml/2017/richdata2" ref="A2:B114">
      <sortCondition sortBy="cellColor" ref="A1:A114" dxfId="30"/>
    </sortState>
  </autoFilter>
  <conditionalFormatting sqref="A2:B114">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EFB9-9751-476B-AE14-55BE19CC9E10}">
  <sheetPr codeName="Worksheet______1">
    <tabColor theme="4" tint="0.39997558519241921"/>
  </sheetPr>
  <dimension ref="A1:U136"/>
  <sheetViews>
    <sheetView workbookViewId="0">
      <pane xSplit="1" ySplit="3" topLeftCell="C4" activePane="bottomRight" state="frozen"/>
      <selection pane="topRight" activeCell="B1" sqref="B1"/>
      <selection pane="bottomLeft" activeCell="A4" sqref="A4"/>
      <selection pane="bottomRight" activeCell="R4" sqref="R4"/>
    </sheetView>
  </sheetViews>
  <sheetFormatPr defaultRowHeight="14.5" x14ac:dyDescent="0.35"/>
  <cols>
    <col min="1" max="1" width="3.81640625" style="5" bestFit="1" customWidth="1"/>
    <col min="2" max="2" width="9.54296875" customWidth="1"/>
    <col min="3" max="12" width="7.1796875" customWidth="1"/>
    <col min="13" max="13" width="5.6328125" style="5" customWidth="1"/>
    <col min="14" max="14" width="5.54296875" style="5" customWidth="1"/>
    <col min="15" max="15" width="18.453125" style="5" customWidth="1"/>
    <col min="16" max="16" width="18.453125" style="5" bestFit="1" customWidth="1"/>
    <col min="17" max="17" width="18.1796875" bestFit="1" customWidth="1"/>
    <col min="18" max="18" width="18.1796875" customWidth="1"/>
    <col min="19" max="19" width="6.90625" customWidth="1"/>
    <col min="20" max="20" width="5.26953125" customWidth="1"/>
    <col min="21" max="21" width="6.54296875" customWidth="1"/>
  </cols>
  <sheetData>
    <row r="1" spans="1:21" s="23" customFormat="1" x14ac:dyDescent="0.35">
      <c r="A1" s="50"/>
      <c r="B1" s="5">
        <v>2</v>
      </c>
      <c r="C1" s="5">
        <v>6</v>
      </c>
      <c r="D1" s="5">
        <v>21</v>
      </c>
      <c r="E1" s="5">
        <v>26</v>
      </c>
      <c r="F1" s="5">
        <v>27</v>
      </c>
      <c r="G1" s="5">
        <v>32</v>
      </c>
      <c r="H1" s="5">
        <v>37</v>
      </c>
      <c r="I1" s="5">
        <v>42</v>
      </c>
      <c r="J1" s="5">
        <v>48</v>
      </c>
      <c r="K1" s="5">
        <v>50</v>
      </c>
      <c r="L1" s="5">
        <v>56</v>
      </c>
      <c r="M1" s="5">
        <v>59</v>
      </c>
    </row>
    <row r="2" spans="1:21" x14ac:dyDescent="0.35">
      <c r="A2" s="50"/>
      <c r="B2" s="6" t="s">
        <v>590</v>
      </c>
      <c r="C2" s="6" t="s">
        <v>590</v>
      </c>
      <c r="D2" s="6" t="s">
        <v>598</v>
      </c>
      <c r="E2" s="6" t="s">
        <v>598</v>
      </c>
      <c r="F2" s="6" t="s">
        <v>590</v>
      </c>
      <c r="G2" s="6" t="s">
        <v>590</v>
      </c>
      <c r="H2" s="6" t="s">
        <v>590</v>
      </c>
      <c r="I2" s="6" t="s">
        <v>590</v>
      </c>
      <c r="J2" s="6" t="s">
        <v>590</v>
      </c>
      <c r="K2" s="6" t="s">
        <v>590</v>
      </c>
      <c r="L2" s="6" t="s">
        <v>598</v>
      </c>
      <c r="M2" s="6" t="s">
        <v>590</v>
      </c>
      <c r="N2" s="11"/>
      <c r="Q2" s="5"/>
      <c r="R2" s="5"/>
    </row>
    <row r="3" spans="1:21" ht="31.5" customHeight="1" x14ac:dyDescent="0.35">
      <c r="A3" s="51" t="s">
        <v>599</v>
      </c>
      <c r="B3" s="45" t="s">
        <v>712</v>
      </c>
      <c r="C3" s="45" t="s">
        <v>713</v>
      </c>
      <c r="D3" s="46" t="s">
        <v>714</v>
      </c>
      <c r="E3" s="46" t="s">
        <v>715</v>
      </c>
      <c r="F3" s="45" t="s">
        <v>716</v>
      </c>
      <c r="G3" s="45" t="s">
        <v>717</v>
      </c>
      <c r="H3" s="45" t="s">
        <v>718</v>
      </c>
      <c r="I3" s="45" t="s">
        <v>719</v>
      </c>
      <c r="J3" s="45" t="s">
        <v>720</v>
      </c>
      <c r="K3" s="45" t="s">
        <v>721</v>
      </c>
      <c r="L3" s="46" t="s">
        <v>722</v>
      </c>
      <c r="M3" s="45" t="s">
        <v>723</v>
      </c>
      <c r="N3" s="47" t="s">
        <v>710</v>
      </c>
      <c r="O3" s="22" t="s">
        <v>965</v>
      </c>
      <c r="P3" s="22" t="s">
        <v>966</v>
      </c>
      <c r="Q3" s="22" t="s">
        <v>964</v>
      </c>
      <c r="R3" s="22" t="s">
        <v>967</v>
      </c>
    </row>
    <row r="4" spans="1:21" x14ac:dyDescent="0.35">
      <c r="A4" s="5">
        <v>1</v>
      </c>
      <c r="B4" s="5">
        <v>5</v>
      </c>
      <c r="C4" s="5">
        <v>4</v>
      </c>
      <c r="D4" s="5">
        <v>5</v>
      </c>
      <c r="E4" s="5">
        <v>3</v>
      </c>
      <c r="F4" s="5">
        <v>3</v>
      </c>
      <c r="G4" s="5">
        <v>4</v>
      </c>
      <c r="H4" s="5">
        <v>4</v>
      </c>
      <c r="I4" s="5">
        <v>4</v>
      </c>
      <c r="J4" s="5">
        <v>5</v>
      </c>
      <c r="K4" s="5">
        <v>5</v>
      </c>
      <c r="L4" s="5">
        <v>5</v>
      </c>
      <c r="M4" s="5">
        <v>5</v>
      </c>
      <c r="N4" s="16">
        <f t="shared" ref="N4:N35" si="0">AVERAGE(B4:M4)</f>
        <v>4.333333333333333</v>
      </c>
      <c r="O4" s="5" t="str">
        <f t="shared" ref="O4:O35" si="1">_xlfn.SWITCH(TRUE, N4&lt;=$S$11, "Low", N4&gt;=$S$12, "High", "Moderate")</f>
        <v>High</v>
      </c>
      <c r="P4" s="5" t="str" cm="1">
        <f t="array" ref="P4">_xlfn.SWITCH(TRUE, N4&gt;=3.5, "High", N4&gt;=2.5, "Moderate", "Low")</f>
        <v>High</v>
      </c>
      <c r="Q4" s="5" t="str">
        <f t="shared" ref="Q4:Q35" si="2">_xlfn.SWITCH(TRUE, N4&lt;=$S$13, "Low", "High")</f>
        <v>High</v>
      </c>
      <c r="R4" s="5" t="str" cm="1">
        <f t="array" ref="R4">_xlfn.SWITCH(TRUE, N4&gt;=3, "High", "Low")</f>
        <v>High</v>
      </c>
    </row>
    <row r="5" spans="1:21" x14ac:dyDescent="0.35">
      <c r="A5" s="5">
        <v>2</v>
      </c>
      <c r="B5" s="5">
        <v>5</v>
      </c>
      <c r="C5" s="5">
        <v>5</v>
      </c>
      <c r="D5" s="5">
        <v>5</v>
      </c>
      <c r="E5" s="5">
        <v>5</v>
      </c>
      <c r="F5" s="5">
        <v>3</v>
      </c>
      <c r="G5" s="5">
        <v>5</v>
      </c>
      <c r="H5" s="5">
        <v>4</v>
      </c>
      <c r="I5" s="5">
        <v>5</v>
      </c>
      <c r="J5" s="5">
        <v>4</v>
      </c>
      <c r="K5" s="5">
        <v>5</v>
      </c>
      <c r="L5" s="5">
        <v>5</v>
      </c>
      <c r="M5" s="5">
        <v>5</v>
      </c>
      <c r="N5" s="16">
        <f t="shared" si="0"/>
        <v>4.666666666666667</v>
      </c>
      <c r="O5" s="5" t="str">
        <f t="shared" si="1"/>
        <v>High</v>
      </c>
      <c r="P5" s="5" t="str" cm="1">
        <f t="array" ref="P5">_xlfn.SWITCH(TRUE, N5&gt;=3.5, "High", N5&gt;=2.5, "Moderate", "Low")</f>
        <v>High</v>
      </c>
      <c r="Q5" s="5" t="str">
        <f t="shared" si="2"/>
        <v>High</v>
      </c>
      <c r="R5" s="5" t="str" cm="1">
        <f t="array" ref="R5">_xlfn.SWITCH(TRUE, N5&gt;=3, "High", "Low")</f>
        <v>High</v>
      </c>
    </row>
    <row r="6" spans="1:21" x14ac:dyDescent="0.35">
      <c r="A6" s="5">
        <v>3</v>
      </c>
      <c r="B6" s="5">
        <v>5</v>
      </c>
      <c r="C6" s="5">
        <v>2</v>
      </c>
      <c r="D6" s="5">
        <v>5</v>
      </c>
      <c r="E6" s="5">
        <v>5</v>
      </c>
      <c r="F6" s="5">
        <v>3</v>
      </c>
      <c r="G6" s="5">
        <v>4</v>
      </c>
      <c r="H6" s="5">
        <v>4</v>
      </c>
      <c r="I6" s="5">
        <v>4</v>
      </c>
      <c r="J6" s="5">
        <v>5</v>
      </c>
      <c r="K6" s="5">
        <v>4</v>
      </c>
      <c r="L6" s="5">
        <v>4</v>
      </c>
      <c r="M6" s="5">
        <v>3</v>
      </c>
      <c r="N6" s="16">
        <f t="shared" si="0"/>
        <v>4</v>
      </c>
      <c r="O6" s="5" t="str">
        <f t="shared" si="1"/>
        <v>Moderate</v>
      </c>
      <c r="P6" s="5" t="str" cm="1">
        <f t="array" ref="P6">_xlfn.SWITCH(TRUE, N6&gt;=3.5, "High", N6&gt;=2.5, "Moderate", "Low")</f>
        <v>High</v>
      </c>
      <c r="Q6" s="5" t="str">
        <f t="shared" si="2"/>
        <v>Low</v>
      </c>
      <c r="R6" s="5" t="str" cm="1">
        <f t="array" ref="R6">_xlfn.SWITCH(TRUE, N6&gt;=3, "High", "Low")</f>
        <v>High</v>
      </c>
    </row>
    <row r="7" spans="1:21" x14ac:dyDescent="0.35">
      <c r="A7" s="5">
        <v>4</v>
      </c>
      <c r="B7" s="5">
        <v>4</v>
      </c>
      <c r="C7" s="5">
        <v>5</v>
      </c>
      <c r="D7" s="5">
        <v>5</v>
      </c>
      <c r="E7" s="5">
        <v>5</v>
      </c>
      <c r="F7" s="5">
        <v>3</v>
      </c>
      <c r="G7" s="5">
        <v>5</v>
      </c>
      <c r="H7" s="5">
        <v>4</v>
      </c>
      <c r="I7" s="5">
        <v>5</v>
      </c>
      <c r="J7" s="5">
        <v>1</v>
      </c>
      <c r="K7" s="5">
        <v>4</v>
      </c>
      <c r="L7" s="5">
        <v>5</v>
      </c>
      <c r="M7" s="5">
        <v>5</v>
      </c>
      <c r="N7" s="16">
        <f t="shared" si="0"/>
        <v>4.25</v>
      </c>
      <c r="O7" s="5" t="str">
        <f t="shared" si="1"/>
        <v>Moderate</v>
      </c>
      <c r="P7" s="5" t="str" cm="1">
        <f t="array" ref="P7">_xlfn.SWITCH(TRUE, N7&gt;=3.5, "High", N7&gt;=2.5, "Moderate", "Low")</f>
        <v>High</v>
      </c>
      <c r="Q7" s="5" t="str">
        <f t="shared" si="2"/>
        <v>High</v>
      </c>
      <c r="R7" s="5" t="str" cm="1">
        <f t="array" ref="R7">_xlfn.SWITCH(TRUE, N7&gt;=3, "High", "Low")</f>
        <v>High</v>
      </c>
    </row>
    <row r="8" spans="1:21" x14ac:dyDescent="0.35">
      <c r="A8" s="5">
        <v>5</v>
      </c>
      <c r="B8" s="5">
        <v>5</v>
      </c>
      <c r="C8" s="5">
        <v>5</v>
      </c>
      <c r="D8" s="5">
        <v>5</v>
      </c>
      <c r="E8" s="5">
        <v>5</v>
      </c>
      <c r="F8" s="5">
        <v>3</v>
      </c>
      <c r="G8" s="5">
        <v>4</v>
      </c>
      <c r="H8" s="5">
        <v>5</v>
      </c>
      <c r="I8" s="5">
        <v>5</v>
      </c>
      <c r="J8" s="5">
        <v>5</v>
      </c>
      <c r="K8" s="5">
        <v>5</v>
      </c>
      <c r="L8" s="5">
        <v>5</v>
      </c>
      <c r="M8" s="5">
        <v>5</v>
      </c>
      <c r="N8" s="16">
        <f t="shared" si="0"/>
        <v>4.75</v>
      </c>
      <c r="O8" s="5" t="str">
        <f t="shared" si="1"/>
        <v>High</v>
      </c>
      <c r="P8" s="5" t="str" cm="1">
        <f t="array" ref="P8">_xlfn.SWITCH(TRUE, N8&gt;=3.5, "High", N8&gt;=2.5, "Moderate", "Low")</f>
        <v>High</v>
      </c>
      <c r="Q8" s="5" t="str">
        <f t="shared" si="2"/>
        <v>High</v>
      </c>
      <c r="R8" s="5" t="str" cm="1">
        <f t="array" ref="R8">_xlfn.SWITCH(TRUE, N8&gt;=3, "High", "Low")</f>
        <v>High</v>
      </c>
    </row>
    <row r="9" spans="1:21" x14ac:dyDescent="0.35">
      <c r="A9" s="5">
        <v>6</v>
      </c>
      <c r="B9" s="5">
        <v>4</v>
      </c>
      <c r="C9" s="5">
        <v>4</v>
      </c>
      <c r="D9" s="5">
        <v>4</v>
      </c>
      <c r="E9" s="5">
        <v>3</v>
      </c>
      <c r="F9" s="5">
        <v>4</v>
      </c>
      <c r="G9" s="5">
        <v>4</v>
      </c>
      <c r="H9" s="5">
        <v>4</v>
      </c>
      <c r="I9" s="5">
        <v>4</v>
      </c>
      <c r="J9" s="5">
        <v>4</v>
      </c>
      <c r="K9" s="5">
        <v>4</v>
      </c>
      <c r="L9" s="5">
        <v>4</v>
      </c>
      <c r="M9" s="5">
        <v>4</v>
      </c>
      <c r="N9" s="16">
        <f t="shared" si="0"/>
        <v>3.9166666666666665</v>
      </c>
      <c r="O9" s="5" t="str">
        <f t="shared" si="1"/>
        <v>Moderate</v>
      </c>
      <c r="P9" s="5" t="str" cm="1">
        <f t="array" ref="P9">_xlfn.SWITCH(TRUE, N9&gt;=3.5, "High", N9&gt;=2.5, "Moderate", "Low")</f>
        <v>High</v>
      </c>
      <c r="Q9" s="5" t="str">
        <f t="shared" si="2"/>
        <v>Low</v>
      </c>
      <c r="R9" s="5" t="str" cm="1">
        <f t="array" ref="R9">_xlfn.SWITCH(TRUE, N9&gt;=3, "High", "Low")</f>
        <v>High</v>
      </c>
    </row>
    <row r="10" spans="1:21" x14ac:dyDescent="0.35">
      <c r="A10" s="5">
        <v>7</v>
      </c>
      <c r="B10" s="5">
        <v>2</v>
      </c>
      <c r="C10" s="5">
        <v>4</v>
      </c>
      <c r="D10" s="5">
        <v>4</v>
      </c>
      <c r="E10" s="5">
        <v>4</v>
      </c>
      <c r="F10" s="5">
        <v>2</v>
      </c>
      <c r="G10" s="5">
        <v>2</v>
      </c>
      <c r="H10" s="5">
        <v>2</v>
      </c>
      <c r="I10" s="5">
        <v>3</v>
      </c>
      <c r="J10" s="5">
        <v>2</v>
      </c>
      <c r="K10" s="5">
        <v>3</v>
      </c>
      <c r="L10" s="5">
        <v>2</v>
      </c>
      <c r="M10" s="5">
        <v>3</v>
      </c>
      <c r="N10" s="16">
        <f t="shared" si="0"/>
        <v>2.75</v>
      </c>
      <c r="O10" s="5" t="str">
        <f t="shared" si="1"/>
        <v>Low</v>
      </c>
      <c r="P10" s="5" t="str" cm="1">
        <f t="array" ref="P10">_xlfn.SWITCH(TRUE, N10&gt;=3.5, "High", N10&gt;=2.5, "Moderate", "Low")</f>
        <v>Moderate</v>
      </c>
      <c r="Q10" s="5" t="str">
        <f t="shared" si="2"/>
        <v>Low</v>
      </c>
      <c r="R10" s="5" t="str" cm="1">
        <f t="array" ref="R10">_xlfn.SWITCH(TRUE, N10&gt;=3, "High", "Low")</f>
        <v>Low</v>
      </c>
      <c r="S10" s="52" t="s">
        <v>709</v>
      </c>
      <c r="T10" s="52"/>
      <c r="U10" s="5"/>
    </row>
    <row r="11" spans="1:21" x14ac:dyDescent="0.35">
      <c r="A11" s="5">
        <v>8</v>
      </c>
      <c r="B11" s="5">
        <v>3</v>
      </c>
      <c r="C11" s="5">
        <v>3</v>
      </c>
      <c r="D11" s="5">
        <v>2</v>
      </c>
      <c r="E11" s="5">
        <v>3</v>
      </c>
      <c r="F11" s="5">
        <v>3</v>
      </c>
      <c r="G11" s="5">
        <v>4</v>
      </c>
      <c r="H11" s="5">
        <v>2</v>
      </c>
      <c r="I11" s="5">
        <v>2</v>
      </c>
      <c r="J11" s="5">
        <v>2</v>
      </c>
      <c r="K11" s="5">
        <v>4</v>
      </c>
      <c r="L11" s="5">
        <v>3</v>
      </c>
      <c r="M11" s="5">
        <v>3</v>
      </c>
      <c r="N11" s="16">
        <f t="shared" si="0"/>
        <v>2.8333333333333335</v>
      </c>
      <c r="O11" s="5" t="str">
        <f t="shared" si="1"/>
        <v>Low</v>
      </c>
      <c r="P11" s="5" t="str" cm="1">
        <f t="array" ref="P11">_xlfn.SWITCH(TRUE, N11&gt;=3.5, "High", N11&gt;=2.5, "Moderate", "Low")</f>
        <v>Moderate</v>
      </c>
      <c r="Q11" s="5" t="str">
        <f t="shared" si="2"/>
        <v>Low</v>
      </c>
      <c r="R11" s="5" t="str" cm="1">
        <f t="array" ref="R11">_xlfn.SWITCH(TRUE, N11&gt;=3, "High", "Low")</f>
        <v>Low</v>
      </c>
      <c r="S11" s="17">
        <f>_xlfn.PERCENTILE.EXC($N$4:$N$136, T11)</f>
        <v>3.6666666666666665</v>
      </c>
      <c r="T11" s="9">
        <v>0.33333333333333331</v>
      </c>
      <c r="U11" s="5"/>
    </row>
    <row r="12" spans="1:21" x14ac:dyDescent="0.35">
      <c r="A12" s="5">
        <v>9</v>
      </c>
      <c r="B12" s="5">
        <v>5</v>
      </c>
      <c r="C12" s="5">
        <v>5</v>
      </c>
      <c r="D12" s="5">
        <v>5</v>
      </c>
      <c r="E12" s="5">
        <v>2</v>
      </c>
      <c r="F12" s="5">
        <v>5</v>
      </c>
      <c r="G12" s="5">
        <v>2</v>
      </c>
      <c r="H12" s="5">
        <v>5</v>
      </c>
      <c r="I12" s="5">
        <v>5</v>
      </c>
      <c r="J12" s="5">
        <v>4</v>
      </c>
      <c r="K12" s="5">
        <v>5</v>
      </c>
      <c r="L12" s="5">
        <v>5</v>
      </c>
      <c r="M12" s="5">
        <v>5</v>
      </c>
      <c r="N12" s="16">
        <f t="shared" si="0"/>
        <v>4.416666666666667</v>
      </c>
      <c r="O12" s="5" t="str">
        <f t="shared" si="1"/>
        <v>High</v>
      </c>
      <c r="P12" s="5" t="str" cm="1">
        <f t="array" ref="P12">_xlfn.SWITCH(TRUE, N12&gt;=3.5, "High", N12&gt;=2.5, "Moderate", "Low")</f>
        <v>High</v>
      </c>
      <c r="Q12" s="5" t="str">
        <f t="shared" si="2"/>
        <v>High</v>
      </c>
      <c r="R12" s="5" t="str" cm="1">
        <f t="array" ref="R12">_xlfn.SWITCH(TRUE, N12&gt;=3, "High", "Low")</f>
        <v>High</v>
      </c>
      <c r="S12" s="17">
        <f>_xlfn.PERCENTILE.EXC($N$4:$N$136, T12)</f>
        <v>4.333333333333333</v>
      </c>
      <c r="T12" s="9">
        <v>0.66666666666666663</v>
      </c>
      <c r="U12" s="5"/>
    </row>
    <row r="13" spans="1:21" x14ac:dyDescent="0.35">
      <c r="A13" s="5">
        <v>10</v>
      </c>
      <c r="B13" s="5">
        <v>5</v>
      </c>
      <c r="C13" s="5">
        <v>4</v>
      </c>
      <c r="D13" s="5">
        <v>5</v>
      </c>
      <c r="E13" s="5">
        <v>5</v>
      </c>
      <c r="F13" s="5">
        <v>5</v>
      </c>
      <c r="G13" s="5">
        <v>4</v>
      </c>
      <c r="H13" s="5">
        <v>5</v>
      </c>
      <c r="I13" s="5">
        <v>5</v>
      </c>
      <c r="J13" s="5">
        <v>4</v>
      </c>
      <c r="K13" s="5">
        <v>5</v>
      </c>
      <c r="L13" s="5">
        <v>5</v>
      </c>
      <c r="M13" s="5">
        <v>5</v>
      </c>
      <c r="N13" s="16">
        <f t="shared" si="0"/>
        <v>4.75</v>
      </c>
      <c r="O13" s="5" t="str">
        <f t="shared" si="1"/>
        <v>High</v>
      </c>
      <c r="P13" s="5" t="str" cm="1">
        <f t="array" ref="P13">_xlfn.SWITCH(TRUE, N13&gt;=3.5, "High", N13&gt;=2.5, "Moderate", "Low")</f>
        <v>High</v>
      </c>
      <c r="Q13" s="5" t="str">
        <f t="shared" si="2"/>
        <v>High</v>
      </c>
      <c r="R13" s="5" t="str" cm="1">
        <f t="array" ref="R13">_xlfn.SWITCH(TRUE, N13&gt;=3, "High", "Low")</f>
        <v>High</v>
      </c>
      <c r="S13" s="10">
        <f>_xlfn.PERCENTILE.EXC($N$4:$N$136, T13)</f>
        <v>4</v>
      </c>
      <c r="T13" s="9">
        <v>0.5</v>
      </c>
    </row>
    <row r="14" spans="1:21" x14ac:dyDescent="0.35">
      <c r="A14" s="5">
        <v>11</v>
      </c>
      <c r="B14" s="5">
        <v>4</v>
      </c>
      <c r="C14" s="5">
        <v>4</v>
      </c>
      <c r="D14" s="5">
        <v>5</v>
      </c>
      <c r="E14" s="5">
        <v>5</v>
      </c>
      <c r="F14" s="5">
        <v>4</v>
      </c>
      <c r="G14" s="5">
        <v>5</v>
      </c>
      <c r="H14" s="5">
        <v>3</v>
      </c>
      <c r="I14" s="5">
        <v>4</v>
      </c>
      <c r="J14" s="5">
        <v>5</v>
      </c>
      <c r="K14" s="5">
        <v>5</v>
      </c>
      <c r="L14" s="5">
        <v>5</v>
      </c>
      <c r="M14" s="5">
        <v>4</v>
      </c>
      <c r="N14" s="16">
        <f t="shared" si="0"/>
        <v>4.416666666666667</v>
      </c>
      <c r="O14" s="5" t="str">
        <f t="shared" si="1"/>
        <v>High</v>
      </c>
      <c r="P14" s="5" t="str" cm="1">
        <f t="array" ref="P14">_xlfn.SWITCH(TRUE, N14&gt;=3.5, "High", N14&gt;=2.5, "Moderate", "Low")</f>
        <v>High</v>
      </c>
      <c r="Q14" s="5" t="str">
        <f t="shared" si="2"/>
        <v>High</v>
      </c>
      <c r="R14" s="5" t="str" cm="1">
        <f t="array" ref="R14">_xlfn.SWITCH(TRUE, N14&gt;=3, "High", "Low")</f>
        <v>High</v>
      </c>
    </row>
    <row r="15" spans="1:21" x14ac:dyDescent="0.35">
      <c r="A15" s="5">
        <v>12</v>
      </c>
      <c r="B15" s="5">
        <v>4</v>
      </c>
      <c r="C15" s="5">
        <v>5</v>
      </c>
      <c r="D15" s="5">
        <v>4</v>
      </c>
      <c r="E15" s="5">
        <v>3</v>
      </c>
      <c r="F15" s="5">
        <v>3</v>
      </c>
      <c r="G15" s="5">
        <v>4</v>
      </c>
      <c r="H15" s="5">
        <v>4</v>
      </c>
      <c r="I15" s="5">
        <v>4</v>
      </c>
      <c r="J15" s="5">
        <v>4</v>
      </c>
      <c r="K15" s="5">
        <v>4</v>
      </c>
      <c r="L15" s="5">
        <v>3</v>
      </c>
      <c r="M15" s="5">
        <v>4</v>
      </c>
      <c r="N15" s="16">
        <f t="shared" si="0"/>
        <v>3.8333333333333335</v>
      </c>
      <c r="O15" s="5" t="str">
        <f t="shared" si="1"/>
        <v>Moderate</v>
      </c>
      <c r="P15" s="5" t="str" cm="1">
        <f t="array" ref="P15">_xlfn.SWITCH(TRUE, N15&gt;=3.5, "High", N15&gt;=2.5, "Moderate", "Low")</f>
        <v>High</v>
      </c>
      <c r="Q15" s="5" t="str">
        <f t="shared" si="2"/>
        <v>Low</v>
      </c>
      <c r="R15" s="5" t="str" cm="1">
        <f t="array" ref="R15">_xlfn.SWITCH(TRUE, N15&gt;=3, "High", "Low")</f>
        <v>High</v>
      </c>
    </row>
    <row r="16" spans="1:21" x14ac:dyDescent="0.35">
      <c r="A16" s="5">
        <v>13</v>
      </c>
      <c r="B16" s="5">
        <v>3</v>
      </c>
      <c r="C16" s="5">
        <v>5</v>
      </c>
      <c r="D16" s="5">
        <v>5</v>
      </c>
      <c r="E16" s="5">
        <v>4</v>
      </c>
      <c r="F16" s="5">
        <v>3</v>
      </c>
      <c r="G16" s="5">
        <v>3</v>
      </c>
      <c r="H16" s="5">
        <v>4</v>
      </c>
      <c r="I16" s="5">
        <v>5</v>
      </c>
      <c r="J16" s="5">
        <v>4</v>
      </c>
      <c r="K16" s="5">
        <v>5</v>
      </c>
      <c r="L16" s="5">
        <v>4</v>
      </c>
      <c r="M16" s="5">
        <v>4</v>
      </c>
      <c r="N16" s="16">
        <f t="shared" si="0"/>
        <v>4.083333333333333</v>
      </c>
      <c r="O16" s="5" t="str">
        <f t="shared" si="1"/>
        <v>Moderate</v>
      </c>
      <c r="P16" s="5" t="str" cm="1">
        <f t="array" ref="P16">_xlfn.SWITCH(TRUE, N16&gt;=3.5, "High", N16&gt;=2.5, "Moderate", "Low")</f>
        <v>High</v>
      </c>
      <c r="Q16" s="5" t="str">
        <f t="shared" si="2"/>
        <v>High</v>
      </c>
      <c r="R16" s="5" t="str" cm="1">
        <f t="array" ref="R16">_xlfn.SWITCH(TRUE, N16&gt;=3, "High", "Low")</f>
        <v>High</v>
      </c>
    </row>
    <row r="17" spans="1:18" x14ac:dyDescent="0.35">
      <c r="A17" s="5">
        <v>14</v>
      </c>
      <c r="B17" s="5">
        <v>3</v>
      </c>
      <c r="C17" s="5">
        <v>4</v>
      </c>
      <c r="D17" s="5">
        <v>5</v>
      </c>
      <c r="E17" s="5">
        <v>5</v>
      </c>
      <c r="F17" s="5">
        <v>5</v>
      </c>
      <c r="G17" s="5">
        <v>4</v>
      </c>
      <c r="H17" s="5">
        <v>4</v>
      </c>
      <c r="I17" s="5">
        <v>2</v>
      </c>
      <c r="J17" s="5">
        <v>1</v>
      </c>
      <c r="K17" s="5">
        <v>4</v>
      </c>
      <c r="L17" s="5">
        <v>3</v>
      </c>
      <c r="M17" s="5">
        <v>3</v>
      </c>
      <c r="N17" s="16">
        <f t="shared" si="0"/>
        <v>3.5833333333333335</v>
      </c>
      <c r="O17" s="5" t="str">
        <f t="shared" si="1"/>
        <v>Low</v>
      </c>
      <c r="P17" s="5" t="str" cm="1">
        <f t="array" ref="P17">_xlfn.SWITCH(TRUE, N17&gt;=3.5, "High", N17&gt;=2.5, "Moderate", "Low")</f>
        <v>High</v>
      </c>
      <c r="Q17" s="5" t="str">
        <f t="shared" si="2"/>
        <v>Low</v>
      </c>
      <c r="R17" s="5" t="str" cm="1">
        <f t="array" ref="R17">_xlfn.SWITCH(TRUE, N17&gt;=3, "High", "Low")</f>
        <v>High</v>
      </c>
    </row>
    <row r="18" spans="1:18" x14ac:dyDescent="0.35">
      <c r="A18" s="5">
        <v>15</v>
      </c>
      <c r="B18" s="5">
        <v>5</v>
      </c>
      <c r="C18" s="5">
        <v>4</v>
      </c>
      <c r="D18" s="5">
        <v>5</v>
      </c>
      <c r="E18" s="5">
        <v>5</v>
      </c>
      <c r="F18" s="5">
        <v>3</v>
      </c>
      <c r="G18" s="5">
        <v>3</v>
      </c>
      <c r="H18" s="5">
        <v>4</v>
      </c>
      <c r="I18" s="5">
        <v>3</v>
      </c>
      <c r="J18" s="5">
        <v>2</v>
      </c>
      <c r="K18" s="5">
        <v>5</v>
      </c>
      <c r="L18" s="5">
        <v>5</v>
      </c>
      <c r="M18" s="5">
        <v>3</v>
      </c>
      <c r="N18" s="16">
        <f t="shared" si="0"/>
        <v>3.9166666666666665</v>
      </c>
      <c r="O18" s="5" t="str">
        <f t="shared" si="1"/>
        <v>Moderate</v>
      </c>
      <c r="P18" s="5" t="str" cm="1">
        <f t="array" ref="P18">_xlfn.SWITCH(TRUE, N18&gt;=3.5, "High", N18&gt;=2.5, "Moderate", "Low")</f>
        <v>High</v>
      </c>
      <c r="Q18" s="5" t="str">
        <f t="shared" si="2"/>
        <v>Low</v>
      </c>
      <c r="R18" s="5" t="str" cm="1">
        <f t="array" ref="R18">_xlfn.SWITCH(TRUE, N18&gt;=3, "High", "Low")</f>
        <v>High</v>
      </c>
    </row>
    <row r="19" spans="1:18" x14ac:dyDescent="0.35">
      <c r="A19" s="5">
        <v>16</v>
      </c>
      <c r="B19" s="5">
        <v>5</v>
      </c>
      <c r="C19" s="5">
        <v>4</v>
      </c>
      <c r="D19" s="5">
        <v>5</v>
      </c>
      <c r="E19" s="5">
        <v>5</v>
      </c>
      <c r="F19" s="5">
        <v>5</v>
      </c>
      <c r="G19" s="5">
        <v>5</v>
      </c>
      <c r="H19" s="5">
        <v>2</v>
      </c>
      <c r="I19" s="5">
        <v>2</v>
      </c>
      <c r="J19" s="5">
        <v>3</v>
      </c>
      <c r="K19" s="5">
        <v>5</v>
      </c>
      <c r="L19" s="5">
        <v>1</v>
      </c>
      <c r="M19" s="5">
        <v>3</v>
      </c>
      <c r="N19" s="16">
        <f t="shared" si="0"/>
        <v>3.75</v>
      </c>
      <c r="O19" s="5" t="str">
        <f t="shared" si="1"/>
        <v>Moderate</v>
      </c>
      <c r="P19" s="5" t="str" cm="1">
        <f t="array" ref="P19">_xlfn.SWITCH(TRUE, N19&gt;=3.5, "High", N19&gt;=2.5, "Moderate", "Low")</f>
        <v>High</v>
      </c>
      <c r="Q19" s="5" t="str">
        <f t="shared" si="2"/>
        <v>Low</v>
      </c>
      <c r="R19" s="5" t="str" cm="1">
        <f t="array" ref="R19">_xlfn.SWITCH(TRUE, N19&gt;=3, "High", "Low")</f>
        <v>High</v>
      </c>
    </row>
    <row r="20" spans="1:18" x14ac:dyDescent="0.35">
      <c r="A20" s="5">
        <v>17</v>
      </c>
      <c r="B20" s="5">
        <v>4</v>
      </c>
      <c r="C20" s="5">
        <v>3</v>
      </c>
      <c r="D20" s="5">
        <v>5</v>
      </c>
      <c r="E20" s="5">
        <v>2</v>
      </c>
      <c r="F20" s="5">
        <v>4</v>
      </c>
      <c r="G20" s="5">
        <v>4</v>
      </c>
      <c r="H20" s="5">
        <v>4</v>
      </c>
      <c r="I20" s="5">
        <v>4</v>
      </c>
      <c r="J20" s="5">
        <v>4</v>
      </c>
      <c r="K20" s="5">
        <v>2</v>
      </c>
      <c r="L20" s="5">
        <v>2</v>
      </c>
      <c r="M20" s="5">
        <v>4</v>
      </c>
      <c r="N20" s="16">
        <f t="shared" si="0"/>
        <v>3.5</v>
      </c>
      <c r="O20" s="5" t="str">
        <f t="shared" si="1"/>
        <v>Low</v>
      </c>
      <c r="P20" s="5" t="str" cm="1">
        <f t="array" ref="P20">_xlfn.SWITCH(TRUE, N20&gt;=3.5, "High", N20&gt;=2.5, "Moderate", "Low")</f>
        <v>High</v>
      </c>
      <c r="Q20" s="5" t="str">
        <f t="shared" si="2"/>
        <v>Low</v>
      </c>
      <c r="R20" s="5" t="str" cm="1">
        <f t="array" ref="R20">_xlfn.SWITCH(TRUE, N20&gt;=3, "High", "Low")</f>
        <v>High</v>
      </c>
    </row>
    <row r="21" spans="1:18" x14ac:dyDescent="0.35">
      <c r="A21" s="5">
        <v>18</v>
      </c>
      <c r="B21" s="5">
        <v>5</v>
      </c>
      <c r="C21" s="5">
        <v>5</v>
      </c>
      <c r="D21" s="5">
        <v>5</v>
      </c>
      <c r="E21" s="5">
        <v>5</v>
      </c>
      <c r="F21" s="5">
        <v>5</v>
      </c>
      <c r="G21" s="5">
        <v>4</v>
      </c>
      <c r="H21" s="5">
        <v>5</v>
      </c>
      <c r="I21" s="5">
        <v>5</v>
      </c>
      <c r="J21" s="5">
        <v>5</v>
      </c>
      <c r="K21" s="5">
        <v>5</v>
      </c>
      <c r="L21" s="5">
        <v>5</v>
      </c>
      <c r="M21" s="5">
        <v>4</v>
      </c>
      <c r="N21" s="16">
        <f t="shared" si="0"/>
        <v>4.833333333333333</v>
      </c>
      <c r="O21" s="5" t="str">
        <f t="shared" si="1"/>
        <v>High</v>
      </c>
      <c r="P21" s="5" t="str" cm="1">
        <f t="array" ref="P21">_xlfn.SWITCH(TRUE, N21&gt;=3.5, "High", N21&gt;=2.5, "Moderate", "Low")</f>
        <v>High</v>
      </c>
      <c r="Q21" s="5" t="str">
        <f t="shared" si="2"/>
        <v>High</v>
      </c>
      <c r="R21" s="5" t="str" cm="1">
        <f t="array" ref="R21">_xlfn.SWITCH(TRUE, N21&gt;=3, "High", "Low")</f>
        <v>High</v>
      </c>
    </row>
    <row r="22" spans="1:18" x14ac:dyDescent="0.35">
      <c r="A22" s="5">
        <v>19</v>
      </c>
      <c r="B22" s="5">
        <v>5</v>
      </c>
      <c r="C22" s="5">
        <v>5</v>
      </c>
      <c r="D22" s="5">
        <v>5</v>
      </c>
      <c r="E22" s="5">
        <v>5</v>
      </c>
      <c r="F22" s="5">
        <v>4</v>
      </c>
      <c r="G22" s="5">
        <v>4</v>
      </c>
      <c r="H22" s="5">
        <v>5</v>
      </c>
      <c r="I22" s="5">
        <v>5</v>
      </c>
      <c r="J22" s="5">
        <v>5</v>
      </c>
      <c r="K22" s="5">
        <v>5</v>
      </c>
      <c r="L22" s="5">
        <v>5</v>
      </c>
      <c r="M22" s="5">
        <v>5</v>
      </c>
      <c r="N22" s="16">
        <f t="shared" si="0"/>
        <v>4.833333333333333</v>
      </c>
      <c r="O22" s="5" t="str">
        <f t="shared" si="1"/>
        <v>High</v>
      </c>
      <c r="P22" s="5" t="str" cm="1">
        <f t="array" ref="P22">_xlfn.SWITCH(TRUE, N22&gt;=3.5, "High", N22&gt;=2.5, "Moderate", "Low")</f>
        <v>High</v>
      </c>
      <c r="Q22" s="5" t="str">
        <f t="shared" si="2"/>
        <v>High</v>
      </c>
      <c r="R22" s="5" t="str" cm="1">
        <f t="array" ref="R22">_xlfn.SWITCH(TRUE, N22&gt;=3, "High", "Low")</f>
        <v>High</v>
      </c>
    </row>
    <row r="23" spans="1:18" x14ac:dyDescent="0.35">
      <c r="A23" s="5">
        <v>20</v>
      </c>
      <c r="B23" s="5">
        <v>5</v>
      </c>
      <c r="C23" s="5">
        <v>4</v>
      </c>
      <c r="D23" s="5">
        <v>5</v>
      </c>
      <c r="E23" s="5">
        <v>3</v>
      </c>
      <c r="F23" s="5">
        <v>3</v>
      </c>
      <c r="G23" s="5">
        <v>3</v>
      </c>
      <c r="H23" s="5">
        <v>5</v>
      </c>
      <c r="I23" s="5">
        <v>5</v>
      </c>
      <c r="J23" s="5">
        <v>5</v>
      </c>
      <c r="K23" s="5">
        <v>4</v>
      </c>
      <c r="L23" s="5">
        <v>3</v>
      </c>
      <c r="M23" s="5">
        <v>5</v>
      </c>
      <c r="N23" s="16">
        <f t="shared" si="0"/>
        <v>4.166666666666667</v>
      </c>
      <c r="O23" s="5" t="str">
        <f t="shared" si="1"/>
        <v>Moderate</v>
      </c>
      <c r="P23" s="5" t="str" cm="1">
        <f t="array" ref="P23">_xlfn.SWITCH(TRUE, N23&gt;=3.5, "High", N23&gt;=2.5, "Moderate", "Low")</f>
        <v>High</v>
      </c>
      <c r="Q23" s="5" t="str">
        <f t="shared" si="2"/>
        <v>High</v>
      </c>
      <c r="R23" s="5" t="str" cm="1">
        <f t="array" ref="R23">_xlfn.SWITCH(TRUE, N23&gt;=3, "High", "Low")</f>
        <v>High</v>
      </c>
    </row>
    <row r="24" spans="1:18" x14ac:dyDescent="0.35">
      <c r="A24" s="5">
        <v>21</v>
      </c>
      <c r="B24" s="5">
        <v>3</v>
      </c>
      <c r="C24" s="5">
        <v>5</v>
      </c>
      <c r="D24" s="5">
        <v>5</v>
      </c>
      <c r="E24" s="5">
        <v>5</v>
      </c>
      <c r="F24" s="5">
        <v>5</v>
      </c>
      <c r="G24" s="5">
        <v>5</v>
      </c>
      <c r="H24" s="5">
        <v>4</v>
      </c>
      <c r="I24" s="5">
        <v>5</v>
      </c>
      <c r="J24" s="5">
        <v>1</v>
      </c>
      <c r="K24" s="5">
        <v>4</v>
      </c>
      <c r="L24" s="5">
        <v>4</v>
      </c>
      <c r="M24" s="5">
        <v>5</v>
      </c>
      <c r="N24" s="16">
        <f t="shared" si="0"/>
        <v>4.25</v>
      </c>
      <c r="O24" s="5" t="str">
        <f t="shared" si="1"/>
        <v>Moderate</v>
      </c>
      <c r="P24" s="5" t="str" cm="1">
        <f t="array" ref="P24">_xlfn.SWITCH(TRUE, N24&gt;=3.5, "High", N24&gt;=2.5, "Moderate", "Low")</f>
        <v>High</v>
      </c>
      <c r="Q24" s="5" t="str">
        <f t="shared" si="2"/>
        <v>High</v>
      </c>
      <c r="R24" s="5" t="str" cm="1">
        <f t="array" ref="R24">_xlfn.SWITCH(TRUE, N24&gt;=3, "High", "Low")</f>
        <v>High</v>
      </c>
    </row>
    <row r="25" spans="1:18" x14ac:dyDescent="0.35">
      <c r="A25" s="5">
        <v>22</v>
      </c>
      <c r="B25" s="5">
        <v>2</v>
      </c>
      <c r="C25" s="5">
        <v>3</v>
      </c>
      <c r="D25" s="5">
        <v>5</v>
      </c>
      <c r="E25" s="5">
        <v>4</v>
      </c>
      <c r="F25" s="5">
        <v>2</v>
      </c>
      <c r="G25" s="5">
        <v>2</v>
      </c>
      <c r="H25" s="5">
        <v>3</v>
      </c>
      <c r="I25" s="5">
        <v>3</v>
      </c>
      <c r="J25" s="5">
        <v>2</v>
      </c>
      <c r="K25" s="5">
        <v>3</v>
      </c>
      <c r="L25" s="5">
        <v>4</v>
      </c>
      <c r="M25" s="5">
        <v>3</v>
      </c>
      <c r="N25" s="16">
        <f t="shared" si="0"/>
        <v>3</v>
      </c>
      <c r="O25" s="5" t="str">
        <f t="shared" si="1"/>
        <v>Low</v>
      </c>
      <c r="P25" s="5" t="str" cm="1">
        <f t="array" ref="P25">_xlfn.SWITCH(TRUE, N25&gt;=3.5, "High", N25&gt;=2.5, "Moderate", "Low")</f>
        <v>Moderate</v>
      </c>
      <c r="Q25" s="5" t="str">
        <f t="shared" si="2"/>
        <v>Low</v>
      </c>
      <c r="R25" s="5" t="str" cm="1">
        <f t="array" ref="R25">_xlfn.SWITCH(TRUE, N25&gt;=3, "High", "Low")</f>
        <v>High</v>
      </c>
    </row>
    <row r="26" spans="1:18" x14ac:dyDescent="0.35">
      <c r="A26" s="5">
        <v>23</v>
      </c>
      <c r="B26" s="5">
        <v>4</v>
      </c>
      <c r="C26" s="5">
        <v>5</v>
      </c>
      <c r="D26" s="5">
        <v>5</v>
      </c>
      <c r="E26" s="5">
        <v>4</v>
      </c>
      <c r="F26" s="5">
        <v>4</v>
      </c>
      <c r="G26" s="5">
        <v>5</v>
      </c>
      <c r="H26" s="5">
        <v>3</v>
      </c>
      <c r="I26" s="5">
        <v>4</v>
      </c>
      <c r="J26" s="5">
        <v>3</v>
      </c>
      <c r="K26" s="5">
        <v>4</v>
      </c>
      <c r="L26" s="5">
        <v>4</v>
      </c>
      <c r="M26" s="5">
        <v>4</v>
      </c>
      <c r="N26" s="16">
        <f t="shared" si="0"/>
        <v>4.083333333333333</v>
      </c>
      <c r="O26" s="5" t="str">
        <f t="shared" si="1"/>
        <v>Moderate</v>
      </c>
      <c r="P26" s="5" t="str" cm="1">
        <f t="array" ref="P26">_xlfn.SWITCH(TRUE, N26&gt;=3.5, "High", N26&gt;=2.5, "Moderate", "Low")</f>
        <v>High</v>
      </c>
      <c r="Q26" s="5" t="str">
        <f t="shared" si="2"/>
        <v>High</v>
      </c>
      <c r="R26" s="5" t="str" cm="1">
        <f t="array" ref="R26">_xlfn.SWITCH(TRUE, N26&gt;=3, "High", "Low")</f>
        <v>High</v>
      </c>
    </row>
    <row r="27" spans="1:18" x14ac:dyDescent="0.35">
      <c r="A27" s="5">
        <v>24</v>
      </c>
      <c r="B27" s="5">
        <v>4</v>
      </c>
      <c r="C27" s="5">
        <v>3</v>
      </c>
      <c r="D27" s="5">
        <v>4</v>
      </c>
      <c r="E27" s="5">
        <v>3</v>
      </c>
      <c r="F27" s="5">
        <v>3</v>
      </c>
      <c r="G27" s="5">
        <v>3</v>
      </c>
      <c r="H27" s="5">
        <v>2</v>
      </c>
      <c r="I27" s="5">
        <v>3</v>
      </c>
      <c r="J27" s="5">
        <v>3</v>
      </c>
      <c r="K27" s="5">
        <v>3</v>
      </c>
      <c r="L27" s="5">
        <v>4</v>
      </c>
      <c r="M27" s="5">
        <v>3</v>
      </c>
      <c r="N27" s="16">
        <f t="shared" si="0"/>
        <v>3.1666666666666665</v>
      </c>
      <c r="O27" s="5" t="str">
        <f t="shared" si="1"/>
        <v>Low</v>
      </c>
      <c r="P27" s="5" t="str" cm="1">
        <f t="array" ref="P27">_xlfn.SWITCH(TRUE, N27&gt;=3.5, "High", N27&gt;=2.5, "Moderate", "Low")</f>
        <v>Moderate</v>
      </c>
      <c r="Q27" s="5" t="str">
        <f t="shared" si="2"/>
        <v>Low</v>
      </c>
      <c r="R27" s="5" t="str" cm="1">
        <f t="array" ref="R27">_xlfn.SWITCH(TRUE, N27&gt;=3, "High", "Low")</f>
        <v>High</v>
      </c>
    </row>
    <row r="28" spans="1:18" x14ac:dyDescent="0.35">
      <c r="A28" s="5">
        <v>25</v>
      </c>
      <c r="B28" s="5">
        <v>5</v>
      </c>
      <c r="C28" s="5">
        <v>5</v>
      </c>
      <c r="D28" s="5">
        <v>5</v>
      </c>
      <c r="E28" s="5">
        <v>5</v>
      </c>
      <c r="F28" s="5">
        <v>5</v>
      </c>
      <c r="G28" s="5">
        <v>5</v>
      </c>
      <c r="H28" s="5">
        <v>5</v>
      </c>
      <c r="I28" s="5">
        <v>5</v>
      </c>
      <c r="J28" s="5">
        <v>5</v>
      </c>
      <c r="K28" s="5">
        <v>5</v>
      </c>
      <c r="L28" s="5">
        <v>5</v>
      </c>
      <c r="M28" s="5">
        <v>5</v>
      </c>
      <c r="N28" s="16">
        <f t="shared" si="0"/>
        <v>5</v>
      </c>
      <c r="O28" s="5" t="str">
        <f t="shared" si="1"/>
        <v>High</v>
      </c>
      <c r="P28" s="5" t="str" cm="1">
        <f t="array" ref="P28">_xlfn.SWITCH(TRUE, N28&gt;=3.5, "High", N28&gt;=2.5, "Moderate", "Low")</f>
        <v>High</v>
      </c>
      <c r="Q28" s="5" t="str">
        <f t="shared" si="2"/>
        <v>High</v>
      </c>
      <c r="R28" s="5" t="str" cm="1">
        <f t="array" ref="R28">_xlfn.SWITCH(TRUE, N28&gt;=3, "High", "Low")</f>
        <v>High</v>
      </c>
    </row>
    <row r="29" spans="1:18" x14ac:dyDescent="0.35">
      <c r="A29" s="5">
        <v>26</v>
      </c>
      <c r="B29" s="5">
        <v>3</v>
      </c>
      <c r="C29" s="5">
        <v>1</v>
      </c>
      <c r="D29" s="5">
        <v>4</v>
      </c>
      <c r="E29" s="5">
        <v>1</v>
      </c>
      <c r="F29" s="5">
        <v>2</v>
      </c>
      <c r="G29" s="5">
        <v>4</v>
      </c>
      <c r="H29" s="5">
        <v>1</v>
      </c>
      <c r="I29" s="5">
        <v>1</v>
      </c>
      <c r="J29" s="5">
        <v>4</v>
      </c>
      <c r="K29" s="5">
        <v>3</v>
      </c>
      <c r="L29" s="5">
        <v>1</v>
      </c>
      <c r="M29" s="5">
        <v>2</v>
      </c>
      <c r="N29" s="16">
        <f t="shared" si="0"/>
        <v>2.25</v>
      </c>
      <c r="O29" s="5" t="str">
        <f t="shared" si="1"/>
        <v>Low</v>
      </c>
      <c r="P29" s="5" t="str" cm="1">
        <f t="array" ref="P29">_xlfn.SWITCH(TRUE, N29&gt;=3.5, "High", N29&gt;=2.5, "Moderate", "Low")</f>
        <v>Low</v>
      </c>
      <c r="Q29" s="5" t="str">
        <f t="shared" si="2"/>
        <v>Low</v>
      </c>
      <c r="R29" s="5" t="str" cm="1">
        <f t="array" ref="R29">_xlfn.SWITCH(TRUE, N29&gt;=3, "High", "Low")</f>
        <v>Low</v>
      </c>
    </row>
    <row r="30" spans="1:18" x14ac:dyDescent="0.35">
      <c r="A30" s="5">
        <v>27</v>
      </c>
      <c r="B30" s="5">
        <v>5</v>
      </c>
      <c r="C30" s="5">
        <v>5</v>
      </c>
      <c r="D30" s="5">
        <v>5</v>
      </c>
      <c r="E30" s="5">
        <v>2</v>
      </c>
      <c r="F30" s="5">
        <v>5</v>
      </c>
      <c r="G30" s="5">
        <v>3</v>
      </c>
      <c r="H30" s="5">
        <v>5</v>
      </c>
      <c r="I30" s="5">
        <v>5</v>
      </c>
      <c r="J30" s="5">
        <v>5</v>
      </c>
      <c r="K30" s="5">
        <v>5</v>
      </c>
      <c r="L30" s="5">
        <v>5</v>
      </c>
      <c r="M30" s="5">
        <v>5</v>
      </c>
      <c r="N30" s="16">
        <f t="shared" si="0"/>
        <v>4.583333333333333</v>
      </c>
      <c r="O30" s="5" t="str">
        <f t="shared" si="1"/>
        <v>High</v>
      </c>
      <c r="P30" s="5" t="str" cm="1">
        <f t="array" ref="P30">_xlfn.SWITCH(TRUE, N30&gt;=3.5, "High", N30&gt;=2.5, "Moderate", "Low")</f>
        <v>High</v>
      </c>
      <c r="Q30" s="5" t="str">
        <f t="shared" si="2"/>
        <v>High</v>
      </c>
      <c r="R30" s="5" t="str" cm="1">
        <f t="array" ref="R30">_xlfn.SWITCH(TRUE, N30&gt;=3, "High", "Low")</f>
        <v>High</v>
      </c>
    </row>
    <row r="31" spans="1:18" x14ac:dyDescent="0.35">
      <c r="A31" s="5">
        <v>28</v>
      </c>
      <c r="B31" s="5">
        <v>5</v>
      </c>
      <c r="C31" s="5">
        <v>5</v>
      </c>
      <c r="D31" s="5">
        <v>5</v>
      </c>
      <c r="E31" s="5">
        <v>3</v>
      </c>
      <c r="F31" s="5">
        <v>4</v>
      </c>
      <c r="G31" s="5">
        <v>4</v>
      </c>
      <c r="H31" s="5">
        <v>4</v>
      </c>
      <c r="I31" s="5">
        <v>5</v>
      </c>
      <c r="J31" s="5">
        <v>5</v>
      </c>
      <c r="K31" s="5">
        <v>5</v>
      </c>
      <c r="L31" s="5">
        <v>4</v>
      </c>
      <c r="M31" s="5">
        <v>5</v>
      </c>
      <c r="N31" s="16">
        <f t="shared" si="0"/>
        <v>4.5</v>
      </c>
      <c r="O31" s="5" t="str">
        <f t="shared" si="1"/>
        <v>High</v>
      </c>
      <c r="P31" s="5" t="str" cm="1">
        <f t="array" ref="P31">_xlfn.SWITCH(TRUE, N31&gt;=3.5, "High", N31&gt;=2.5, "Moderate", "Low")</f>
        <v>High</v>
      </c>
      <c r="Q31" s="5" t="str">
        <f t="shared" si="2"/>
        <v>High</v>
      </c>
      <c r="R31" s="5" t="str" cm="1">
        <f t="array" ref="R31">_xlfn.SWITCH(TRUE, N31&gt;=3, "High", "Low")</f>
        <v>High</v>
      </c>
    </row>
    <row r="32" spans="1:18" x14ac:dyDescent="0.35">
      <c r="A32" s="5">
        <v>29</v>
      </c>
      <c r="B32" s="5">
        <v>4</v>
      </c>
      <c r="C32" s="5">
        <v>3</v>
      </c>
      <c r="D32" s="5">
        <v>5</v>
      </c>
      <c r="E32" s="5">
        <v>3</v>
      </c>
      <c r="F32" s="5">
        <v>5</v>
      </c>
      <c r="G32" s="5">
        <v>4</v>
      </c>
      <c r="H32" s="5">
        <v>3</v>
      </c>
      <c r="I32" s="5">
        <v>3</v>
      </c>
      <c r="J32" s="5">
        <v>4</v>
      </c>
      <c r="K32" s="5">
        <v>4</v>
      </c>
      <c r="L32" s="5">
        <v>4</v>
      </c>
      <c r="M32" s="5">
        <v>4</v>
      </c>
      <c r="N32" s="16">
        <f t="shared" si="0"/>
        <v>3.8333333333333335</v>
      </c>
      <c r="O32" s="5" t="str">
        <f t="shared" si="1"/>
        <v>Moderate</v>
      </c>
      <c r="P32" s="5" t="str" cm="1">
        <f t="array" ref="P32">_xlfn.SWITCH(TRUE, N32&gt;=3.5, "High", N32&gt;=2.5, "Moderate", "Low")</f>
        <v>High</v>
      </c>
      <c r="Q32" s="5" t="str">
        <f t="shared" si="2"/>
        <v>Low</v>
      </c>
      <c r="R32" s="5" t="str" cm="1">
        <f t="array" ref="R32">_xlfn.SWITCH(TRUE, N32&gt;=3, "High", "Low")</f>
        <v>High</v>
      </c>
    </row>
    <row r="33" spans="1:18" x14ac:dyDescent="0.35">
      <c r="A33" s="5">
        <v>30</v>
      </c>
      <c r="B33" s="5">
        <v>5</v>
      </c>
      <c r="C33" s="5">
        <v>5</v>
      </c>
      <c r="D33" s="5">
        <v>5</v>
      </c>
      <c r="E33" s="5">
        <v>4</v>
      </c>
      <c r="F33" s="5">
        <v>4</v>
      </c>
      <c r="G33" s="5">
        <v>3</v>
      </c>
      <c r="H33" s="5">
        <v>5</v>
      </c>
      <c r="I33" s="5">
        <v>5</v>
      </c>
      <c r="J33" s="5">
        <v>5</v>
      </c>
      <c r="K33" s="5">
        <v>4</v>
      </c>
      <c r="L33" s="5">
        <v>4</v>
      </c>
      <c r="M33" s="5">
        <v>4</v>
      </c>
      <c r="N33" s="16">
        <f t="shared" si="0"/>
        <v>4.416666666666667</v>
      </c>
      <c r="O33" s="5" t="str">
        <f t="shared" si="1"/>
        <v>High</v>
      </c>
      <c r="P33" s="5" t="str" cm="1">
        <f t="array" ref="P33">_xlfn.SWITCH(TRUE, N33&gt;=3.5, "High", N33&gt;=2.5, "Moderate", "Low")</f>
        <v>High</v>
      </c>
      <c r="Q33" s="5" t="str">
        <f t="shared" si="2"/>
        <v>High</v>
      </c>
      <c r="R33" s="5" t="str" cm="1">
        <f t="array" ref="R33">_xlfn.SWITCH(TRUE, N33&gt;=3, "High", "Low")</f>
        <v>High</v>
      </c>
    </row>
    <row r="34" spans="1:18" x14ac:dyDescent="0.35">
      <c r="A34" s="5">
        <v>31</v>
      </c>
      <c r="B34" s="5">
        <v>4</v>
      </c>
      <c r="C34" s="5">
        <v>5</v>
      </c>
      <c r="D34" s="5">
        <v>5</v>
      </c>
      <c r="E34" s="5">
        <v>3</v>
      </c>
      <c r="F34" s="5">
        <v>3</v>
      </c>
      <c r="G34" s="5">
        <v>5</v>
      </c>
      <c r="H34" s="5">
        <v>4</v>
      </c>
      <c r="I34" s="5">
        <v>5</v>
      </c>
      <c r="J34" s="5">
        <v>3</v>
      </c>
      <c r="K34" s="5">
        <v>4</v>
      </c>
      <c r="L34" s="5">
        <v>4</v>
      </c>
      <c r="M34" s="5">
        <v>4</v>
      </c>
      <c r="N34" s="16">
        <f t="shared" si="0"/>
        <v>4.083333333333333</v>
      </c>
      <c r="O34" s="5" t="str">
        <f t="shared" si="1"/>
        <v>Moderate</v>
      </c>
      <c r="P34" s="5" t="str" cm="1">
        <f t="array" ref="P34">_xlfn.SWITCH(TRUE, N34&gt;=3.5, "High", N34&gt;=2.5, "Moderate", "Low")</f>
        <v>High</v>
      </c>
      <c r="Q34" s="5" t="str">
        <f t="shared" si="2"/>
        <v>High</v>
      </c>
      <c r="R34" s="5" t="str" cm="1">
        <f t="array" ref="R34">_xlfn.SWITCH(TRUE, N34&gt;=3, "High", "Low")</f>
        <v>High</v>
      </c>
    </row>
    <row r="35" spans="1:18" x14ac:dyDescent="0.35">
      <c r="A35" s="5">
        <v>32</v>
      </c>
      <c r="B35" s="5">
        <v>4</v>
      </c>
      <c r="C35" s="5">
        <v>4</v>
      </c>
      <c r="D35" s="5">
        <v>4</v>
      </c>
      <c r="E35" s="5">
        <v>4</v>
      </c>
      <c r="F35" s="5">
        <v>4</v>
      </c>
      <c r="G35" s="5">
        <v>4</v>
      </c>
      <c r="H35" s="5">
        <v>4</v>
      </c>
      <c r="I35" s="5">
        <v>4</v>
      </c>
      <c r="J35" s="5">
        <v>4</v>
      </c>
      <c r="K35" s="5">
        <v>5</v>
      </c>
      <c r="L35" s="5">
        <v>4</v>
      </c>
      <c r="M35" s="5">
        <v>4</v>
      </c>
      <c r="N35" s="16">
        <f t="shared" si="0"/>
        <v>4.083333333333333</v>
      </c>
      <c r="O35" s="5" t="str">
        <f t="shared" si="1"/>
        <v>Moderate</v>
      </c>
      <c r="P35" s="5" t="str" cm="1">
        <f t="array" ref="P35">_xlfn.SWITCH(TRUE, N35&gt;=3.5, "High", N35&gt;=2.5, "Moderate", "Low")</f>
        <v>High</v>
      </c>
      <c r="Q35" s="5" t="str">
        <f t="shared" si="2"/>
        <v>High</v>
      </c>
      <c r="R35" s="5" t="str" cm="1">
        <f t="array" ref="R35">_xlfn.SWITCH(TRUE, N35&gt;=3, "High", "Low")</f>
        <v>High</v>
      </c>
    </row>
    <row r="36" spans="1:18" x14ac:dyDescent="0.35">
      <c r="A36" s="5">
        <v>33</v>
      </c>
      <c r="B36" s="5">
        <v>1</v>
      </c>
      <c r="C36" s="5">
        <v>2</v>
      </c>
      <c r="D36" s="5">
        <v>4</v>
      </c>
      <c r="E36" s="5">
        <v>5</v>
      </c>
      <c r="F36" s="5">
        <v>2</v>
      </c>
      <c r="G36" s="5">
        <v>5</v>
      </c>
      <c r="H36" s="5">
        <v>3</v>
      </c>
      <c r="I36" s="5">
        <v>3</v>
      </c>
      <c r="J36" s="5">
        <v>4</v>
      </c>
      <c r="K36" s="5">
        <v>4</v>
      </c>
      <c r="L36" s="5">
        <v>4</v>
      </c>
      <c r="M36" s="5">
        <v>1</v>
      </c>
      <c r="N36" s="16">
        <f t="shared" ref="N36:N67" si="3">AVERAGE(B36:M36)</f>
        <v>3.1666666666666665</v>
      </c>
      <c r="O36" s="5" t="str">
        <f t="shared" ref="O36:O67" si="4">_xlfn.SWITCH(TRUE, N36&lt;=$S$11, "Low", N36&gt;=$S$12, "High", "Moderate")</f>
        <v>Low</v>
      </c>
      <c r="P36" s="5" t="str" cm="1">
        <f t="array" ref="P36">_xlfn.SWITCH(TRUE, N36&gt;=3.5, "High", N36&gt;=2.5, "Moderate", "Low")</f>
        <v>Moderate</v>
      </c>
      <c r="Q36" s="5" t="str">
        <f t="shared" ref="Q36:Q67" si="5">_xlfn.SWITCH(TRUE, N36&lt;=$S$13, "Low", "High")</f>
        <v>Low</v>
      </c>
      <c r="R36" s="5" t="str" cm="1">
        <f t="array" ref="R36">_xlfn.SWITCH(TRUE, N36&gt;=3, "High", "Low")</f>
        <v>High</v>
      </c>
    </row>
    <row r="37" spans="1:18" x14ac:dyDescent="0.35">
      <c r="A37" s="5">
        <v>34</v>
      </c>
      <c r="B37" s="5">
        <v>3</v>
      </c>
      <c r="C37" s="5">
        <v>3</v>
      </c>
      <c r="D37" s="5">
        <v>3</v>
      </c>
      <c r="E37" s="5">
        <v>3</v>
      </c>
      <c r="F37" s="5">
        <v>3</v>
      </c>
      <c r="G37" s="5">
        <v>3</v>
      </c>
      <c r="H37" s="5">
        <v>3</v>
      </c>
      <c r="I37" s="5">
        <v>3</v>
      </c>
      <c r="J37" s="5">
        <v>2</v>
      </c>
      <c r="K37" s="5">
        <v>4</v>
      </c>
      <c r="L37" s="5">
        <v>3</v>
      </c>
      <c r="M37" s="5">
        <v>4</v>
      </c>
      <c r="N37" s="16">
        <f t="shared" si="3"/>
        <v>3.0833333333333335</v>
      </c>
      <c r="O37" s="5" t="str">
        <f t="shared" si="4"/>
        <v>Low</v>
      </c>
      <c r="P37" s="5" t="str" cm="1">
        <f t="array" ref="P37">_xlfn.SWITCH(TRUE, N37&gt;=3.5, "High", N37&gt;=2.5, "Moderate", "Low")</f>
        <v>Moderate</v>
      </c>
      <c r="Q37" s="5" t="str">
        <f t="shared" si="5"/>
        <v>Low</v>
      </c>
      <c r="R37" s="5" t="str" cm="1">
        <f t="array" ref="R37">_xlfn.SWITCH(TRUE, N37&gt;=3, "High", "Low")</f>
        <v>High</v>
      </c>
    </row>
    <row r="38" spans="1:18" x14ac:dyDescent="0.35">
      <c r="A38" s="5">
        <v>35</v>
      </c>
      <c r="B38" s="5">
        <v>4</v>
      </c>
      <c r="C38" s="5">
        <v>5</v>
      </c>
      <c r="D38" s="5">
        <v>5</v>
      </c>
      <c r="E38" s="5">
        <v>5</v>
      </c>
      <c r="F38" s="5">
        <v>5</v>
      </c>
      <c r="G38" s="5">
        <v>5</v>
      </c>
      <c r="H38" s="5">
        <v>5</v>
      </c>
      <c r="I38" s="5">
        <v>5</v>
      </c>
      <c r="J38" s="5">
        <v>2</v>
      </c>
      <c r="K38" s="5">
        <v>5</v>
      </c>
      <c r="L38" s="5">
        <v>5</v>
      </c>
      <c r="M38" s="5">
        <v>5</v>
      </c>
      <c r="N38" s="16">
        <f t="shared" si="3"/>
        <v>4.666666666666667</v>
      </c>
      <c r="O38" s="5" t="str">
        <f t="shared" si="4"/>
        <v>High</v>
      </c>
      <c r="P38" s="5" t="str" cm="1">
        <f t="array" ref="P38">_xlfn.SWITCH(TRUE, N38&gt;=3.5, "High", N38&gt;=2.5, "Moderate", "Low")</f>
        <v>High</v>
      </c>
      <c r="Q38" s="5" t="str">
        <f t="shared" si="5"/>
        <v>High</v>
      </c>
      <c r="R38" s="5" t="str" cm="1">
        <f t="array" ref="R38">_xlfn.SWITCH(TRUE, N38&gt;=3, "High", "Low")</f>
        <v>High</v>
      </c>
    </row>
    <row r="39" spans="1:18" x14ac:dyDescent="0.35">
      <c r="A39" s="5">
        <v>36</v>
      </c>
      <c r="B39" s="5">
        <v>5</v>
      </c>
      <c r="C39" s="5">
        <v>5</v>
      </c>
      <c r="D39" s="5">
        <v>5</v>
      </c>
      <c r="E39" s="5">
        <v>4</v>
      </c>
      <c r="F39" s="5">
        <v>2</v>
      </c>
      <c r="G39" s="5">
        <v>5</v>
      </c>
      <c r="H39" s="5">
        <v>5</v>
      </c>
      <c r="I39" s="5">
        <v>4</v>
      </c>
      <c r="J39" s="5">
        <v>4</v>
      </c>
      <c r="K39" s="5">
        <v>5</v>
      </c>
      <c r="L39" s="5">
        <v>4</v>
      </c>
      <c r="M39" s="5">
        <v>4</v>
      </c>
      <c r="N39" s="16">
        <f t="shared" si="3"/>
        <v>4.333333333333333</v>
      </c>
      <c r="O39" s="5" t="str">
        <f t="shared" si="4"/>
        <v>High</v>
      </c>
      <c r="P39" s="5" t="str" cm="1">
        <f t="array" ref="P39">_xlfn.SWITCH(TRUE, N39&gt;=3.5, "High", N39&gt;=2.5, "Moderate", "Low")</f>
        <v>High</v>
      </c>
      <c r="Q39" s="5" t="str">
        <f t="shared" si="5"/>
        <v>High</v>
      </c>
      <c r="R39" s="5" t="str" cm="1">
        <f t="array" ref="R39">_xlfn.SWITCH(TRUE, N39&gt;=3, "High", "Low")</f>
        <v>High</v>
      </c>
    </row>
    <row r="40" spans="1:18" x14ac:dyDescent="0.35">
      <c r="A40" s="5">
        <v>37</v>
      </c>
      <c r="B40" s="5">
        <v>5</v>
      </c>
      <c r="C40" s="5">
        <v>5</v>
      </c>
      <c r="D40" s="5">
        <v>5</v>
      </c>
      <c r="E40" s="5">
        <v>5</v>
      </c>
      <c r="F40" s="5">
        <v>5</v>
      </c>
      <c r="G40" s="5">
        <v>5</v>
      </c>
      <c r="H40" s="5">
        <v>5</v>
      </c>
      <c r="I40" s="5">
        <v>5</v>
      </c>
      <c r="J40" s="5">
        <v>5</v>
      </c>
      <c r="K40" s="5">
        <v>5</v>
      </c>
      <c r="L40" s="5">
        <v>5</v>
      </c>
      <c r="M40" s="5">
        <v>5</v>
      </c>
      <c r="N40" s="16">
        <f t="shared" si="3"/>
        <v>5</v>
      </c>
      <c r="O40" s="5" t="str">
        <f t="shared" si="4"/>
        <v>High</v>
      </c>
      <c r="P40" s="5" t="str" cm="1">
        <f t="array" ref="P40">_xlfn.SWITCH(TRUE, N40&gt;=3.5, "High", N40&gt;=2.5, "Moderate", "Low")</f>
        <v>High</v>
      </c>
      <c r="Q40" s="5" t="str">
        <f t="shared" si="5"/>
        <v>High</v>
      </c>
      <c r="R40" s="5" t="str" cm="1">
        <f t="array" ref="R40">_xlfn.SWITCH(TRUE, N40&gt;=3, "High", "Low")</f>
        <v>High</v>
      </c>
    </row>
    <row r="41" spans="1:18" x14ac:dyDescent="0.35">
      <c r="A41" s="5">
        <v>38</v>
      </c>
      <c r="B41" s="5">
        <v>3</v>
      </c>
      <c r="C41" s="5">
        <v>5</v>
      </c>
      <c r="D41" s="5">
        <v>5</v>
      </c>
      <c r="E41" s="5">
        <v>5</v>
      </c>
      <c r="F41" s="5">
        <v>5</v>
      </c>
      <c r="G41" s="5">
        <v>4</v>
      </c>
      <c r="H41" s="5">
        <v>5</v>
      </c>
      <c r="I41" s="5">
        <v>5</v>
      </c>
      <c r="J41" s="5">
        <v>1</v>
      </c>
      <c r="K41" s="5">
        <v>5</v>
      </c>
      <c r="L41" s="5">
        <v>5</v>
      </c>
      <c r="M41" s="5">
        <v>5</v>
      </c>
      <c r="N41" s="16">
        <f t="shared" si="3"/>
        <v>4.416666666666667</v>
      </c>
      <c r="O41" s="5" t="str">
        <f t="shared" si="4"/>
        <v>High</v>
      </c>
      <c r="P41" s="5" t="str" cm="1">
        <f t="array" ref="P41">_xlfn.SWITCH(TRUE, N41&gt;=3.5, "High", N41&gt;=2.5, "Moderate", "Low")</f>
        <v>High</v>
      </c>
      <c r="Q41" s="5" t="str">
        <f t="shared" si="5"/>
        <v>High</v>
      </c>
      <c r="R41" s="5" t="str" cm="1">
        <f t="array" ref="R41">_xlfn.SWITCH(TRUE, N41&gt;=3, "High", "Low")</f>
        <v>High</v>
      </c>
    </row>
    <row r="42" spans="1:18" x14ac:dyDescent="0.35">
      <c r="A42" s="5">
        <v>39</v>
      </c>
      <c r="B42" s="5">
        <v>4</v>
      </c>
      <c r="C42" s="5">
        <v>4</v>
      </c>
      <c r="D42" s="5">
        <v>4</v>
      </c>
      <c r="E42" s="5">
        <v>4</v>
      </c>
      <c r="F42" s="5">
        <v>4</v>
      </c>
      <c r="G42" s="5">
        <v>3</v>
      </c>
      <c r="H42" s="5">
        <v>4</v>
      </c>
      <c r="I42" s="5">
        <v>4</v>
      </c>
      <c r="J42" s="5">
        <v>3</v>
      </c>
      <c r="K42" s="5">
        <v>4</v>
      </c>
      <c r="L42" s="5">
        <v>2</v>
      </c>
      <c r="M42" s="5">
        <v>4</v>
      </c>
      <c r="N42" s="16">
        <f t="shared" si="3"/>
        <v>3.6666666666666665</v>
      </c>
      <c r="O42" s="5" t="str">
        <f t="shared" si="4"/>
        <v>Low</v>
      </c>
      <c r="P42" s="5" t="str" cm="1">
        <f t="array" ref="P42">_xlfn.SWITCH(TRUE, N42&gt;=3.5, "High", N42&gt;=2.5, "Moderate", "Low")</f>
        <v>High</v>
      </c>
      <c r="Q42" s="5" t="str">
        <f t="shared" si="5"/>
        <v>Low</v>
      </c>
      <c r="R42" s="5" t="str" cm="1">
        <f t="array" ref="R42">_xlfn.SWITCH(TRUE, N42&gt;=3, "High", "Low")</f>
        <v>High</v>
      </c>
    </row>
    <row r="43" spans="1:18" x14ac:dyDescent="0.35">
      <c r="A43" s="5">
        <v>40</v>
      </c>
      <c r="B43" s="5">
        <v>4</v>
      </c>
      <c r="C43" s="5">
        <v>5</v>
      </c>
      <c r="D43" s="5">
        <v>3</v>
      </c>
      <c r="E43" s="5">
        <v>2</v>
      </c>
      <c r="F43" s="5">
        <v>4</v>
      </c>
      <c r="G43" s="5">
        <v>4</v>
      </c>
      <c r="H43" s="5">
        <v>4</v>
      </c>
      <c r="I43" s="5">
        <v>4</v>
      </c>
      <c r="J43" s="5">
        <v>1</v>
      </c>
      <c r="K43" s="5">
        <v>3</v>
      </c>
      <c r="L43" s="5">
        <v>3</v>
      </c>
      <c r="M43" s="5">
        <v>3</v>
      </c>
      <c r="N43" s="16">
        <f t="shared" si="3"/>
        <v>3.3333333333333335</v>
      </c>
      <c r="O43" s="5" t="str">
        <f t="shared" si="4"/>
        <v>Low</v>
      </c>
      <c r="P43" s="5" t="str" cm="1">
        <f t="array" ref="P43">_xlfn.SWITCH(TRUE, N43&gt;=3.5, "High", N43&gt;=2.5, "Moderate", "Low")</f>
        <v>Moderate</v>
      </c>
      <c r="Q43" s="5" t="str">
        <f t="shared" si="5"/>
        <v>Low</v>
      </c>
      <c r="R43" s="5" t="str" cm="1">
        <f t="array" ref="R43">_xlfn.SWITCH(TRUE, N43&gt;=3, "High", "Low")</f>
        <v>High</v>
      </c>
    </row>
    <row r="44" spans="1:18" x14ac:dyDescent="0.35">
      <c r="A44" s="5">
        <v>41</v>
      </c>
      <c r="B44" s="5">
        <v>3</v>
      </c>
      <c r="C44" s="5">
        <v>4</v>
      </c>
      <c r="D44" s="5">
        <v>3</v>
      </c>
      <c r="E44" s="5">
        <v>3</v>
      </c>
      <c r="F44" s="5">
        <v>5</v>
      </c>
      <c r="G44" s="5">
        <v>3</v>
      </c>
      <c r="H44" s="5">
        <v>3</v>
      </c>
      <c r="I44" s="5">
        <v>4</v>
      </c>
      <c r="J44" s="5">
        <v>3</v>
      </c>
      <c r="K44" s="5">
        <v>4</v>
      </c>
      <c r="L44" s="5">
        <v>3</v>
      </c>
      <c r="M44" s="5">
        <v>4</v>
      </c>
      <c r="N44" s="16">
        <f t="shared" si="3"/>
        <v>3.5</v>
      </c>
      <c r="O44" s="5" t="str">
        <f t="shared" si="4"/>
        <v>Low</v>
      </c>
      <c r="P44" s="5" t="str" cm="1">
        <f t="array" ref="P44">_xlfn.SWITCH(TRUE, N44&gt;=3.5, "High", N44&gt;=2.5, "Moderate", "Low")</f>
        <v>High</v>
      </c>
      <c r="Q44" s="5" t="str">
        <f t="shared" si="5"/>
        <v>Low</v>
      </c>
      <c r="R44" s="5" t="str" cm="1">
        <f t="array" ref="R44">_xlfn.SWITCH(TRUE, N44&gt;=3, "High", "Low")</f>
        <v>High</v>
      </c>
    </row>
    <row r="45" spans="1:18" x14ac:dyDescent="0.35">
      <c r="A45" s="5">
        <v>42</v>
      </c>
      <c r="B45" s="5">
        <v>3</v>
      </c>
      <c r="C45" s="5">
        <v>3</v>
      </c>
      <c r="D45" s="5">
        <v>4</v>
      </c>
      <c r="E45" s="5">
        <v>4</v>
      </c>
      <c r="F45" s="5">
        <v>3</v>
      </c>
      <c r="G45" s="5">
        <v>5</v>
      </c>
      <c r="H45" s="5">
        <v>4</v>
      </c>
      <c r="I45" s="5">
        <v>3</v>
      </c>
      <c r="J45" s="5">
        <v>2</v>
      </c>
      <c r="K45" s="5">
        <v>3</v>
      </c>
      <c r="L45" s="5">
        <v>3</v>
      </c>
      <c r="M45" s="5">
        <v>3</v>
      </c>
      <c r="N45" s="16">
        <f t="shared" si="3"/>
        <v>3.3333333333333335</v>
      </c>
      <c r="O45" s="5" t="str">
        <f t="shared" si="4"/>
        <v>Low</v>
      </c>
      <c r="P45" s="5" t="str" cm="1">
        <f t="array" ref="P45">_xlfn.SWITCH(TRUE, N45&gt;=3.5, "High", N45&gt;=2.5, "Moderate", "Low")</f>
        <v>Moderate</v>
      </c>
      <c r="Q45" s="5" t="str">
        <f t="shared" si="5"/>
        <v>Low</v>
      </c>
      <c r="R45" s="5" t="str" cm="1">
        <f t="array" ref="R45">_xlfn.SWITCH(TRUE, N45&gt;=3, "High", "Low")</f>
        <v>High</v>
      </c>
    </row>
    <row r="46" spans="1:18" x14ac:dyDescent="0.35">
      <c r="A46" s="5">
        <v>43</v>
      </c>
      <c r="B46" s="5">
        <v>1</v>
      </c>
      <c r="C46" s="5">
        <v>3</v>
      </c>
      <c r="D46" s="5">
        <v>2</v>
      </c>
      <c r="E46" s="5">
        <v>5</v>
      </c>
      <c r="F46" s="5">
        <v>4</v>
      </c>
      <c r="G46" s="5">
        <v>1</v>
      </c>
      <c r="H46" s="5">
        <v>1</v>
      </c>
      <c r="I46" s="5">
        <v>3</v>
      </c>
      <c r="J46" s="5">
        <v>1</v>
      </c>
      <c r="K46" s="5">
        <v>4</v>
      </c>
      <c r="L46" s="5">
        <v>5</v>
      </c>
      <c r="M46" s="5">
        <v>4</v>
      </c>
      <c r="N46" s="16">
        <f t="shared" si="3"/>
        <v>2.8333333333333335</v>
      </c>
      <c r="O46" s="5" t="str">
        <f t="shared" si="4"/>
        <v>Low</v>
      </c>
      <c r="P46" s="5" t="str" cm="1">
        <f t="array" ref="P46">_xlfn.SWITCH(TRUE, N46&gt;=3.5, "High", N46&gt;=2.5, "Moderate", "Low")</f>
        <v>Moderate</v>
      </c>
      <c r="Q46" s="5" t="str">
        <f t="shared" si="5"/>
        <v>Low</v>
      </c>
      <c r="R46" s="5" t="str" cm="1">
        <f t="array" ref="R46">_xlfn.SWITCH(TRUE, N46&gt;=3, "High", "Low")</f>
        <v>Low</v>
      </c>
    </row>
    <row r="47" spans="1:18" x14ac:dyDescent="0.35">
      <c r="A47" s="5">
        <v>44</v>
      </c>
      <c r="B47" s="5">
        <v>4</v>
      </c>
      <c r="C47" s="5">
        <v>4</v>
      </c>
      <c r="D47" s="5">
        <v>4</v>
      </c>
      <c r="E47" s="5">
        <v>4</v>
      </c>
      <c r="F47" s="5">
        <v>4</v>
      </c>
      <c r="G47" s="5">
        <v>5</v>
      </c>
      <c r="H47" s="5">
        <v>3</v>
      </c>
      <c r="I47" s="5">
        <v>4</v>
      </c>
      <c r="J47" s="5">
        <v>3</v>
      </c>
      <c r="K47" s="5">
        <v>4</v>
      </c>
      <c r="L47" s="5">
        <v>4</v>
      </c>
      <c r="M47" s="5">
        <v>5</v>
      </c>
      <c r="N47" s="16">
        <f t="shared" si="3"/>
        <v>4</v>
      </c>
      <c r="O47" s="5" t="str">
        <f t="shared" si="4"/>
        <v>Moderate</v>
      </c>
      <c r="P47" s="5" t="str" cm="1">
        <f t="array" ref="P47">_xlfn.SWITCH(TRUE, N47&gt;=3.5, "High", N47&gt;=2.5, "Moderate", "Low")</f>
        <v>High</v>
      </c>
      <c r="Q47" s="5" t="str">
        <f t="shared" si="5"/>
        <v>Low</v>
      </c>
      <c r="R47" s="5" t="str" cm="1">
        <f t="array" ref="R47">_xlfn.SWITCH(TRUE, N47&gt;=3, "High", "Low")</f>
        <v>High</v>
      </c>
    </row>
    <row r="48" spans="1:18" x14ac:dyDescent="0.35">
      <c r="A48" s="5">
        <v>45</v>
      </c>
      <c r="B48" s="5">
        <v>5</v>
      </c>
      <c r="C48" s="5">
        <v>5</v>
      </c>
      <c r="D48" s="5">
        <v>5</v>
      </c>
      <c r="E48" s="5">
        <v>3</v>
      </c>
      <c r="F48" s="5">
        <v>5</v>
      </c>
      <c r="G48" s="5">
        <v>4</v>
      </c>
      <c r="H48" s="5">
        <v>5</v>
      </c>
      <c r="I48" s="5">
        <v>5</v>
      </c>
      <c r="J48" s="5">
        <v>5</v>
      </c>
      <c r="K48" s="5">
        <v>5</v>
      </c>
      <c r="L48" s="5">
        <v>4</v>
      </c>
      <c r="M48" s="5">
        <v>5</v>
      </c>
      <c r="N48" s="16">
        <f t="shared" si="3"/>
        <v>4.666666666666667</v>
      </c>
      <c r="O48" s="5" t="str">
        <f t="shared" si="4"/>
        <v>High</v>
      </c>
      <c r="P48" s="5" t="str" cm="1">
        <f t="array" ref="P48">_xlfn.SWITCH(TRUE, N48&gt;=3.5, "High", N48&gt;=2.5, "Moderate", "Low")</f>
        <v>High</v>
      </c>
      <c r="Q48" s="5" t="str">
        <f t="shared" si="5"/>
        <v>High</v>
      </c>
      <c r="R48" s="5" t="str" cm="1">
        <f t="array" ref="R48">_xlfn.SWITCH(TRUE, N48&gt;=3, "High", "Low")</f>
        <v>High</v>
      </c>
    </row>
    <row r="49" spans="1:18" x14ac:dyDescent="0.35">
      <c r="A49" s="5">
        <v>46</v>
      </c>
      <c r="B49" s="5">
        <v>5</v>
      </c>
      <c r="C49" s="5">
        <v>5</v>
      </c>
      <c r="D49" s="5">
        <v>5</v>
      </c>
      <c r="E49" s="5">
        <v>5</v>
      </c>
      <c r="F49" s="5">
        <v>5</v>
      </c>
      <c r="G49" s="5">
        <v>5</v>
      </c>
      <c r="H49" s="5">
        <v>5</v>
      </c>
      <c r="I49" s="5">
        <v>5</v>
      </c>
      <c r="J49" s="5">
        <v>5</v>
      </c>
      <c r="K49" s="5">
        <v>5</v>
      </c>
      <c r="L49" s="5">
        <v>5</v>
      </c>
      <c r="M49" s="5">
        <v>5</v>
      </c>
      <c r="N49" s="16">
        <f t="shared" si="3"/>
        <v>5</v>
      </c>
      <c r="O49" s="5" t="str">
        <f t="shared" si="4"/>
        <v>High</v>
      </c>
      <c r="P49" s="5" t="str" cm="1">
        <f t="array" ref="P49">_xlfn.SWITCH(TRUE, N49&gt;=3.5, "High", N49&gt;=2.5, "Moderate", "Low")</f>
        <v>High</v>
      </c>
      <c r="Q49" s="5" t="str">
        <f t="shared" si="5"/>
        <v>High</v>
      </c>
      <c r="R49" s="5" t="str" cm="1">
        <f t="array" ref="R49">_xlfn.SWITCH(TRUE, N49&gt;=3, "High", "Low")</f>
        <v>High</v>
      </c>
    </row>
    <row r="50" spans="1:18" x14ac:dyDescent="0.35">
      <c r="A50" s="5">
        <v>47</v>
      </c>
      <c r="B50" s="5">
        <v>5</v>
      </c>
      <c r="C50" s="5">
        <v>5</v>
      </c>
      <c r="D50" s="5">
        <v>5</v>
      </c>
      <c r="E50" s="5">
        <v>4</v>
      </c>
      <c r="F50" s="5">
        <v>3</v>
      </c>
      <c r="G50" s="5">
        <v>5</v>
      </c>
      <c r="H50" s="5">
        <v>4</v>
      </c>
      <c r="I50" s="5">
        <v>4</v>
      </c>
      <c r="J50" s="5">
        <v>5</v>
      </c>
      <c r="K50" s="5">
        <v>5</v>
      </c>
      <c r="L50" s="5">
        <v>4</v>
      </c>
      <c r="M50" s="5">
        <v>4</v>
      </c>
      <c r="N50" s="16">
        <f t="shared" si="3"/>
        <v>4.416666666666667</v>
      </c>
      <c r="O50" s="5" t="str">
        <f t="shared" si="4"/>
        <v>High</v>
      </c>
      <c r="P50" s="5" t="str" cm="1">
        <f t="array" ref="P50">_xlfn.SWITCH(TRUE, N50&gt;=3.5, "High", N50&gt;=2.5, "Moderate", "Low")</f>
        <v>High</v>
      </c>
      <c r="Q50" s="5" t="str">
        <f t="shared" si="5"/>
        <v>High</v>
      </c>
      <c r="R50" s="5" t="str" cm="1">
        <f t="array" ref="R50">_xlfn.SWITCH(TRUE, N50&gt;=3, "High", "Low")</f>
        <v>High</v>
      </c>
    </row>
    <row r="51" spans="1:18" x14ac:dyDescent="0.35">
      <c r="A51" s="5">
        <v>48</v>
      </c>
      <c r="B51" s="5">
        <v>5</v>
      </c>
      <c r="C51" s="5">
        <v>5</v>
      </c>
      <c r="D51" s="5">
        <v>5</v>
      </c>
      <c r="E51" s="5">
        <v>3</v>
      </c>
      <c r="F51" s="5">
        <v>3</v>
      </c>
      <c r="G51" s="5">
        <v>4</v>
      </c>
      <c r="H51" s="5">
        <v>5</v>
      </c>
      <c r="I51" s="5">
        <v>5</v>
      </c>
      <c r="J51" s="5">
        <v>5</v>
      </c>
      <c r="K51" s="5">
        <v>4</v>
      </c>
      <c r="L51" s="5">
        <v>4</v>
      </c>
      <c r="M51" s="5">
        <v>4</v>
      </c>
      <c r="N51" s="16">
        <f t="shared" si="3"/>
        <v>4.333333333333333</v>
      </c>
      <c r="O51" s="5" t="str">
        <f t="shared" si="4"/>
        <v>High</v>
      </c>
      <c r="P51" s="5" t="str" cm="1">
        <f t="array" ref="P51">_xlfn.SWITCH(TRUE, N51&gt;=3.5, "High", N51&gt;=2.5, "Moderate", "Low")</f>
        <v>High</v>
      </c>
      <c r="Q51" s="5" t="str">
        <f t="shared" si="5"/>
        <v>High</v>
      </c>
      <c r="R51" s="5" t="str" cm="1">
        <f t="array" ref="R51">_xlfn.SWITCH(TRUE, N51&gt;=3, "High", "Low")</f>
        <v>High</v>
      </c>
    </row>
    <row r="52" spans="1:18" x14ac:dyDescent="0.35">
      <c r="A52" s="5">
        <v>49</v>
      </c>
      <c r="B52" s="5">
        <v>3</v>
      </c>
      <c r="C52" s="5">
        <v>4</v>
      </c>
      <c r="D52" s="5">
        <v>3</v>
      </c>
      <c r="E52" s="5">
        <v>4</v>
      </c>
      <c r="F52" s="5">
        <v>4</v>
      </c>
      <c r="G52" s="5">
        <v>4</v>
      </c>
      <c r="H52" s="5">
        <v>4</v>
      </c>
      <c r="I52" s="5">
        <v>3</v>
      </c>
      <c r="J52" s="5">
        <v>2</v>
      </c>
      <c r="K52" s="5">
        <v>4</v>
      </c>
      <c r="L52" s="5">
        <v>3</v>
      </c>
      <c r="M52" s="5">
        <v>3</v>
      </c>
      <c r="N52" s="16">
        <f t="shared" si="3"/>
        <v>3.4166666666666665</v>
      </c>
      <c r="O52" s="5" t="str">
        <f t="shared" si="4"/>
        <v>Low</v>
      </c>
      <c r="P52" s="5" t="str" cm="1">
        <f t="array" ref="P52">_xlfn.SWITCH(TRUE, N52&gt;=3.5, "High", N52&gt;=2.5, "Moderate", "Low")</f>
        <v>Moderate</v>
      </c>
      <c r="Q52" s="5" t="str">
        <f t="shared" si="5"/>
        <v>Low</v>
      </c>
      <c r="R52" s="5" t="str" cm="1">
        <f t="array" ref="R52">_xlfn.SWITCH(TRUE, N52&gt;=3, "High", "Low")</f>
        <v>High</v>
      </c>
    </row>
    <row r="53" spans="1:18" x14ac:dyDescent="0.35">
      <c r="A53" s="5">
        <v>50</v>
      </c>
      <c r="B53" s="5">
        <v>1</v>
      </c>
      <c r="C53" s="5">
        <v>2</v>
      </c>
      <c r="D53" s="5">
        <v>1</v>
      </c>
      <c r="E53" s="5">
        <v>2</v>
      </c>
      <c r="F53" s="5">
        <v>1</v>
      </c>
      <c r="G53" s="5">
        <v>2</v>
      </c>
      <c r="H53" s="5">
        <v>1</v>
      </c>
      <c r="I53" s="5">
        <v>1</v>
      </c>
      <c r="J53" s="5">
        <v>1</v>
      </c>
      <c r="K53" s="5">
        <v>1</v>
      </c>
      <c r="L53" s="5">
        <v>1</v>
      </c>
      <c r="M53" s="5">
        <v>3</v>
      </c>
      <c r="N53" s="16">
        <f t="shared" si="3"/>
        <v>1.4166666666666667</v>
      </c>
      <c r="O53" s="5" t="str">
        <f t="shared" si="4"/>
        <v>Low</v>
      </c>
      <c r="P53" s="5" t="str" cm="1">
        <f t="array" ref="P53">_xlfn.SWITCH(TRUE, N53&gt;=3.5, "High", N53&gt;=2.5, "Moderate", "Low")</f>
        <v>Low</v>
      </c>
      <c r="Q53" s="5" t="str">
        <f t="shared" si="5"/>
        <v>Low</v>
      </c>
      <c r="R53" s="5" t="str" cm="1">
        <f t="array" ref="R53">_xlfn.SWITCH(TRUE, N53&gt;=3, "High", "Low")</f>
        <v>Low</v>
      </c>
    </row>
    <row r="54" spans="1:18" x14ac:dyDescent="0.35">
      <c r="A54" s="5">
        <v>51</v>
      </c>
      <c r="B54" s="5">
        <v>5</v>
      </c>
      <c r="C54" s="5">
        <v>4</v>
      </c>
      <c r="D54" s="5">
        <v>5</v>
      </c>
      <c r="E54" s="5">
        <v>4</v>
      </c>
      <c r="F54" s="5">
        <v>4</v>
      </c>
      <c r="G54" s="5">
        <v>3</v>
      </c>
      <c r="H54" s="5">
        <v>4</v>
      </c>
      <c r="I54" s="5">
        <v>4</v>
      </c>
      <c r="J54" s="5">
        <v>4</v>
      </c>
      <c r="K54" s="5">
        <v>5</v>
      </c>
      <c r="L54" s="5">
        <v>5</v>
      </c>
      <c r="M54" s="5">
        <v>5</v>
      </c>
      <c r="N54" s="16">
        <f t="shared" si="3"/>
        <v>4.333333333333333</v>
      </c>
      <c r="O54" s="5" t="str">
        <f t="shared" si="4"/>
        <v>High</v>
      </c>
      <c r="P54" s="5" t="str" cm="1">
        <f t="array" ref="P54">_xlfn.SWITCH(TRUE, N54&gt;=3.5, "High", N54&gt;=2.5, "Moderate", "Low")</f>
        <v>High</v>
      </c>
      <c r="Q54" s="5" t="str">
        <f t="shared" si="5"/>
        <v>High</v>
      </c>
      <c r="R54" s="5" t="str" cm="1">
        <f t="array" ref="R54">_xlfn.SWITCH(TRUE, N54&gt;=3, "High", "Low")</f>
        <v>High</v>
      </c>
    </row>
    <row r="55" spans="1:18" x14ac:dyDescent="0.35">
      <c r="A55" s="5">
        <v>52</v>
      </c>
      <c r="B55" s="5">
        <v>5</v>
      </c>
      <c r="C55" s="5">
        <v>5</v>
      </c>
      <c r="D55" s="5">
        <v>5</v>
      </c>
      <c r="E55" s="5">
        <v>5</v>
      </c>
      <c r="F55" s="5">
        <v>5</v>
      </c>
      <c r="G55" s="5">
        <v>5</v>
      </c>
      <c r="H55" s="5">
        <v>2</v>
      </c>
      <c r="I55" s="5">
        <v>3</v>
      </c>
      <c r="J55" s="5">
        <v>5</v>
      </c>
      <c r="K55" s="5">
        <v>5</v>
      </c>
      <c r="L55" s="5">
        <v>3</v>
      </c>
      <c r="M55" s="5">
        <v>5</v>
      </c>
      <c r="N55" s="16">
        <f t="shared" si="3"/>
        <v>4.416666666666667</v>
      </c>
      <c r="O55" s="5" t="str">
        <f t="shared" si="4"/>
        <v>High</v>
      </c>
      <c r="P55" s="5" t="str" cm="1">
        <f t="array" ref="P55">_xlfn.SWITCH(TRUE, N55&gt;=3.5, "High", N55&gt;=2.5, "Moderate", "Low")</f>
        <v>High</v>
      </c>
      <c r="Q55" s="5" t="str">
        <f t="shared" si="5"/>
        <v>High</v>
      </c>
      <c r="R55" s="5" t="str" cm="1">
        <f t="array" ref="R55">_xlfn.SWITCH(TRUE, N55&gt;=3, "High", "Low")</f>
        <v>High</v>
      </c>
    </row>
    <row r="56" spans="1:18" x14ac:dyDescent="0.35">
      <c r="A56" s="5">
        <v>53</v>
      </c>
      <c r="B56" s="5">
        <v>4</v>
      </c>
      <c r="C56" s="5">
        <v>1</v>
      </c>
      <c r="D56" s="5">
        <v>4</v>
      </c>
      <c r="E56" s="5">
        <v>3</v>
      </c>
      <c r="F56" s="5">
        <v>1</v>
      </c>
      <c r="G56" s="5">
        <v>2</v>
      </c>
      <c r="H56" s="5">
        <v>2</v>
      </c>
      <c r="I56" s="5">
        <v>1</v>
      </c>
      <c r="J56" s="5">
        <v>3</v>
      </c>
      <c r="K56" s="5">
        <v>2</v>
      </c>
      <c r="L56" s="5">
        <v>4</v>
      </c>
      <c r="M56" s="5">
        <v>3</v>
      </c>
      <c r="N56" s="16">
        <f t="shared" si="3"/>
        <v>2.5</v>
      </c>
      <c r="O56" s="5" t="str">
        <f t="shared" si="4"/>
        <v>Low</v>
      </c>
      <c r="P56" s="5" t="str" cm="1">
        <f t="array" ref="P56">_xlfn.SWITCH(TRUE, N56&gt;=3.5, "High", N56&gt;=2.5, "Moderate", "Low")</f>
        <v>Moderate</v>
      </c>
      <c r="Q56" s="5" t="str">
        <f t="shared" si="5"/>
        <v>Low</v>
      </c>
      <c r="R56" s="5" t="str" cm="1">
        <f t="array" ref="R56">_xlfn.SWITCH(TRUE, N56&gt;=3, "High", "Low")</f>
        <v>Low</v>
      </c>
    </row>
    <row r="57" spans="1:18" x14ac:dyDescent="0.35">
      <c r="A57" s="5">
        <v>54</v>
      </c>
      <c r="B57" s="5">
        <v>3</v>
      </c>
      <c r="C57" s="5">
        <v>3</v>
      </c>
      <c r="D57" s="5">
        <v>1</v>
      </c>
      <c r="E57" s="5">
        <v>3</v>
      </c>
      <c r="F57" s="5">
        <v>4</v>
      </c>
      <c r="G57" s="5">
        <v>4</v>
      </c>
      <c r="H57" s="5">
        <v>3</v>
      </c>
      <c r="I57" s="5">
        <v>4</v>
      </c>
      <c r="J57" s="5">
        <v>1</v>
      </c>
      <c r="K57" s="5">
        <v>4</v>
      </c>
      <c r="L57" s="5">
        <v>2</v>
      </c>
      <c r="M57" s="5">
        <v>4</v>
      </c>
      <c r="N57" s="16">
        <f t="shared" si="3"/>
        <v>3</v>
      </c>
      <c r="O57" s="5" t="str">
        <f t="shared" si="4"/>
        <v>Low</v>
      </c>
      <c r="P57" s="5" t="str" cm="1">
        <f t="array" ref="P57">_xlfn.SWITCH(TRUE, N57&gt;=3.5, "High", N57&gt;=2.5, "Moderate", "Low")</f>
        <v>Moderate</v>
      </c>
      <c r="Q57" s="5" t="str">
        <f t="shared" si="5"/>
        <v>Low</v>
      </c>
      <c r="R57" s="5" t="str" cm="1">
        <f t="array" ref="R57">_xlfn.SWITCH(TRUE, N57&gt;=3, "High", "Low")</f>
        <v>High</v>
      </c>
    </row>
    <row r="58" spans="1:18" x14ac:dyDescent="0.35">
      <c r="A58" s="5">
        <v>55</v>
      </c>
      <c r="B58" s="5">
        <v>3</v>
      </c>
      <c r="C58" s="5">
        <v>1</v>
      </c>
      <c r="D58" s="5">
        <v>5</v>
      </c>
      <c r="E58" s="5">
        <v>5</v>
      </c>
      <c r="F58" s="5">
        <v>3</v>
      </c>
      <c r="G58" s="5">
        <v>4</v>
      </c>
      <c r="H58" s="5">
        <v>1</v>
      </c>
      <c r="I58" s="5">
        <v>1</v>
      </c>
      <c r="J58" s="5">
        <v>5</v>
      </c>
      <c r="K58" s="5">
        <v>4</v>
      </c>
      <c r="L58" s="5">
        <v>5</v>
      </c>
      <c r="M58" s="5">
        <v>5</v>
      </c>
      <c r="N58" s="16">
        <f t="shared" si="3"/>
        <v>3.5</v>
      </c>
      <c r="O58" s="5" t="str">
        <f t="shared" si="4"/>
        <v>Low</v>
      </c>
      <c r="P58" s="5" t="str" cm="1">
        <f t="array" ref="P58">_xlfn.SWITCH(TRUE, N58&gt;=3.5, "High", N58&gt;=2.5, "Moderate", "Low")</f>
        <v>High</v>
      </c>
      <c r="Q58" s="5" t="str">
        <f t="shared" si="5"/>
        <v>Low</v>
      </c>
      <c r="R58" s="5" t="str" cm="1">
        <f t="array" ref="R58">_xlfn.SWITCH(TRUE, N58&gt;=3, "High", "Low")</f>
        <v>High</v>
      </c>
    </row>
    <row r="59" spans="1:18" x14ac:dyDescent="0.35">
      <c r="A59" s="5">
        <v>56</v>
      </c>
      <c r="B59" s="5">
        <v>5</v>
      </c>
      <c r="C59" s="5">
        <v>5</v>
      </c>
      <c r="D59" s="5">
        <v>5</v>
      </c>
      <c r="E59" s="5">
        <v>5</v>
      </c>
      <c r="F59" s="5">
        <v>5</v>
      </c>
      <c r="G59" s="5">
        <v>5</v>
      </c>
      <c r="H59" s="5">
        <v>5</v>
      </c>
      <c r="I59" s="5">
        <v>5</v>
      </c>
      <c r="J59" s="5">
        <v>5</v>
      </c>
      <c r="K59" s="5">
        <v>5</v>
      </c>
      <c r="L59" s="5">
        <v>5</v>
      </c>
      <c r="M59" s="5">
        <v>5</v>
      </c>
      <c r="N59" s="16">
        <f t="shared" si="3"/>
        <v>5</v>
      </c>
      <c r="O59" s="5" t="str">
        <f t="shared" si="4"/>
        <v>High</v>
      </c>
      <c r="P59" s="5" t="str" cm="1">
        <f t="array" ref="P59">_xlfn.SWITCH(TRUE, N59&gt;=3.5, "High", N59&gt;=2.5, "Moderate", "Low")</f>
        <v>High</v>
      </c>
      <c r="Q59" s="5" t="str">
        <f t="shared" si="5"/>
        <v>High</v>
      </c>
      <c r="R59" s="5" t="str" cm="1">
        <f t="array" ref="R59">_xlfn.SWITCH(TRUE, N59&gt;=3, "High", "Low")</f>
        <v>High</v>
      </c>
    </row>
    <row r="60" spans="1:18" x14ac:dyDescent="0.35">
      <c r="A60" s="5">
        <v>57</v>
      </c>
      <c r="B60" s="5">
        <v>4</v>
      </c>
      <c r="C60" s="5">
        <v>5</v>
      </c>
      <c r="D60" s="5">
        <v>1</v>
      </c>
      <c r="E60" s="5">
        <v>3</v>
      </c>
      <c r="F60" s="5">
        <v>5</v>
      </c>
      <c r="G60" s="5">
        <v>4</v>
      </c>
      <c r="H60" s="5">
        <v>5</v>
      </c>
      <c r="I60" s="5">
        <v>5</v>
      </c>
      <c r="J60" s="5">
        <v>5</v>
      </c>
      <c r="K60" s="5">
        <v>5</v>
      </c>
      <c r="L60" s="5">
        <v>1</v>
      </c>
      <c r="M60" s="5">
        <v>5</v>
      </c>
      <c r="N60" s="16">
        <f t="shared" si="3"/>
        <v>4</v>
      </c>
      <c r="O60" s="5" t="str">
        <f t="shared" si="4"/>
        <v>Moderate</v>
      </c>
      <c r="P60" s="5" t="str" cm="1">
        <f t="array" ref="P60">_xlfn.SWITCH(TRUE, N60&gt;=3.5, "High", N60&gt;=2.5, "Moderate", "Low")</f>
        <v>High</v>
      </c>
      <c r="Q60" s="5" t="str">
        <f t="shared" si="5"/>
        <v>Low</v>
      </c>
      <c r="R60" s="5" t="str" cm="1">
        <f t="array" ref="R60">_xlfn.SWITCH(TRUE, N60&gt;=3, "High", "Low")</f>
        <v>High</v>
      </c>
    </row>
    <row r="61" spans="1:18" x14ac:dyDescent="0.35">
      <c r="A61" s="5">
        <v>58</v>
      </c>
      <c r="B61" s="5">
        <v>5</v>
      </c>
      <c r="C61" s="5">
        <v>4</v>
      </c>
      <c r="D61" s="5">
        <v>5</v>
      </c>
      <c r="E61" s="5">
        <v>3</v>
      </c>
      <c r="F61" s="5">
        <v>3</v>
      </c>
      <c r="G61" s="5">
        <v>3</v>
      </c>
      <c r="H61" s="5">
        <v>4</v>
      </c>
      <c r="I61" s="5">
        <v>3</v>
      </c>
      <c r="J61" s="5">
        <v>4</v>
      </c>
      <c r="K61" s="5">
        <v>2</v>
      </c>
      <c r="L61" s="5">
        <v>2</v>
      </c>
      <c r="M61" s="5">
        <v>3</v>
      </c>
      <c r="N61" s="16">
        <f t="shared" si="3"/>
        <v>3.4166666666666665</v>
      </c>
      <c r="O61" s="5" t="str">
        <f t="shared" si="4"/>
        <v>Low</v>
      </c>
      <c r="P61" s="5" t="str" cm="1">
        <f t="array" ref="P61">_xlfn.SWITCH(TRUE, N61&gt;=3.5, "High", N61&gt;=2.5, "Moderate", "Low")</f>
        <v>Moderate</v>
      </c>
      <c r="Q61" s="5" t="str">
        <f t="shared" si="5"/>
        <v>Low</v>
      </c>
      <c r="R61" s="5" t="str" cm="1">
        <f t="array" ref="R61">_xlfn.SWITCH(TRUE, N61&gt;=3, "High", "Low")</f>
        <v>High</v>
      </c>
    </row>
    <row r="62" spans="1:18" x14ac:dyDescent="0.35">
      <c r="A62" s="5">
        <v>59</v>
      </c>
      <c r="B62" s="5">
        <v>1</v>
      </c>
      <c r="C62" s="5">
        <v>4</v>
      </c>
      <c r="D62" s="5">
        <v>1</v>
      </c>
      <c r="E62" s="5">
        <v>1</v>
      </c>
      <c r="F62" s="5">
        <v>3</v>
      </c>
      <c r="G62" s="5">
        <v>4</v>
      </c>
      <c r="H62" s="5">
        <v>4</v>
      </c>
      <c r="I62" s="5">
        <v>4</v>
      </c>
      <c r="J62" s="5">
        <v>1</v>
      </c>
      <c r="K62" s="5">
        <v>4</v>
      </c>
      <c r="L62" s="5">
        <v>2</v>
      </c>
      <c r="M62" s="5">
        <v>4</v>
      </c>
      <c r="N62" s="16">
        <f t="shared" si="3"/>
        <v>2.75</v>
      </c>
      <c r="O62" s="5" t="str">
        <f t="shared" si="4"/>
        <v>Low</v>
      </c>
      <c r="P62" s="5" t="str" cm="1">
        <f t="array" ref="P62">_xlfn.SWITCH(TRUE, N62&gt;=3.5, "High", N62&gt;=2.5, "Moderate", "Low")</f>
        <v>Moderate</v>
      </c>
      <c r="Q62" s="5" t="str">
        <f t="shared" si="5"/>
        <v>Low</v>
      </c>
      <c r="R62" s="5" t="str" cm="1">
        <f t="array" ref="R62">_xlfn.SWITCH(TRUE, N62&gt;=3, "High", "Low")</f>
        <v>Low</v>
      </c>
    </row>
    <row r="63" spans="1:18" x14ac:dyDescent="0.35">
      <c r="A63" s="5">
        <v>60</v>
      </c>
      <c r="B63" s="5">
        <v>5</v>
      </c>
      <c r="C63" s="5">
        <v>5</v>
      </c>
      <c r="D63" s="5">
        <v>5</v>
      </c>
      <c r="E63" s="5">
        <v>4</v>
      </c>
      <c r="F63" s="5">
        <v>5</v>
      </c>
      <c r="G63" s="5">
        <v>5</v>
      </c>
      <c r="H63" s="5">
        <v>5</v>
      </c>
      <c r="I63" s="5">
        <v>5</v>
      </c>
      <c r="J63" s="5">
        <v>5</v>
      </c>
      <c r="K63" s="5">
        <v>4</v>
      </c>
      <c r="L63" s="5">
        <v>4</v>
      </c>
      <c r="M63" s="5">
        <v>4</v>
      </c>
      <c r="N63" s="16">
        <f t="shared" si="3"/>
        <v>4.666666666666667</v>
      </c>
      <c r="O63" s="5" t="str">
        <f t="shared" si="4"/>
        <v>High</v>
      </c>
      <c r="P63" s="5" t="str" cm="1">
        <f t="array" ref="P63">_xlfn.SWITCH(TRUE, N63&gt;=3.5, "High", N63&gt;=2.5, "Moderate", "Low")</f>
        <v>High</v>
      </c>
      <c r="Q63" s="5" t="str">
        <f t="shared" si="5"/>
        <v>High</v>
      </c>
      <c r="R63" s="5" t="str" cm="1">
        <f t="array" ref="R63">_xlfn.SWITCH(TRUE, N63&gt;=3, "High", "Low")</f>
        <v>High</v>
      </c>
    </row>
    <row r="64" spans="1:18" x14ac:dyDescent="0.35">
      <c r="A64" s="5">
        <v>61</v>
      </c>
      <c r="B64" s="5">
        <v>3</v>
      </c>
      <c r="C64" s="5">
        <v>1</v>
      </c>
      <c r="D64" s="5">
        <v>5</v>
      </c>
      <c r="E64" s="5">
        <v>1</v>
      </c>
      <c r="F64" s="5">
        <v>2</v>
      </c>
      <c r="G64" s="5">
        <v>4</v>
      </c>
      <c r="H64" s="5">
        <v>2</v>
      </c>
      <c r="I64" s="5">
        <v>2</v>
      </c>
      <c r="J64" s="5">
        <v>4</v>
      </c>
      <c r="K64" s="5">
        <v>2</v>
      </c>
      <c r="L64" s="5">
        <v>1</v>
      </c>
      <c r="M64" s="5">
        <v>3</v>
      </c>
      <c r="N64" s="16">
        <f t="shared" si="3"/>
        <v>2.5</v>
      </c>
      <c r="O64" s="5" t="str">
        <f t="shared" si="4"/>
        <v>Low</v>
      </c>
      <c r="P64" s="5" t="str" cm="1">
        <f t="array" ref="P64">_xlfn.SWITCH(TRUE, N64&gt;=3.5, "High", N64&gt;=2.5, "Moderate", "Low")</f>
        <v>Moderate</v>
      </c>
      <c r="Q64" s="5" t="str">
        <f t="shared" si="5"/>
        <v>Low</v>
      </c>
      <c r="R64" s="5" t="str" cm="1">
        <f t="array" ref="R64">_xlfn.SWITCH(TRUE, N64&gt;=3, "High", "Low")</f>
        <v>Low</v>
      </c>
    </row>
    <row r="65" spans="1:18" x14ac:dyDescent="0.35">
      <c r="A65" s="5">
        <v>62</v>
      </c>
      <c r="B65" s="5">
        <v>3</v>
      </c>
      <c r="C65" s="5">
        <v>4</v>
      </c>
      <c r="D65" s="5">
        <v>2</v>
      </c>
      <c r="E65" s="5">
        <v>3</v>
      </c>
      <c r="F65" s="5">
        <v>3</v>
      </c>
      <c r="G65" s="5">
        <v>5</v>
      </c>
      <c r="H65" s="5">
        <v>5</v>
      </c>
      <c r="I65" s="5">
        <v>4</v>
      </c>
      <c r="J65" s="5">
        <v>4</v>
      </c>
      <c r="K65" s="5">
        <v>5</v>
      </c>
      <c r="L65" s="5">
        <v>2</v>
      </c>
      <c r="M65" s="5">
        <v>5</v>
      </c>
      <c r="N65" s="16">
        <f t="shared" si="3"/>
        <v>3.75</v>
      </c>
      <c r="O65" s="5" t="str">
        <f t="shared" si="4"/>
        <v>Moderate</v>
      </c>
      <c r="P65" s="5" t="str" cm="1">
        <f t="array" ref="P65">_xlfn.SWITCH(TRUE, N65&gt;=3.5, "High", N65&gt;=2.5, "Moderate", "Low")</f>
        <v>High</v>
      </c>
      <c r="Q65" s="5" t="str">
        <f t="shared" si="5"/>
        <v>Low</v>
      </c>
      <c r="R65" s="5" t="str" cm="1">
        <f t="array" ref="R65">_xlfn.SWITCH(TRUE, N65&gt;=3, "High", "Low")</f>
        <v>High</v>
      </c>
    </row>
    <row r="66" spans="1:18" x14ac:dyDescent="0.35">
      <c r="A66" s="5">
        <v>63</v>
      </c>
      <c r="B66" s="5">
        <v>3</v>
      </c>
      <c r="C66" s="5">
        <v>4</v>
      </c>
      <c r="D66" s="5">
        <v>5</v>
      </c>
      <c r="E66" s="5">
        <v>3</v>
      </c>
      <c r="F66" s="5">
        <v>4</v>
      </c>
      <c r="G66" s="5">
        <v>4</v>
      </c>
      <c r="H66" s="5">
        <v>2</v>
      </c>
      <c r="I66" s="5">
        <v>4</v>
      </c>
      <c r="J66" s="5">
        <v>3</v>
      </c>
      <c r="K66" s="5">
        <v>3</v>
      </c>
      <c r="L66" s="5">
        <v>2</v>
      </c>
      <c r="M66" s="5">
        <v>4</v>
      </c>
      <c r="N66" s="16">
        <f t="shared" si="3"/>
        <v>3.4166666666666665</v>
      </c>
      <c r="O66" s="5" t="str">
        <f t="shared" si="4"/>
        <v>Low</v>
      </c>
      <c r="P66" s="5" t="str" cm="1">
        <f t="array" ref="P66">_xlfn.SWITCH(TRUE, N66&gt;=3.5, "High", N66&gt;=2.5, "Moderate", "Low")</f>
        <v>Moderate</v>
      </c>
      <c r="Q66" s="5" t="str">
        <f t="shared" si="5"/>
        <v>Low</v>
      </c>
      <c r="R66" s="5" t="str" cm="1">
        <f t="array" ref="R66">_xlfn.SWITCH(TRUE, N66&gt;=3, "High", "Low")</f>
        <v>High</v>
      </c>
    </row>
    <row r="67" spans="1:18" x14ac:dyDescent="0.35">
      <c r="A67" s="5">
        <v>64</v>
      </c>
      <c r="B67" s="5">
        <v>4</v>
      </c>
      <c r="C67" s="5">
        <v>3</v>
      </c>
      <c r="D67" s="5">
        <v>3</v>
      </c>
      <c r="E67" s="5">
        <v>2</v>
      </c>
      <c r="F67" s="5">
        <v>3</v>
      </c>
      <c r="G67" s="5">
        <v>5</v>
      </c>
      <c r="H67" s="5">
        <v>4</v>
      </c>
      <c r="I67" s="5">
        <v>4</v>
      </c>
      <c r="J67" s="5">
        <v>3</v>
      </c>
      <c r="K67" s="5">
        <v>4</v>
      </c>
      <c r="L67" s="5">
        <v>3</v>
      </c>
      <c r="M67" s="5">
        <v>3</v>
      </c>
      <c r="N67" s="16">
        <f t="shared" si="3"/>
        <v>3.4166666666666665</v>
      </c>
      <c r="O67" s="5" t="str">
        <f t="shared" si="4"/>
        <v>Low</v>
      </c>
      <c r="P67" s="5" t="str" cm="1">
        <f t="array" ref="P67">_xlfn.SWITCH(TRUE, N67&gt;=3.5, "High", N67&gt;=2.5, "Moderate", "Low")</f>
        <v>Moderate</v>
      </c>
      <c r="Q67" s="5" t="str">
        <f t="shared" si="5"/>
        <v>Low</v>
      </c>
      <c r="R67" s="5" t="str" cm="1">
        <f t="array" ref="R67">_xlfn.SWITCH(TRUE, N67&gt;=3, "High", "Low")</f>
        <v>High</v>
      </c>
    </row>
    <row r="68" spans="1:18" x14ac:dyDescent="0.35">
      <c r="A68" s="5">
        <v>65</v>
      </c>
      <c r="B68" s="5">
        <v>5</v>
      </c>
      <c r="C68" s="5">
        <v>4</v>
      </c>
      <c r="D68" s="5">
        <v>5</v>
      </c>
      <c r="E68" s="5">
        <v>5</v>
      </c>
      <c r="F68" s="5">
        <v>5</v>
      </c>
      <c r="G68" s="5">
        <v>5</v>
      </c>
      <c r="H68" s="5">
        <v>5</v>
      </c>
      <c r="I68" s="5">
        <v>5</v>
      </c>
      <c r="J68" s="5">
        <v>5</v>
      </c>
      <c r="K68" s="5">
        <v>5</v>
      </c>
      <c r="L68" s="5">
        <v>5</v>
      </c>
      <c r="M68" s="5">
        <v>5</v>
      </c>
      <c r="N68" s="16">
        <f t="shared" ref="N68:N99" si="6">AVERAGE(B68:M68)</f>
        <v>4.916666666666667</v>
      </c>
      <c r="O68" s="5" t="str">
        <f t="shared" ref="O68:O99" si="7">_xlfn.SWITCH(TRUE, N68&lt;=$S$11, "Low", N68&gt;=$S$12, "High", "Moderate")</f>
        <v>High</v>
      </c>
      <c r="P68" s="5" t="str" cm="1">
        <f t="array" ref="P68">_xlfn.SWITCH(TRUE, N68&gt;=3.5, "High", N68&gt;=2.5, "Moderate", "Low")</f>
        <v>High</v>
      </c>
      <c r="Q68" s="5" t="str">
        <f t="shared" ref="Q68:Q99" si="8">_xlfn.SWITCH(TRUE, N68&lt;=$S$13, "Low", "High")</f>
        <v>High</v>
      </c>
      <c r="R68" s="5" t="str" cm="1">
        <f t="array" ref="R68">_xlfn.SWITCH(TRUE, N68&gt;=3, "High", "Low")</f>
        <v>High</v>
      </c>
    </row>
    <row r="69" spans="1:18" x14ac:dyDescent="0.35">
      <c r="A69" s="5">
        <v>66</v>
      </c>
      <c r="B69" s="5">
        <v>5</v>
      </c>
      <c r="C69" s="5">
        <v>5</v>
      </c>
      <c r="D69" s="5">
        <v>5</v>
      </c>
      <c r="E69" s="5">
        <v>5</v>
      </c>
      <c r="F69" s="5">
        <v>5</v>
      </c>
      <c r="G69" s="5">
        <v>5</v>
      </c>
      <c r="H69" s="5">
        <v>5</v>
      </c>
      <c r="I69" s="5">
        <v>5</v>
      </c>
      <c r="J69" s="5">
        <v>5</v>
      </c>
      <c r="K69" s="5">
        <v>5</v>
      </c>
      <c r="L69" s="5">
        <v>4</v>
      </c>
      <c r="M69" s="5">
        <v>5</v>
      </c>
      <c r="N69" s="16">
        <f t="shared" si="6"/>
        <v>4.916666666666667</v>
      </c>
      <c r="O69" s="5" t="str">
        <f t="shared" si="7"/>
        <v>High</v>
      </c>
      <c r="P69" s="5" t="str" cm="1">
        <f t="array" ref="P69">_xlfn.SWITCH(TRUE, N69&gt;=3.5, "High", N69&gt;=2.5, "Moderate", "Low")</f>
        <v>High</v>
      </c>
      <c r="Q69" s="5" t="str">
        <f t="shared" si="8"/>
        <v>High</v>
      </c>
      <c r="R69" s="5" t="str" cm="1">
        <f t="array" ref="R69">_xlfn.SWITCH(TRUE, N69&gt;=3, "High", "Low")</f>
        <v>High</v>
      </c>
    </row>
    <row r="70" spans="1:18" x14ac:dyDescent="0.35">
      <c r="A70" s="5">
        <v>67</v>
      </c>
      <c r="B70" s="5">
        <v>4</v>
      </c>
      <c r="C70" s="5">
        <v>2</v>
      </c>
      <c r="D70" s="5">
        <v>5</v>
      </c>
      <c r="E70" s="5">
        <v>5</v>
      </c>
      <c r="F70" s="5">
        <v>3</v>
      </c>
      <c r="G70" s="5">
        <v>1</v>
      </c>
      <c r="H70" s="5">
        <v>1</v>
      </c>
      <c r="I70" s="5">
        <v>1</v>
      </c>
      <c r="J70" s="5">
        <v>2</v>
      </c>
      <c r="K70" s="5">
        <v>3</v>
      </c>
      <c r="L70" s="5">
        <v>5</v>
      </c>
      <c r="M70" s="5">
        <v>2</v>
      </c>
      <c r="N70" s="16">
        <f t="shared" si="6"/>
        <v>2.8333333333333335</v>
      </c>
      <c r="O70" s="5" t="str">
        <f t="shared" si="7"/>
        <v>Low</v>
      </c>
      <c r="P70" s="5" t="str" cm="1">
        <f t="array" ref="P70">_xlfn.SWITCH(TRUE, N70&gt;=3.5, "High", N70&gt;=2.5, "Moderate", "Low")</f>
        <v>Moderate</v>
      </c>
      <c r="Q70" s="5" t="str">
        <f t="shared" si="8"/>
        <v>Low</v>
      </c>
      <c r="R70" s="5" t="str" cm="1">
        <f t="array" ref="R70">_xlfn.SWITCH(TRUE, N70&gt;=3, "High", "Low")</f>
        <v>Low</v>
      </c>
    </row>
    <row r="71" spans="1:18" x14ac:dyDescent="0.35">
      <c r="A71" s="5">
        <v>68</v>
      </c>
      <c r="B71" s="5">
        <v>4</v>
      </c>
      <c r="C71" s="5">
        <v>3</v>
      </c>
      <c r="D71" s="5">
        <v>4</v>
      </c>
      <c r="E71" s="5">
        <v>4</v>
      </c>
      <c r="F71" s="5">
        <v>3</v>
      </c>
      <c r="G71" s="5">
        <v>2</v>
      </c>
      <c r="H71" s="5">
        <v>3</v>
      </c>
      <c r="I71" s="5">
        <v>2</v>
      </c>
      <c r="J71" s="5">
        <v>3</v>
      </c>
      <c r="K71" s="5">
        <v>2</v>
      </c>
      <c r="L71" s="5">
        <v>2</v>
      </c>
      <c r="M71" s="5">
        <v>3</v>
      </c>
      <c r="N71" s="16">
        <f t="shared" si="6"/>
        <v>2.9166666666666665</v>
      </c>
      <c r="O71" s="5" t="str">
        <f t="shared" si="7"/>
        <v>Low</v>
      </c>
      <c r="P71" s="5" t="str" cm="1">
        <f t="array" ref="P71">_xlfn.SWITCH(TRUE, N71&gt;=3.5, "High", N71&gt;=2.5, "Moderate", "Low")</f>
        <v>Moderate</v>
      </c>
      <c r="Q71" s="5" t="str">
        <f t="shared" si="8"/>
        <v>Low</v>
      </c>
      <c r="R71" s="5" t="str" cm="1">
        <f t="array" ref="R71">_xlfn.SWITCH(TRUE, N71&gt;=3, "High", "Low")</f>
        <v>Low</v>
      </c>
    </row>
    <row r="72" spans="1:18" x14ac:dyDescent="0.35">
      <c r="A72" s="5">
        <v>69</v>
      </c>
      <c r="B72" s="5">
        <v>4</v>
      </c>
      <c r="C72" s="5">
        <v>3</v>
      </c>
      <c r="D72" s="5">
        <v>3</v>
      </c>
      <c r="E72" s="5">
        <v>2</v>
      </c>
      <c r="F72" s="5">
        <v>3</v>
      </c>
      <c r="G72" s="5">
        <v>3</v>
      </c>
      <c r="H72" s="5">
        <v>3</v>
      </c>
      <c r="I72" s="5">
        <v>3</v>
      </c>
      <c r="J72" s="5">
        <v>3</v>
      </c>
      <c r="K72" s="5">
        <v>4</v>
      </c>
      <c r="L72" s="5">
        <v>3</v>
      </c>
      <c r="M72" s="5">
        <v>1</v>
      </c>
      <c r="N72" s="16">
        <f t="shared" si="6"/>
        <v>2.9166666666666665</v>
      </c>
      <c r="O72" s="5" t="str">
        <f t="shared" si="7"/>
        <v>Low</v>
      </c>
      <c r="P72" s="5" t="str" cm="1">
        <f t="array" ref="P72">_xlfn.SWITCH(TRUE, N72&gt;=3.5, "High", N72&gt;=2.5, "Moderate", "Low")</f>
        <v>Moderate</v>
      </c>
      <c r="Q72" s="5" t="str">
        <f t="shared" si="8"/>
        <v>Low</v>
      </c>
      <c r="R72" s="5" t="str" cm="1">
        <f t="array" ref="R72">_xlfn.SWITCH(TRUE, N72&gt;=3, "High", "Low")</f>
        <v>Low</v>
      </c>
    </row>
    <row r="73" spans="1:18" x14ac:dyDescent="0.35">
      <c r="A73" s="5">
        <v>70</v>
      </c>
      <c r="B73" s="5">
        <v>5</v>
      </c>
      <c r="C73" s="5">
        <v>5</v>
      </c>
      <c r="D73" s="5">
        <v>5</v>
      </c>
      <c r="E73" s="5">
        <v>5</v>
      </c>
      <c r="F73" s="5">
        <v>5</v>
      </c>
      <c r="G73" s="5">
        <v>5</v>
      </c>
      <c r="H73" s="5">
        <v>5</v>
      </c>
      <c r="I73" s="5">
        <v>5</v>
      </c>
      <c r="J73" s="5">
        <v>2</v>
      </c>
      <c r="K73" s="5">
        <v>5</v>
      </c>
      <c r="L73" s="5">
        <v>5</v>
      </c>
      <c r="M73" s="5">
        <v>5</v>
      </c>
      <c r="N73" s="16">
        <f t="shared" si="6"/>
        <v>4.75</v>
      </c>
      <c r="O73" s="5" t="str">
        <f t="shared" si="7"/>
        <v>High</v>
      </c>
      <c r="P73" s="5" t="str" cm="1">
        <f t="array" ref="P73">_xlfn.SWITCH(TRUE, N73&gt;=3.5, "High", N73&gt;=2.5, "Moderate", "Low")</f>
        <v>High</v>
      </c>
      <c r="Q73" s="5" t="str">
        <f t="shared" si="8"/>
        <v>High</v>
      </c>
      <c r="R73" s="5" t="str" cm="1">
        <f t="array" ref="R73">_xlfn.SWITCH(TRUE, N73&gt;=3, "High", "Low")</f>
        <v>High</v>
      </c>
    </row>
    <row r="74" spans="1:18" x14ac:dyDescent="0.35">
      <c r="A74" s="5">
        <v>71</v>
      </c>
      <c r="B74" s="5">
        <v>4</v>
      </c>
      <c r="C74" s="5">
        <v>5</v>
      </c>
      <c r="D74" s="5">
        <v>5</v>
      </c>
      <c r="E74" s="5">
        <v>4</v>
      </c>
      <c r="F74" s="5">
        <v>4</v>
      </c>
      <c r="G74" s="5">
        <v>3</v>
      </c>
      <c r="H74" s="5">
        <v>5</v>
      </c>
      <c r="I74" s="5">
        <v>4</v>
      </c>
      <c r="J74" s="5">
        <v>4</v>
      </c>
      <c r="K74" s="5">
        <v>5</v>
      </c>
      <c r="L74" s="5">
        <v>4</v>
      </c>
      <c r="M74" s="5">
        <v>5</v>
      </c>
      <c r="N74" s="16">
        <f t="shared" si="6"/>
        <v>4.333333333333333</v>
      </c>
      <c r="O74" s="5" t="str">
        <f t="shared" si="7"/>
        <v>High</v>
      </c>
      <c r="P74" s="5" t="str" cm="1">
        <f t="array" ref="P74">_xlfn.SWITCH(TRUE, N74&gt;=3.5, "High", N74&gt;=2.5, "Moderate", "Low")</f>
        <v>High</v>
      </c>
      <c r="Q74" s="5" t="str">
        <f t="shared" si="8"/>
        <v>High</v>
      </c>
      <c r="R74" s="5" t="str" cm="1">
        <f t="array" ref="R74">_xlfn.SWITCH(TRUE, N74&gt;=3, "High", "Low")</f>
        <v>High</v>
      </c>
    </row>
    <row r="75" spans="1:18" x14ac:dyDescent="0.35">
      <c r="A75" s="5">
        <v>72</v>
      </c>
      <c r="B75" s="5">
        <v>3</v>
      </c>
      <c r="C75" s="5">
        <v>4</v>
      </c>
      <c r="D75" s="5">
        <v>4</v>
      </c>
      <c r="E75" s="5">
        <v>3</v>
      </c>
      <c r="F75" s="5">
        <v>4</v>
      </c>
      <c r="G75" s="5">
        <v>4</v>
      </c>
      <c r="H75" s="5">
        <v>4</v>
      </c>
      <c r="I75" s="5">
        <v>4</v>
      </c>
      <c r="J75" s="5">
        <v>3</v>
      </c>
      <c r="K75" s="5">
        <v>4</v>
      </c>
      <c r="L75" s="5">
        <v>3</v>
      </c>
      <c r="M75" s="5">
        <v>4</v>
      </c>
      <c r="N75" s="16">
        <f t="shared" si="6"/>
        <v>3.6666666666666665</v>
      </c>
      <c r="O75" s="5" t="str">
        <f t="shared" si="7"/>
        <v>Low</v>
      </c>
      <c r="P75" s="5" t="str" cm="1">
        <f t="array" ref="P75">_xlfn.SWITCH(TRUE, N75&gt;=3.5, "High", N75&gt;=2.5, "Moderate", "Low")</f>
        <v>High</v>
      </c>
      <c r="Q75" s="5" t="str">
        <f t="shared" si="8"/>
        <v>Low</v>
      </c>
      <c r="R75" s="5" t="str" cm="1">
        <f t="array" ref="R75">_xlfn.SWITCH(TRUE, N75&gt;=3, "High", "Low")</f>
        <v>High</v>
      </c>
    </row>
    <row r="76" spans="1:18" x14ac:dyDescent="0.35">
      <c r="A76" s="5">
        <v>73</v>
      </c>
      <c r="B76" s="5">
        <v>5</v>
      </c>
      <c r="C76" s="5">
        <v>5</v>
      </c>
      <c r="D76" s="5">
        <v>5</v>
      </c>
      <c r="E76" s="5">
        <v>4</v>
      </c>
      <c r="F76" s="5">
        <v>5</v>
      </c>
      <c r="G76" s="5">
        <v>5</v>
      </c>
      <c r="H76" s="5">
        <v>3</v>
      </c>
      <c r="I76" s="5">
        <v>3</v>
      </c>
      <c r="J76" s="5">
        <v>4</v>
      </c>
      <c r="K76" s="5">
        <v>5</v>
      </c>
      <c r="L76" s="5">
        <v>3</v>
      </c>
      <c r="M76" s="5">
        <v>5</v>
      </c>
      <c r="N76" s="16">
        <f t="shared" si="6"/>
        <v>4.333333333333333</v>
      </c>
      <c r="O76" s="5" t="str">
        <f t="shared" si="7"/>
        <v>High</v>
      </c>
      <c r="P76" s="5" t="str" cm="1">
        <f t="array" ref="P76">_xlfn.SWITCH(TRUE, N76&gt;=3.5, "High", N76&gt;=2.5, "Moderate", "Low")</f>
        <v>High</v>
      </c>
      <c r="Q76" s="5" t="str">
        <f t="shared" si="8"/>
        <v>High</v>
      </c>
      <c r="R76" s="5" t="str" cm="1">
        <f t="array" ref="R76">_xlfn.SWITCH(TRUE, N76&gt;=3, "High", "Low")</f>
        <v>High</v>
      </c>
    </row>
    <row r="77" spans="1:18" x14ac:dyDescent="0.35">
      <c r="A77" s="5">
        <v>74</v>
      </c>
      <c r="B77" s="5">
        <v>5</v>
      </c>
      <c r="C77" s="5">
        <v>5</v>
      </c>
      <c r="D77" s="5">
        <v>5</v>
      </c>
      <c r="E77" s="5">
        <v>2</v>
      </c>
      <c r="F77" s="5">
        <v>5</v>
      </c>
      <c r="G77" s="5">
        <v>2</v>
      </c>
      <c r="H77" s="5">
        <v>5</v>
      </c>
      <c r="I77" s="5">
        <v>5</v>
      </c>
      <c r="J77" s="5">
        <v>4</v>
      </c>
      <c r="K77" s="5">
        <v>5</v>
      </c>
      <c r="L77" s="5">
        <v>5</v>
      </c>
      <c r="M77" s="5">
        <v>5</v>
      </c>
      <c r="N77" s="16">
        <f t="shared" si="6"/>
        <v>4.416666666666667</v>
      </c>
      <c r="O77" s="5" t="str">
        <f t="shared" si="7"/>
        <v>High</v>
      </c>
      <c r="P77" s="5" t="str" cm="1">
        <f t="array" ref="P77">_xlfn.SWITCH(TRUE, N77&gt;=3.5, "High", N77&gt;=2.5, "Moderate", "Low")</f>
        <v>High</v>
      </c>
      <c r="Q77" s="5" t="str">
        <f t="shared" si="8"/>
        <v>High</v>
      </c>
      <c r="R77" s="5" t="str" cm="1">
        <f t="array" ref="R77">_xlfn.SWITCH(TRUE, N77&gt;=3, "High", "Low")</f>
        <v>High</v>
      </c>
    </row>
    <row r="78" spans="1:18" x14ac:dyDescent="0.35">
      <c r="A78" s="5">
        <v>75</v>
      </c>
      <c r="B78" s="5">
        <v>5</v>
      </c>
      <c r="C78" s="5">
        <v>4</v>
      </c>
      <c r="D78" s="5">
        <v>5</v>
      </c>
      <c r="E78" s="5">
        <v>3</v>
      </c>
      <c r="F78" s="5">
        <v>2</v>
      </c>
      <c r="G78" s="5">
        <v>4</v>
      </c>
      <c r="H78" s="5">
        <v>3</v>
      </c>
      <c r="I78" s="5">
        <v>3</v>
      </c>
      <c r="J78" s="5">
        <v>1</v>
      </c>
      <c r="K78" s="5">
        <v>4</v>
      </c>
      <c r="L78" s="5">
        <v>2</v>
      </c>
      <c r="M78" s="5">
        <v>4</v>
      </c>
      <c r="N78" s="16">
        <f t="shared" si="6"/>
        <v>3.3333333333333335</v>
      </c>
      <c r="O78" s="5" t="str">
        <f t="shared" si="7"/>
        <v>Low</v>
      </c>
      <c r="P78" s="5" t="str" cm="1">
        <f t="array" ref="P78">_xlfn.SWITCH(TRUE, N78&gt;=3.5, "High", N78&gt;=2.5, "Moderate", "Low")</f>
        <v>Moderate</v>
      </c>
      <c r="Q78" s="5" t="str">
        <f t="shared" si="8"/>
        <v>Low</v>
      </c>
      <c r="R78" s="5" t="str" cm="1">
        <f t="array" ref="R78">_xlfn.SWITCH(TRUE, N78&gt;=3, "High", "Low")</f>
        <v>High</v>
      </c>
    </row>
    <row r="79" spans="1:18" x14ac:dyDescent="0.35">
      <c r="A79" s="5">
        <v>76</v>
      </c>
      <c r="B79" s="5">
        <v>5</v>
      </c>
      <c r="C79" s="5">
        <v>3</v>
      </c>
      <c r="D79" s="5">
        <v>5</v>
      </c>
      <c r="E79" s="5">
        <v>5</v>
      </c>
      <c r="F79" s="5">
        <v>4</v>
      </c>
      <c r="G79" s="5">
        <v>3</v>
      </c>
      <c r="H79" s="5">
        <v>5</v>
      </c>
      <c r="I79" s="5">
        <v>4</v>
      </c>
      <c r="J79" s="5">
        <v>3</v>
      </c>
      <c r="K79" s="5">
        <v>4</v>
      </c>
      <c r="L79" s="5">
        <v>5</v>
      </c>
      <c r="M79" s="5">
        <v>3</v>
      </c>
      <c r="N79" s="16">
        <f t="shared" si="6"/>
        <v>4.083333333333333</v>
      </c>
      <c r="O79" s="5" t="str">
        <f t="shared" si="7"/>
        <v>Moderate</v>
      </c>
      <c r="P79" s="5" t="str" cm="1">
        <f t="array" ref="P79">_xlfn.SWITCH(TRUE, N79&gt;=3.5, "High", N79&gt;=2.5, "Moderate", "Low")</f>
        <v>High</v>
      </c>
      <c r="Q79" s="5" t="str">
        <f t="shared" si="8"/>
        <v>High</v>
      </c>
      <c r="R79" s="5" t="str" cm="1">
        <f t="array" ref="R79">_xlfn.SWITCH(TRUE, N79&gt;=3, "High", "Low")</f>
        <v>High</v>
      </c>
    </row>
    <row r="80" spans="1:18" x14ac:dyDescent="0.35">
      <c r="A80" s="5">
        <v>77</v>
      </c>
      <c r="B80" s="5">
        <v>3</v>
      </c>
      <c r="C80" s="5">
        <v>5</v>
      </c>
      <c r="D80" s="5">
        <v>3</v>
      </c>
      <c r="E80" s="5">
        <v>5</v>
      </c>
      <c r="F80" s="5">
        <v>5</v>
      </c>
      <c r="G80" s="5">
        <v>4</v>
      </c>
      <c r="H80" s="5">
        <v>3</v>
      </c>
      <c r="I80" s="5">
        <v>4</v>
      </c>
      <c r="J80" s="5">
        <v>2</v>
      </c>
      <c r="K80" s="5">
        <v>3</v>
      </c>
      <c r="L80" s="5">
        <v>4</v>
      </c>
      <c r="M80" s="5">
        <v>5</v>
      </c>
      <c r="N80" s="16">
        <f t="shared" si="6"/>
        <v>3.8333333333333335</v>
      </c>
      <c r="O80" s="5" t="str">
        <f t="shared" si="7"/>
        <v>Moderate</v>
      </c>
      <c r="P80" s="5" t="str" cm="1">
        <f t="array" ref="P80">_xlfn.SWITCH(TRUE, N80&gt;=3.5, "High", N80&gt;=2.5, "Moderate", "Low")</f>
        <v>High</v>
      </c>
      <c r="Q80" s="5" t="str">
        <f t="shared" si="8"/>
        <v>Low</v>
      </c>
      <c r="R80" s="5" t="str" cm="1">
        <f t="array" ref="R80">_xlfn.SWITCH(TRUE, N80&gt;=3, "High", "Low")</f>
        <v>High</v>
      </c>
    </row>
    <row r="81" spans="1:18" x14ac:dyDescent="0.35">
      <c r="A81" s="5">
        <v>78</v>
      </c>
      <c r="B81" s="5">
        <v>5</v>
      </c>
      <c r="C81" s="5">
        <v>4</v>
      </c>
      <c r="D81" s="5">
        <v>4</v>
      </c>
      <c r="E81" s="5">
        <v>2</v>
      </c>
      <c r="F81" s="5">
        <v>4</v>
      </c>
      <c r="G81" s="5">
        <v>3</v>
      </c>
      <c r="H81" s="5">
        <v>2</v>
      </c>
      <c r="I81" s="5">
        <v>4</v>
      </c>
      <c r="J81" s="5">
        <v>3</v>
      </c>
      <c r="K81" s="5">
        <v>4</v>
      </c>
      <c r="L81" s="5">
        <v>1</v>
      </c>
      <c r="M81" s="5">
        <v>3</v>
      </c>
      <c r="N81" s="16">
        <f t="shared" si="6"/>
        <v>3.25</v>
      </c>
      <c r="O81" s="5" t="str">
        <f t="shared" si="7"/>
        <v>Low</v>
      </c>
      <c r="P81" s="5" t="str" cm="1">
        <f t="array" ref="P81">_xlfn.SWITCH(TRUE, N81&gt;=3.5, "High", N81&gt;=2.5, "Moderate", "Low")</f>
        <v>Moderate</v>
      </c>
      <c r="Q81" s="5" t="str">
        <f t="shared" si="8"/>
        <v>Low</v>
      </c>
      <c r="R81" s="5" t="str" cm="1">
        <f t="array" ref="R81">_xlfn.SWITCH(TRUE, N81&gt;=3, "High", "Low")</f>
        <v>High</v>
      </c>
    </row>
    <row r="82" spans="1:18" x14ac:dyDescent="0.35">
      <c r="A82" s="5">
        <v>79</v>
      </c>
      <c r="B82" s="5">
        <v>1</v>
      </c>
      <c r="C82" s="5">
        <v>2</v>
      </c>
      <c r="D82" s="5">
        <v>2</v>
      </c>
      <c r="E82" s="5">
        <v>3</v>
      </c>
      <c r="F82" s="5">
        <v>5</v>
      </c>
      <c r="G82" s="5">
        <v>4</v>
      </c>
      <c r="H82" s="5">
        <v>2</v>
      </c>
      <c r="I82" s="5">
        <v>3</v>
      </c>
      <c r="J82" s="5">
        <v>2</v>
      </c>
      <c r="K82" s="5">
        <v>4</v>
      </c>
      <c r="L82" s="5">
        <v>2</v>
      </c>
      <c r="M82" s="5">
        <v>4</v>
      </c>
      <c r="N82" s="16">
        <f t="shared" si="6"/>
        <v>2.8333333333333335</v>
      </c>
      <c r="O82" s="5" t="str">
        <f t="shared" si="7"/>
        <v>Low</v>
      </c>
      <c r="P82" s="5" t="str" cm="1">
        <f t="array" ref="P82">_xlfn.SWITCH(TRUE, N82&gt;=3.5, "High", N82&gt;=2.5, "Moderate", "Low")</f>
        <v>Moderate</v>
      </c>
      <c r="Q82" s="5" t="str">
        <f t="shared" si="8"/>
        <v>Low</v>
      </c>
      <c r="R82" s="5" t="str" cm="1">
        <f t="array" ref="R82">_xlfn.SWITCH(TRUE, N82&gt;=3, "High", "Low")</f>
        <v>Low</v>
      </c>
    </row>
    <row r="83" spans="1:18" x14ac:dyDescent="0.35">
      <c r="A83" s="5">
        <v>80</v>
      </c>
      <c r="B83" s="5">
        <v>4</v>
      </c>
      <c r="C83" s="5">
        <v>1</v>
      </c>
      <c r="D83" s="5">
        <v>3</v>
      </c>
      <c r="E83" s="5">
        <v>4</v>
      </c>
      <c r="F83" s="5">
        <v>2</v>
      </c>
      <c r="G83" s="5">
        <v>4</v>
      </c>
      <c r="H83" s="5">
        <v>1</v>
      </c>
      <c r="I83" s="5">
        <v>1</v>
      </c>
      <c r="J83" s="5">
        <v>5</v>
      </c>
      <c r="K83" s="5">
        <v>5</v>
      </c>
      <c r="L83" s="5">
        <v>4</v>
      </c>
      <c r="M83" s="5">
        <v>5</v>
      </c>
      <c r="N83" s="16">
        <f t="shared" si="6"/>
        <v>3.25</v>
      </c>
      <c r="O83" s="5" t="str">
        <f t="shared" si="7"/>
        <v>Low</v>
      </c>
      <c r="P83" s="5" t="str" cm="1">
        <f t="array" ref="P83">_xlfn.SWITCH(TRUE, N83&gt;=3.5, "High", N83&gt;=2.5, "Moderate", "Low")</f>
        <v>Moderate</v>
      </c>
      <c r="Q83" s="5" t="str">
        <f t="shared" si="8"/>
        <v>Low</v>
      </c>
      <c r="R83" s="5" t="str" cm="1">
        <f t="array" ref="R83">_xlfn.SWITCH(TRUE, N83&gt;=3, "High", "Low")</f>
        <v>High</v>
      </c>
    </row>
    <row r="84" spans="1:18" x14ac:dyDescent="0.35">
      <c r="A84" s="5">
        <v>81</v>
      </c>
      <c r="B84" s="5">
        <v>4</v>
      </c>
      <c r="C84" s="5">
        <v>4</v>
      </c>
      <c r="D84" s="5">
        <v>5</v>
      </c>
      <c r="E84" s="5">
        <v>2</v>
      </c>
      <c r="F84" s="5">
        <v>5</v>
      </c>
      <c r="G84" s="5">
        <v>5</v>
      </c>
      <c r="H84" s="5">
        <v>5</v>
      </c>
      <c r="I84" s="5">
        <v>5</v>
      </c>
      <c r="J84" s="5">
        <v>5</v>
      </c>
      <c r="K84" s="5">
        <v>5</v>
      </c>
      <c r="L84" s="5">
        <v>4</v>
      </c>
      <c r="M84" s="5">
        <v>5</v>
      </c>
      <c r="N84" s="16">
        <f t="shared" si="6"/>
        <v>4.5</v>
      </c>
      <c r="O84" s="5" t="str">
        <f t="shared" si="7"/>
        <v>High</v>
      </c>
      <c r="P84" s="5" t="str" cm="1">
        <f t="array" ref="P84">_xlfn.SWITCH(TRUE, N84&gt;=3.5, "High", N84&gt;=2.5, "Moderate", "Low")</f>
        <v>High</v>
      </c>
      <c r="Q84" s="5" t="str">
        <f t="shared" si="8"/>
        <v>High</v>
      </c>
      <c r="R84" s="5" t="str" cm="1">
        <f t="array" ref="R84">_xlfn.SWITCH(TRUE, N84&gt;=3, "High", "Low")</f>
        <v>High</v>
      </c>
    </row>
    <row r="85" spans="1:18" x14ac:dyDescent="0.35">
      <c r="A85" s="5">
        <v>82</v>
      </c>
      <c r="B85" s="5">
        <v>5</v>
      </c>
      <c r="C85" s="5">
        <v>1</v>
      </c>
      <c r="D85" s="5">
        <v>5</v>
      </c>
      <c r="E85" s="5">
        <v>3</v>
      </c>
      <c r="F85" s="5">
        <v>3</v>
      </c>
      <c r="G85" s="5">
        <v>4</v>
      </c>
      <c r="H85" s="5">
        <v>1</v>
      </c>
      <c r="I85" s="5">
        <v>1</v>
      </c>
      <c r="J85" s="5">
        <v>2</v>
      </c>
      <c r="K85" s="5">
        <v>4</v>
      </c>
      <c r="L85" s="5">
        <v>1</v>
      </c>
      <c r="M85" s="5">
        <v>4</v>
      </c>
      <c r="N85" s="16">
        <f t="shared" si="6"/>
        <v>2.8333333333333335</v>
      </c>
      <c r="O85" s="5" t="str">
        <f t="shared" si="7"/>
        <v>Low</v>
      </c>
      <c r="P85" s="5" t="str" cm="1">
        <f t="array" ref="P85">_xlfn.SWITCH(TRUE, N85&gt;=3.5, "High", N85&gt;=2.5, "Moderate", "Low")</f>
        <v>Moderate</v>
      </c>
      <c r="Q85" s="5" t="str">
        <f t="shared" si="8"/>
        <v>Low</v>
      </c>
      <c r="R85" s="5" t="str" cm="1">
        <f t="array" ref="R85">_xlfn.SWITCH(TRUE, N85&gt;=3, "High", "Low")</f>
        <v>Low</v>
      </c>
    </row>
    <row r="86" spans="1:18" x14ac:dyDescent="0.35">
      <c r="A86" s="5">
        <v>83</v>
      </c>
      <c r="B86" s="5">
        <v>3</v>
      </c>
      <c r="C86" s="5">
        <v>4</v>
      </c>
      <c r="D86" s="5">
        <v>5</v>
      </c>
      <c r="E86" s="5">
        <v>5</v>
      </c>
      <c r="F86" s="5">
        <v>4</v>
      </c>
      <c r="G86" s="5">
        <v>5</v>
      </c>
      <c r="H86" s="5">
        <v>3</v>
      </c>
      <c r="I86" s="5">
        <v>4</v>
      </c>
      <c r="J86" s="5">
        <v>5</v>
      </c>
      <c r="K86" s="5">
        <v>5</v>
      </c>
      <c r="L86" s="5">
        <v>5</v>
      </c>
      <c r="M86" s="5">
        <v>5</v>
      </c>
      <c r="N86" s="16">
        <f t="shared" si="6"/>
        <v>4.416666666666667</v>
      </c>
      <c r="O86" s="5" t="str">
        <f t="shared" si="7"/>
        <v>High</v>
      </c>
      <c r="P86" s="5" t="str" cm="1">
        <f t="array" ref="P86">_xlfn.SWITCH(TRUE, N86&gt;=3.5, "High", N86&gt;=2.5, "Moderate", "Low")</f>
        <v>High</v>
      </c>
      <c r="Q86" s="5" t="str">
        <f t="shared" si="8"/>
        <v>High</v>
      </c>
      <c r="R86" s="5" t="str" cm="1">
        <f t="array" ref="R86">_xlfn.SWITCH(TRUE, N86&gt;=3, "High", "Low")</f>
        <v>High</v>
      </c>
    </row>
    <row r="87" spans="1:18" x14ac:dyDescent="0.35">
      <c r="A87" s="5">
        <v>84</v>
      </c>
      <c r="B87" s="5">
        <v>4</v>
      </c>
      <c r="C87" s="5">
        <v>5</v>
      </c>
      <c r="D87" s="5">
        <v>5</v>
      </c>
      <c r="E87" s="5">
        <v>5</v>
      </c>
      <c r="F87" s="5">
        <v>5</v>
      </c>
      <c r="G87" s="5">
        <v>5</v>
      </c>
      <c r="H87" s="5">
        <v>5</v>
      </c>
      <c r="I87" s="5">
        <v>5</v>
      </c>
      <c r="J87" s="5">
        <v>3</v>
      </c>
      <c r="K87" s="5">
        <v>5</v>
      </c>
      <c r="L87" s="5">
        <v>5</v>
      </c>
      <c r="M87" s="5">
        <v>4</v>
      </c>
      <c r="N87" s="16">
        <f t="shared" si="6"/>
        <v>4.666666666666667</v>
      </c>
      <c r="O87" s="5" t="str">
        <f t="shared" si="7"/>
        <v>High</v>
      </c>
      <c r="P87" s="5" t="str" cm="1">
        <f t="array" ref="P87">_xlfn.SWITCH(TRUE, N87&gt;=3.5, "High", N87&gt;=2.5, "Moderate", "Low")</f>
        <v>High</v>
      </c>
      <c r="Q87" s="5" t="str">
        <f t="shared" si="8"/>
        <v>High</v>
      </c>
      <c r="R87" s="5" t="str" cm="1">
        <f t="array" ref="R87">_xlfn.SWITCH(TRUE, N87&gt;=3, "High", "Low")</f>
        <v>High</v>
      </c>
    </row>
    <row r="88" spans="1:18" x14ac:dyDescent="0.35">
      <c r="A88" s="5">
        <v>85</v>
      </c>
      <c r="B88" s="5">
        <v>5</v>
      </c>
      <c r="C88" s="5">
        <v>5</v>
      </c>
      <c r="D88" s="5">
        <v>5</v>
      </c>
      <c r="E88" s="5">
        <v>4</v>
      </c>
      <c r="F88" s="5">
        <v>3</v>
      </c>
      <c r="G88" s="5">
        <v>4</v>
      </c>
      <c r="H88" s="5">
        <v>4</v>
      </c>
      <c r="I88" s="5">
        <v>5</v>
      </c>
      <c r="J88" s="5">
        <v>5</v>
      </c>
      <c r="K88" s="5">
        <v>5</v>
      </c>
      <c r="L88" s="5">
        <v>4</v>
      </c>
      <c r="M88" s="5">
        <v>4</v>
      </c>
      <c r="N88" s="16">
        <f t="shared" si="6"/>
        <v>4.416666666666667</v>
      </c>
      <c r="O88" s="5" t="str">
        <f t="shared" si="7"/>
        <v>High</v>
      </c>
      <c r="P88" s="5" t="str" cm="1">
        <f t="array" ref="P88">_xlfn.SWITCH(TRUE, N88&gt;=3.5, "High", N88&gt;=2.5, "Moderate", "Low")</f>
        <v>High</v>
      </c>
      <c r="Q88" s="5" t="str">
        <f t="shared" si="8"/>
        <v>High</v>
      </c>
      <c r="R88" s="5" t="str" cm="1">
        <f t="array" ref="R88">_xlfn.SWITCH(TRUE, N88&gt;=3, "High", "Low")</f>
        <v>High</v>
      </c>
    </row>
    <row r="89" spans="1:18" x14ac:dyDescent="0.35">
      <c r="A89" s="5">
        <v>86</v>
      </c>
      <c r="B89" s="5">
        <v>5</v>
      </c>
      <c r="C89" s="5">
        <v>5</v>
      </c>
      <c r="D89" s="5">
        <v>5</v>
      </c>
      <c r="E89" s="5">
        <v>5</v>
      </c>
      <c r="F89" s="5">
        <v>5</v>
      </c>
      <c r="G89" s="5">
        <v>5</v>
      </c>
      <c r="H89" s="5">
        <v>5</v>
      </c>
      <c r="I89" s="5">
        <v>3</v>
      </c>
      <c r="J89" s="5">
        <v>5</v>
      </c>
      <c r="K89" s="5">
        <v>5</v>
      </c>
      <c r="L89" s="5">
        <v>4</v>
      </c>
      <c r="M89" s="5">
        <v>5</v>
      </c>
      <c r="N89" s="16">
        <f t="shared" si="6"/>
        <v>4.75</v>
      </c>
      <c r="O89" s="5" t="str">
        <f t="shared" si="7"/>
        <v>High</v>
      </c>
      <c r="P89" s="5" t="str" cm="1">
        <f t="array" ref="P89">_xlfn.SWITCH(TRUE, N89&gt;=3.5, "High", N89&gt;=2.5, "Moderate", "Low")</f>
        <v>High</v>
      </c>
      <c r="Q89" s="5" t="str">
        <f t="shared" si="8"/>
        <v>High</v>
      </c>
      <c r="R89" s="5" t="str" cm="1">
        <f t="array" ref="R89">_xlfn.SWITCH(TRUE, N89&gt;=3, "High", "Low")</f>
        <v>High</v>
      </c>
    </row>
    <row r="90" spans="1:18" x14ac:dyDescent="0.35">
      <c r="A90" s="5">
        <v>87</v>
      </c>
      <c r="B90" s="5">
        <v>5</v>
      </c>
      <c r="C90" s="5">
        <v>4</v>
      </c>
      <c r="D90" s="5">
        <v>5</v>
      </c>
      <c r="E90" s="5">
        <v>3</v>
      </c>
      <c r="F90" s="5">
        <v>4</v>
      </c>
      <c r="G90" s="5">
        <v>5</v>
      </c>
      <c r="H90" s="5">
        <v>3</v>
      </c>
      <c r="I90" s="5">
        <v>4</v>
      </c>
      <c r="J90" s="5">
        <v>4</v>
      </c>
      <c r="K90" s="5">
        <v>4</v>
      </c>
      <c r="L90" s="5">
        <v>4</v>
      </c>
      <c r="M90" s="5">
        <v>3</v>
      </c>
      <c r="N90" s="16">
        <f t="shared" si="6"/>
        <v>4</v>
      </c>
      <c r="O90" s="5" t="str">
        <f t="shared" si="7"/>
        <v>Moderate</v>
      </c>
      <c r="P90" s="5" t="str" cm="1">
        <f t="array" ref="P90">_xlfn.SWITCH(TRUE, N90&gt;=3.5, "High", N90&gt;=2.5, "Moderate", "Low")</f>
        <v>High</v>
      </c>
      <c r="Q90" s="5" t="str">
        <f t="shared" si="8"/>
        <v>Low</v>
      </c>
      <c r="R90" s="5" t="str" cm="1">
        <f t="array" ref="R90">_xlfn.SWITCH(TRUE, N90&gt;=3, "High", "Low")</f>
        <v>High</v>
      </c>
    </row>
    <row r="91" spans="1:18" x14ac:dyDescent="0.35">
      <c r="A91" s="5">
        <v>88</v>
      </c>
      <c r="B91" s="5">
        <v>3</v>
      </c>
      <c r="C91" s="5">
        <v>5</v>
      </c>
      <c r="D91" s="5">
        <v>4</v>
      </c>
      <c r="E91" s="5">
        <v>3</v>
      </c>
      <c r="F91" s="5">
        <v>5</v>
      </c>
      <c r="G91" s="5">
        <v>5</v>
      </c>
      <c r="H91" s="5">
        <v>3</v>
      </c>
      <c r="I91" s="5">
        <v>3</v>
      </c>
      <c r="J91" s="5">
        <v>3</v>
      </c>
      <c r="K91" s="5">
        <v>4</v>
      </c>
      <c r="L91" s="5">
        <v>3</v>
      </c>
      <c r="M91" s="5">
        <v>3</v>
      </c>
      <c r="N91" s="16">
        <f t="shared" si="6"/>
        <v>3.6666666666666665</v>
      </c>
      <c r="O91" s="5" t="str">
        <f t="shared" si="7"/>
        <v>Low</v>
      </c>
      <c r="P91" s="5" t="str" cm="1">
        <f t="array" ref="P91">_xlfn.SWITCH(TRUE, N91&gt;=3.5, "High", N91&gt;=2.5, "Moderate", "Low")</f>
        <v>High</v>
      </c>
      <c r="Q91" s="5" t="str">
        <f t="shared" si="8"/>
        <v>Low</v>
      </c>
      <c r="R91" s="5" t="str" cm="1">
        <f t="array" ref="R91">_xlfn.SWITCH(TRUE, N91&gt;=3, "High", "Low")</f>
        <v>High</v>
      </c>
    </row>
    <row r="92" spans="1:18" x14ac:dyDescent="0.35">
      <c r="A92" s="5">
        <v>89</v>
      </c>
      <c r="B92" s="5">
        <v>4</v>
      </c>
      <c r="C92" s="5">
        <v>5</v>
      </c>
      <c r="D92" s="5">
        <v>5</v>
      </c>
      <c r="E92" s="5">
        <v>3</v>
      </c>
      <c r="F92" s="5">
        <v>4</v>
      </c>
      <c r="G92" s="5">
        <v>2</v>
      </c>
      <c r="H92" s="5">
        <v>5</v>
      </c>
      <c r="I92" s="5">
        <v>5</v>
      </c>
      <c r="J92" s="5">
        <v>4</v>
      </c>
      <c r="K92" s="5">
        <v>4</v>
      </c>
      <c r="L92" s="5">
        <v>3</v>
      </c>
      <c r="M92" s="5">
        <v>5</v>
      </c>
      <c r="N92" s="16">
        <f t="shared" si="6"/>
        <v>4.083333333333333</v>
      </c>
      <c r="O92" s="5" t="str">
        <f t="shared" si="7"/>
        <v>Moderate</v>
      </c>
      <c r="P92" s="5" t="str" cm="1">
        <f t="array" ref="P92">_xlfn.SWITCH(TRUE, N92&gt;=3.5, "High", N92&gt;=2.5, "Moderate", "Low")</f>
        <v>High</v>
      </c>
      <c r="Q92" s="5" t="str">
        <f t="shared" si="8"/>
        <v>High</v>
      </c>
      <c r="R92" s="5" t="str" cm="1">
        <f t="array" ref="R92">_xlfn.SWITCH(TRUE, N92&gt;=3, "High", "Low")</f>
        <v>High</v>
      </c>
    </row>
    <row r="93" spans="1:18" x14ac:dyDescent="0.35">
      <c r="A93" s="5">
        <v>90</v>
      </c>
      <c r="B93" s="5">
        <v>5</v>
      </c>
      <c r="C93" s="5">
        <v>4</v>
      </c>
      <c r="D93" s="5">
        <v>5</v>
      </c>
      <c r="E93" s="5">
        <v>5</v>
      </c>
      <c r="F93" s="5">
        <v>5</v>
      </c>
      <c r="G93" s="5">
        <v>1</v>
      </c>
      <c r="H93" s="5">
        <v>3</v>
      </c>
      <c r="I93" s="5">
        <v>4</v>
      </c>
      <c r="J93" s="5">
        <v>2</v>
      </c>
      <c r="K93" s="5">
        <v>5</v>
      </c>
      <c r="L93" s="5">
        <v>5</v>
      </c>
      <c r="M93" s="5">
        <v>3</v>
      </c>
      <c r="N93" s="16">
        <f t="shared" si="6"/>
        <v>3.9166666666666665</v>
      </c>
      <c r="O93" s="5" t="str">
        <f t="shared" si="7"/>
        <v>Moderate</v>
      </c>
      <c r="P93" s="5" t="str" cm="1">
        <f t="array" ref="P93">_xlfn.SWITCH(TRUE, N93&gt;=3.5, "High", N93&gt;=2.5, "Moderate", "Low")</f>
        <v>High</v>
      </c>
      <c r="Q93" s="5" t="str">
        <f t="shared" si="8"/>
        <v>Low</v>
      </c>
      <c r="R93" s="5" t="str" cm="1">
        <f t="array" ref="R93">_xlfn.SWITCH(TRUE, N93&gt;=3, "High", "Low")</f>
        <v>High</v>
      </c>
    </row>
    <row r="94" spans="1:18" x14ac:dyDescent="0.35">
      <c r="A94" s="5">
        <v>91</v>
      </c>
      <c r="B94" s="5">
        <v>4</v>
      </c>
      <c r="C94" s="5">
        <v>3</v>
      </c>
      <c r="D94" s="5">
        <v>3</v>
      </c>
      <c r="E94" s="5">
        <v>2</v>
      </c>
      <c r="F94" s="5">
        <v>5</v>
      </c>
      <c r="G94" s="5">
        <v>3</v>
      </c>
      <c r="H94" s="5">
        <v>5</v>
      </c>
      <c r="I94" s="5">
        <v>2</v>
      </c>
      <c r="J94" s="5">
        <v>5</v>
      </c>
      <c r="K94" s="5">
        <v>5</v>
      </c>
      <c r="L94" s="5">
        <v>2</v>
      </c>
      <c r="M94" s="5">
        <v>3</v>
      </c>
      <c r="N94" s="16">
        <f t="shared" si="6"/>
        <v>3.5</v>
      </c>
      <c r="O94" s="5" t="str">
        <f t="shared" si="7"/>
        <v>Low</v>
      </c>
      <c r="P94" s="5" t="str" cm="1">
        <f t="array" ref="P94">_xlfn.SWITCH(TRUE, N94&gt;=3.5, "High", N94&gt;=2.5, "Moderate", "Low")</f>
        <v>High</v>
      </c>
      <c r="Q94" s="5" t="str">
        <f t="shared" si="8"/>
        <v>Low</v>
      </c>
      <c r="R94" s="5" t="str" cm="1">
        <f t="array" ref="R94">_xlfn.SWITCH(TRUE, N94&gt;=3, "High", "Low")</f>
        <v>High</v>
      </c>
    </row>
    <row r="95" spans="1:18" x14ac:dyDescent="0.35">
      <c r="A95" s="5">
        <v>92</v>
      </c>
      <c r="B95" s="5">
        <v>5</v>
      </c>
      <c r="C95" s="5">
        <v>5</v>
      </c>
      <c r="D95" s="5">
        <v>5</v>
      </c>
      <c r="E95" s="5">
        <v>5</v>
      </c>
      <c r="F95" s="5">
        <v>5</v>
      </c>
      <c r="G95" s="5">
        <v>3</v>
      </c>
      <c r="H95" s="5">
        <v>5</v>
      </c>
      <c r="I95" s="5">
        <v>5</v>
      </c>
      <c r="J95" s="5">
        <v>4</v>
      </c>
      <c r="K95" s="5">
        <v>5</v>
      </c>
      <c r="L95" s="5">
        <v>5</v>
      </c>
      <c r="M95" s="5">
        <v>5</v>
      </c>
      <c r="N95" s="16">
        <f t="shared" si="6"/>
        <v>4.75</v>
      </c>
      <c r="O95" s="5" t="str">
        <f t="shared" si="7"/>
        <v>High</v>
      </c>
      <c r="P95" s="5" t="str" cm="1">
        <f t="array" ref="P95">_xlfn.SWITCH(TRUE, N95&gt;=3.5, "High", N95&gt;=2.5, "Moderate", "Low")</f>
        <v>High</v>
      </c>
      <c r="Q95" s="5" t="str">
        <f t="shared" si="8"/>
        <v>High</v>
      </c>
      <c r="R95" s="5" t="str" cm="1">
        <f t="array" ref="R95">_xlfn.SWITCH(TRUE, N95&gt;=3, "High", "Low")</f>
        <v>High</v>
      </c>
    </row>
    <row r="96" spans="1:18" x14ac:dyDescent="0.35">
      <c r="A96" s="5">
        <v>93</v>
      </c>
      <c r="B96" s="5">
        <v>5</v>
      </c>
      <c r="C96" s="5">
        <v>5</v>
      </c>
      <c r="D96" s="5">
        <v>5</v>
      </c>
      <c r="E96" s="5">
        <v>5</v>
      </c>
      <c r="F96" s="5">
        <v>5</v>
      </c>
      <c r="G96" s="5">
        <v>5</v>
      </c>
      <c r="H96" s="5">
        <v>5</v>
      </c>
      <c r="I96" s="5">
        <v>5</v>
      </c>
      <c r="J96" s="5">
        <v>5</v>
      </c>
      <c r="K96" s="5">
        <v>5</v>
      </c>
      <c r="L96" s="5">
        <v>5</v>
      </c>
      <c r="M96" s="5">
        <v>5</v>
      </c>
      <c r="N96" s="16">
        <f t="shared" si="6"/>
        <v>5</v>
      </c>
      <c r="O96" s="5" t="str">
        <f t="shared" si="7"/>
        <v>High</v>
      </c>
      <c r="P96" s="5" t="str" cm="1">
        <f t="array" ref="P96">_xlfn.SWITCH(TRUE, N96&gt;=3.5, "High", N96&gt;=2.5, "Moderate", "Low")</f>
        <v>High</v>
      </c>
      <c r="Q96" s="5" t="str">
        <f t="shared" si="8"/>
        <v>High</v>
      </c>
      <c r="R96" s="5" t="str" cm="1">
        <f t="array" ref="R96">_xlfn.SWITCH(TRUE, N96&gt;=3, "High", "Low")</f>
        <v>High</v>
      </c>
    </row>
    <row r="97" spans="1:18" x14ac:dyDescent="0.35">
      <c r="A97" s="5">
        <v>94</v>
      </c>
      <c r="B97" s="5">
        <v>5</v>
      </c>
      <c r="C97" s="5">
        <v>5</v>
      </c>
      <c r="D97" s="5">
        <v>5</v>
      </c>
      <c r="E97" s="5">
        <v>5</v>
      </c>
      <c r="F97" s="5">
        <v>5</v>
      </c>
      <c r="G97" s="5">
        <v>5</v>
      </c>
      <c r="H97" s="5">
        <v>5</v>
      </c>
      <c r="I97" s="5">
        <v>5</v>
      </c>
      <c r="J97" s="5">
        <v>5</v>
      </c>
      <c r="K97" s="5">
        <v>5</v>
      </c>
      <c r="L97" s="5">
        <v>5</v>
      </c>
      <c r="M97" s="5">
        <v>5</v>
      </c>
      <c r="N97" s="16">
        <f t="shared" si="6"/>
        <v>5</v>
      </c>
      <c r="O97" s="5" t="str">
        <f t="shared" si="7"/>
        <v>High</v>
      </c>
      <c r="P97" s="5" t="str" cm="1">
        <f t="array" ref="P97">_xlfn.SWITCH(TRUE, N97&gt;=3.5, "High", N97&gt;=2.5, "Moderate", "Low")</f>
        <v>High</v>
      </c>
      <c r="Q97" s="5" t="str">
        <f t="shared" si="8"/>
        <v>High</v>
      </c>
      <c r="R97" s="5" t="str" cm="1">
        <f t="array" ref="R97">_xlfn.SWITCH(TRUE, N97&gt;=3, "High", "Low")</f>
        <v>High</v>
      </c>
    </row>
    <row r="98" spans="1:18" x14ac:dyDescent="0.35">
      <c r="A98" s="5">
        <v>95</v>
      </c>
      <c r="B98" s="5">
        <v>4</v>
      </c>
      <c r="C98" s="5">
        <v>5</v>
      </c>
      <c r="D98" s="5">
        <v>5</v>
      </c>
      <c r="E98" s="5">
        <v>5</v>
      </c>
      <c r="F98" s="5">
        <v>5</v>
      </c>
      <c r="G98" s="5">
        <v>4</v>
      </c>
      <c r="H98" s="5">
        <v>5</v>
      </c>
      <c r="I98" s="5">
        <v>5</v>
      </c>
      <c r="J98" s="5">
        <v>4</v>
      </c>
      <c r="K98" s="5">
        <v>5</v>
      </c>
      <c r="L98" s="5">
        <v>5</v>
      </c>
      <c r="M98" s="5">
        <v>5</v>
      </c>
      <c r="N98" s="16">
        <f t="shared" si="6"/>
        <v>4.75</v>
      </c>
      <c r="O98" s="5" t="str">
        <f t="shared" si="7"/>
        <v>High</v>
      </c>
      <c r="P98" s="5" t="str" cm="1">
        <f t="array" ref="P98">_xlfn.SWITCH(TRUE, N98&gt;=3.5, "High", N98&gt;=2.5, "Moderate", "Low")</f>
        <v>High</v>
      </c>
      <c r="Q98" s="5" t="str">
        <f t="shared" si="8"/>
        <v>High</v>
      </c>
      <c r="R98" s="5" t="str" cm="1">
        <f t="array" ref="R98">_xlfn.SWITCH(TRUE, N98&gt;=3, "High", "Low")</f>
        <v>High</v>
      </c>
    </row>
    <row r="99" spans="1:18" x14ac:dyDescent="0.35">
      <c r="A99" s="5">
        <v>96</v>
      </c>
      <c r="B99" s="5">
        <v>5</v>
      </c>
      <c r="C99" s="5">
        <v>3</v>
      </c>
      <c r="D99" s="5">
        <v>5</v>
      </c>
      <c r="E99" s="5">
        <v>5</v>
      </c>
      <c r="F99" s="5">
        <v>3</v>
      </c>
      <c r="G99" s="5">
        <v>5</v>
      </c>
      <c r="H99" s="5">
        <v>5</v>
      </c>
      <c r="I99" s="5">
        <v>5</v>
      </c>
      <c r="J99" s="5">
        <v>5</v>
      </c>
      <c r="K99" s="5">
        <v>5</v>
      </c>
      <c r="L99" s="5">
        <v>5</v>
      </c>
      <c r="M99" s="5">
        <v>5</v>
      </c>
      <c r="N99" s="16">
        <f t="shared" si="6"/>
        <v>4.666666666666667</v>
      </c>
      <c r="O99" s="5" t="str">
        <f t="shared" si="7"/>
        <v>High</v>
      </c>
      <c r="P99" s="5" t="str" cm="1">
        <f t="array" ref="P99">_xlfn.SWITCH(TRUE, N99&gt;=3.5, "High", N99&gt;=2.5, "Moderate", "Low")</f>
        <v>High</v>
      </c>
      <c r="Q99" s="5" t="str">
        <f t="shared" si="8"/>
        <v>High</v>
      </c>
      <c r="R99" s="5" t="str" cm="1">
        <f t="array" ref="R99">_xlfn.SWITCH(TRUE, N99&gt;=3, "High", "Low")</f>
        <v>High</v>
      </c>
    </row>
    <row r="100" spans="1:18" x14ac:dyDescent="0.35">
      <c r="A100" s="5">
        <v>97</v>
      </c>
      <c r="B100" s="5">
        <v>3</v>
      </c>
      <c r="C100" s="5">
        <v>4</v>
      </c>
      <c r="D100" s="5">
        <v>3</v>
      </c>
      <c r="E100" s="5">
        <v>3</v>
      </c>
      <c r="F100" s="5">
        <v>4</v>
      </c>
      <c r="G100" s="5">
        <v>5</v>
      </c>
      <c r="H100" s="5">
        <v>3</v>
      </c>
      <c r="I100" s="5">
        <v>4</v>
      </c>
      <c r="J100" s="5">
        <v>3</v>
      </c>
      <c r="K100" s="5">
        <v>4</v>
      </c>
      <c r="L100" s="5">
        <v>4</v>
      </c>
      <c r="M100" s="5">
        <v>4</v>
      </c>
      <c r="N100" s="16">
        <f t="shared" ref="N100:N131" si="9">AVERAGE(B100:M100)</f>
        <v>3.6666666666666665</v>
      </c>
      <c r="O100" s="5" t="str">
        <f t="shared" ref="O100:O131" si="10">_xlfn.SWITCH(TRUE, N100&lt;=$S$11, "Low", N100&gt;=$S$12, "High", "Moderate")</f>
        <v>Low</v>
      </c>
      <c r="P100" s="5" t="str" cm="1">
        <f t="array" ref="P100">_xlfn.SWITCH(TRUE, N100&gt;=3.5, "High", N100&gt;=2.5, "Moderate", "Low")</f>
        <v>High</v>
      </c>
      <c r="Q100" s="5" t="str">
        <f t="shared" ref="Q100:Q136" si="11">_xlfn.SWITCH(TRUE, N100&lt;=$S$13, "Low", "High")</f>
        <v>Low</v>
      </c>
      <c r="R100" s="5" t="str" cm="1">
        <f t="array" ref="R100">_xlfn.SWITCH(TRUE, N100&gt;=3, "High", "Low")</f>
        <v>High</v>
      </c>
    </row>
    <row r="101" spans="1:18" x14ac:dyDescent="0.35">
      <c r="A101" s="5">
        <v>98</v>
      </c>
      <c r="B101" s="5">
        <v>5</v>
      </c>
      <c r="C101" s="5">
        <v>4</v>
      </c>
      <c r="D101" s="5">
        <v>5</v>
      </c>
      <c r="E101" s="5">
        <v>5</v>
      </c>
      <c r="F101" s="5">
        <v>4</v>
      </c>
      <c r="G101" s="5">
        <v>3</v>
      </c>
      <c r="H101" s="5">
        <v>4</v>
      </c>
      <c r="I101" s="5">
        <v>4</v>
      </c>
      <c r="J101" s="5">
        <v>3</v>
      </c>
      <c r="K101" s="5">
        <v>3</v>
      </c>
      <c r="L101" s="5">
        <v>4</v>
      </c>
      <c r="M101" s="5">
        <v>3</v>
      </c>
      <c r="N101" s="16">
        <f t="shared" si="9"/>
        <v>3.9166666666666665</v>
      </c>
      <c r="O101" s="5" t="str">
        <f t="shared" si="10"/>
        <v>Moderate</v>
      </c>
      <c r="P101" s="5" t="str" cm="1">
        <f t="array" ref="P101">_xlfn.SWITCH(TRUE, N101&gt;=3.5, "High", N101&gt;=2.5, "Moderate", "Low")</f>
        <v>High</v>
      </c>
      <c r="Q101" s="5" t="str">
        <f t="shared" si="11"/>
        <v>Low</v>
      </c>
      <c r="R101" s="5" t="str" cm="1">
        <f t="array" ref="R101">_xlfn.SWITCH(TRUE, N101&gt;=3, "High", "Low")</f>
        <v>High</v>
      </c>
    </row>
    <row r="102" spans="1:18" x14ac:dyDescent="0.35">
      <c r="A102" s="5">
        <v>99</v>
      </c>
      <c r="B102" s="5">
        <v>3</v>
      </c>
      <c r="C102" s="5">
        <v>2</v>
      </c>
      <c r="D102" s="5">
        <v>4</v>
      </c>
      <c r="E102" s="5">
        <v>5</v>
      </c>
      <c r="F102" s="5">
        <v>4</v>
      </c>
      <c r="G102" s="5">
        <v>5</v>
      </c>
      <c r="H102" s="5">
        <v>3</v>
      </c>
      <c r="I102" s="5">
        <v>2</v>
      </c>
      <c r="J102" s="5">
        <v>3</v>
      </c>
      <c r="K102" s="5">
        <v>5</v>
      </c>
      <c r="L102" s="5">
        <v>5</v>
      </c>
      <c r="M102" s="5">
        <v>5</v>
      </c>
      <c r="N102" s="16">
        <f t="shared" si="9"/>
        <v>3.8333333333333335</v>
      </c>
      <c r="O102" s="5" t="str">
        <f t="shared" si="10"/>
        <v>Moderate</v>
      </c>
      <c r="P102" s="5" t="str" cm="1">
        <f t="array" ref="P102">_xlfn.SWITCH(TRUE, N102&gt;=3.5, "High", N102&gt;=2.5, "Moderate", "Low")</f>
        <v>High</v>
      </c>
      <c r="Q102" s="5" t="str">
        <f t="shared" si="11"/>
        <v>Low</v>
      </c>
      <c r="R102" s="5" t="str" cm="1">
        <f t="array" ref="R102">_xlfn.SWITCH(TRUE, N102&gt;=3, "High", "Low")</f>
        <v>High</v>
      </c>
    </row>
    <row r="103" spans="1:18" x14ac:dyDescent="0.35">
      <c r="A103" s="5">
        <v>100</v>
      </c>
      <c r="B103" s="5">
        <v>2</v>
      </c>
      <c r="C103" s="5">
        <v>2</v>
      </c>
      <c r="D103" s="5">
        <v>2</v>
      </c>
      <c r="E103" s="5">
        <v>4</v>
      </c>
      <c r="F103" s="5">
        <v>5</v>
      </c>
      <c r="G103" s="5">
        <v>4</v>
      </c>
      <c r="H103" s="5">
        <v>1</v>
      </c>
      <c r="I103" s="5">
        <v>2</v>
      </c>
      <c r="J103" s="5">
        <v>3</v>
      </c>
      <c r="K103" s="5">
        <v>4</v>
      </c>
      <c r="L103" s="5">
        <v>2</v>
      </c>
      <c r="M103" s="5">
        <v>4</v>
      </c>
      <c r="N103" s="16">
        <f t="shared" si="9"/>
        <v>2.9166666666666665</v>
      </c>
      <c r="O103" s="5" t="str">
        <f t="shared" si="10"/>
        <v>Low</v>
      </c>
      <c r="P103" s="5" t="str" cm="1">
        <f t="array" ref="P103">_xlfn.SWITCH(TRUE, N103&gt;=3.5, "High", N103&gt;=2.5, "Moderate", "Low")</f>
        <v>Moderate</v>
      </c>
      <c r="Q103" s="5" t="str">
        <f t="shared" si="11"/>
        <v>Low</v>
      </c>
      <c r="R103" s="5" t="str" cm="1">
        <f t="array" ref="R103">_xlfn.SWITCH(TRUE, N103&gt;=3, "High", "Low")</f>
        <v>Low</v>
      </c>
    </row>
    <row r="104" spans="1:18" x14ac:dyDescent="0.35">
      <c r="A104" s="5">
        <v>101</v>
      </c>
      <c r="B104" s="5">
        <v>3</v>
      </c>
      <c r="C104" s="5">
        <v>5</v>
      </c>
      <c r="D104" s="5">
        <v>3</v>
      </c>
      <c r="E104" s="5">
        <v>1</v>
      </c>
      <c r="F104" s="5">
        <v>3</v>
      </c>
      <c r="G104" s="5">
        <v>2</v>
      </c>
      <c r="H104" s="5">
        <v>5</v>
      </c>
      <c r="I104" s="5">
        <v>5</v>
      </c>
      <c r="J104" s="5">
        <v>2</v>
      </c>
      <c r="K104" s="5">
        <v>3</v>
      </c>
      <c r="L104" s="5">
        <v>3</v>
      </c>
      <c r="M104" s="5">
        <v>4</v>
      </c>
      <c r="N104" s="16">
        <f t="shared" si="9"/>
        <v>3.25</v>
      </c>
      <c r="O104" s="5" t="str">
        <f t="shared" si="10"/>
        <v>Low</v>
      </c>
      <c r="P104" s="5" t="str" cm="1">
        <f t="array" ref="P104">_xlfn.SWITCH(TRUE, N104&gt;=3.5, "High", N104&gt;=2.5, "Moderate", "Low")</f>
        <v>Moderate</v>
      </c>
      <c r="Q104" s="5" t="str">
        <f t="shared" si="11"/>
        <v>Low</v>
      </c>
      <c r="R104" s="5" t="str" cm="1">
        <f t="array" ref="R104">_xlfn.SWITCH(TRUE, N104&gt;=3, "High", "Low")</f>
        <v>High</v>
      </c>
    </row>
    <row r="105" spans="1:18" x14ac:dyDescent="0.35">
      <c r="A105" s="5">
        <v>102</v>
      </c>
      <c r="B105" s="5">
        <v>3</v>
      </c>
      <c r="C105" s="5">
        <v>3</v>
      </c>
      <c r="D105" s="5">
        <v>2</v>
      </c>
      <c r="E105" s="5">
        <v>1</v>
      </c>
      <c r="F105" s="5">
        <v>3</v>
      </c>
      <c r="G105" s="5">
        <v>3</v>
      </c>
      <c r="H105" s="5">
        <v>3</v>
      </c>
      <c r="I105" s="5">
        <v>4</v>
      </c>
      <c r="J105" s="5">
        <v>1</v>
      </c>
      <c r="K105" s="5">
        <v>2</v>
      </c>
      <c r="L105" s="5">
        <v>3</v>
      </c>
      <c r="M105" s="5">
        <v>3</v>
      </c>
      <c r="N105" s="16">
        <f t="shared" si="9"/>
        <v>2.5833333333333335</v>
      </c>
      <c r="O105" s="5" t="str">
        <f t="shared" si="10"/>
        <v>Low</v>
      </c>
      <c r="P105" s="5" t="str" cm="1">
        <f t="array" ref="P105">_xlfn.SWITCH(TRUE, N105&gt;=3.5, "High", N105&gt;=2.5, "Moderate", "Low")</f>
        <v>Moderate</v>
      </c>
      <c r="Q105" s="5" t="str">
        <f t="shared" si="11"/>
        <v>Low</v>
      </c>
      <c r="R105" s="5" t="str" cm="1">
        <f t="array" ref="R105">_xlfn.SWITCH(TRUE, N105&gt;=3, "High", "Low")</f>
        <v>Low</v>
      </c>
    </row>
    <row r="106" spans="1:18" x14ac:dyDescent="0.35">
      <c r="A106" s="5">
        <v>103</v>
      </c>
      <c r="B106" s="5">
        <v>5</v>
      </c>
      <c r="C106" s="5">
        <v>5</v>
      </c>
      <c r="D106" s="5">
        <v>5</v>
      </c>
      <c r="E106" s="5">
        <v>5</v>
      </c>
      <c r="F106" s="5">
        <v>5</v>
      </c>
      <c r="G106" s="5">
        <v>5</v>
      </c>
      <c r="H106" s="5">
        <v>5</v>
      </c>
      <c r="I106" s="5">
        <v>5</v>
      </c>
      <c r="J106" s="5">
        <v>5</v>
      </c>
      <c r="K106" s="5">
        <v>5</v>
      </c>
      <c r="L106" s="5">
        <v>5</v>
      </c>
      <c r="M106" s="5">
        <v>5</v>
      </c>
      <c r="N106" s="16">
        <f t="shared" si="9"/>
        <v>5</v>
      </c>
      <c r="O106" s="5" t="str">
        <f t="shared" si="10"/>
        <v>High</v>
      </c>
      <c r="P106" s="5" t="str" cm="1">
        <f t="array" ref="P106">_xlfn.SWITCH(TRUE, N106&gt;=3.5, "High", N106&gt;=2.5, "Moderate", "Low")</f>
        <v>High</v>
      </c>
      <c r="Q106" s="5" t="str">
        <f t="shared" si="11"/>
        <v>High</v>
      </c>
      <c r="R106" s="5" t="str" cm="1">
        <f t="array" ref="R106">_xlfn.SWITCH(TRUE, N106&gt;=3, "High", "Low")</f>
        <v>High</v>
      </c>
    </row>
    <row r="107" spans="1:18" x14ac:dyDescent="0.35">
      <c r="A107" s="5">
        <v>104</v>
      </c>
      <c r="B107" s="5">
        <v>1</v>
      </c>
      <c r="C107" s="5">
        <v>3</v>
      </c>
      <c r="D107" s="5">
        <v>2</v>
      </c>
      <c r="E107" s="5">
        <v>4</v>
      </c>
      <c r="F107" s="5">
        <v>3</v>
      </c>
      <c r="G107" s="5">
        <v>4</v>
      </c>
      <c r="H107" s="5">
        <v>2</v>
      </c>
      <c r="I107" s="5">
        <v>3</v>
      </c>
      <c r="J107" s="5">
        <v>1</v>
      </c>
      <c r="K107" s="5">
        <v>4</v>
      </c>
      <c r="L107" s="5">
        <v>3</v>
      </c>
      <c r="M107" s="5">
        <v>3</v>
      </c>
      <c r="N107" s="16">
        <f t="shared" si="9"/>
        <v>2.75</v>
      </c>
      <c r="O107" s="5" t="str">
        <f t="shared" si="10"/>
        <v>Low</v>
      </c>
      <c r="P107" s="5" t="str" cm="1">
        <f t="array" ref="P107">_xlfn.SWITCH(TRUE, N107&gt;=3.5, "High", N107&gt;=2.5, "Moderate", "Low")</f>
        <v>Moderate</v>
      </c>
      <c r="Q107" s="5" t="str">
        <f t="shared" si="11"/>
        <v>Low</v>
      </c>
      <c r="R107" s="5" t="str" cm="1">
        <f t="array" ref="R107">_xlfn.SWITCH(TRUE, N107&gt;=3, "High", "Low")</f>
        <v>Low</v>
      </c>
    </row>
    <row r="108" spans="1:18" x14ac:dyDescent="0.35">
      <c r="A108" s="5">
        <v>105</v>
      </c>
      <c r="B108" s="5">
        <v>5</v>
      </c>
      <c r="C108" s="5">
        <v>4</v>
      </c>
      <c r="D108" s="5">
        <v>5</v>
      </c>
      <c r="E108" s="5">
        <v>5</v>
      </c>
      <c r="F108" s="5">
        <v>5</v>
      </c>
      <c r="G108" s="5">
        <v>2</v>
      </c>
      <c r="H108" s="5">
        <v>5</v>
      </c>
      <c r="I108" s="5">
        <v>5</v>
      </c>
      <c r="J108" s="5">
        <v>5</v>
      </c>
      <c r="K108" s="5">
        <v>5</v>
      </c>
      <c r="L108" s="5">
        <v>5</v>
      </c>
      <c r="M108" s="5">
        <v>4</v>
      </c>
      <c r="N108" s="16">
        <f t="shared" si="9"/>
        <v>4.583333333333333</v>
      </c>
      <c r="O108" s="5" t="str">
        <f t="shared" si="10"/>
        <v>High</v>
      </c>
      <c r="P108" s="5" t="str" cm="1">
        <f t="array" ref="P108">_xlfn.SWITCH(TRUE, N108&gt;=3.5, "High", N108&gt;=2.5, "Moderate", "Low")</f>
        <v>High</v>
      </c>
      <c r="Q108" s="5" t="str">
        <f t="shared" si="11"/>
        <v>High</v>
      </c>
      <c r="R108" s="5" t="str" cm="1">
        <f t="array" ref="R108">_xlfn.SWITCH(TRUE, N108&gt;=3, "High", "Low")</f>
        <v>High</v>
      </c>
    </row>
    <row r="109" spans="1:18" x14ac:dyDescent="0.35">
      <c r="A109" s="5">
        <v>106</v>
      </c>
      <c r="B109" s="5">
        <v>2</v>
      </c>
      <c r="C109" s="5">
        <v>2</v>
      </c>
      <c r="D109" s="5">
        <v>3</v>
      </c>
      <c r="E109" s="5">
        <v>3</v>
      </c>
      <c r="F109" s="5">
        <v>3</v>
      </c>
      <c r="G109" s="5">
        <v>5</v>
      </c>
      <c r="H109" s="5">
        <v>2</v>
      </c>
      <c r="I109" s="5">
        <v>2</v>
      </c>
      <c r="J109" s="5">
        <v>2</v>
      </c>
      <c r="K109" s="5">
        <v>4</v>
      </c>
      <c r="L109" s="5">
        <v>2</v>
      </c>
      <c r="M109" s="5">
        <v>4</v>
      </c>
      <c r="N109" s="16">
        <f t="shared" si="9"/>
        <v>2.8333333333333335</v>
      </c>
      <c r="O109" s="5" t="str">
        <f t="shared" si="10"/>
        <v>Low</v>
      </c>
      <c r="P109" s="5" t="str" cm="1">
        <f t="array" ref="P109">_xlfn.SWITCH(TRUE, N109&gt;=3.5, "High", N109&gt;=2.5, "Moderate", "Low")</f>
        <v>Moderate</v>
      </c>
      <c r="Q109" s="5" t="str">
        <f t="shared" si="11"/>
        <v>Low</v>
      </c>
      <c r="R109" s="5" t="str" cm="1">
        <f t="array" ref="R109">_xlfn.SWITCH(TRUE, N109&gt;=3, "High", "Low")</f>
        <v>Low</v>
      </c>
    </row>
    <row r="110" spans="1:18" x14ac:dyDescent="0.35">
      <c r="A110" s="5">
        <v>107</v>
      </c>
      <c r="B110" s="5">
        <v>3</v>
      </c>
      <c r="C110" s="5">
        <v>5</v>
      </c>
      <c r="D110" s="5">
        <v>3</v>
      </c>
      <c r="E110" s="5">
        <v>4</v>
      </c>
      <c r="F110" s="5">
        <v>5</v>
      </c>
      <c r="G110" s="5">
        <v>4</v>
      </c>
      <c r="H110" s="5">
        <v>4</v>
      </c>
      <c r="I110" s="5">
        <v>5</v>
      </c>
      <c r="J110" s="5">
        <v>2</v>
      </c>
      <c r="K110" s="5">
        <v>5</v>
      </c>
      <c r="L110" s="5">
        <v>2</v>
      </c>
      <c r="M110" s="5">
        <v>4</v>
      </c>
      <c r="N110" s="16">
        <f t="shared" si="9"/>
        <v>3.8333333333333335</v>
      </c>
      <c r="O110" s="5" t="str">
        <f t="shared" si="10"/>
        <v>Moderate</v>
      </c>
      <c r="P110" s="5" t="str" cm="1">
        <f t="array" ref="P110">_xlfn.SWITCH(TRUE, N110&gt;=3.5, "High", N110&gt;=2.5, "Moderate", "Low")</f>
        <v>High</v>
      </c>
      <c r="Q110" s="5" t="str">
        <f t="shared" si="11"/>
        <v>Low</v>
      </c>
      <c r="R110" s="5" t="str" cm="1">
        <f t="array" ref="R110">_xlfn.SWITCH(TRUE, N110&gt;=3, "High", "Low")</f>
        <v>High</v>
      </c>
    </row>
    <row r="111" spans="1:18" x14ac:dyDescent="0.35">
      <c r="A111" s="5">
        <v>108</v>
      </c>
      <c r="B111" s="5">
        <v>5</v>
      </c>
      <c r="C111" s="5">
        <v>4</v>
      </c>
      <c r="D111" s="5">
        <v>4</v>
      </c>
      <c r="E111" s="5">
        <v>4</v>
      </c>
      <c r="F111" s="5">
        <v>4</v>
      </c>
      <c r="G111" s="5">
        <v>3</v>
      </c>
      <c r="H111" s="5">
        <v>4</v>
      </c>
      <c r="I111" s="5">
        <v>4</v>
      </c>
      <c r="J111" s="5">
        <v>1</v>
      </c>
      <c r="K111" s="5">
        <v>4</v>
      </c>
      <c r="L111" s="5">
        <v>5</v>
      </c>
      <c r="M111" s="5">
        <v>3</v>
      </c>
      <c r="N111" s="16">
        <f t="shared" si="9"/>
        <v>3.75</v>
      </c>
      <c r="O111" s="5" t="str">
        <f t="shared" si="10"/>
        <v>Moderate</v>
      </c>
      <c r="P111" s="5" t="str" cm="1">
        <f t="array" ref="P111">_xlfn.SWITCH(TRUE, N111&gt;=3.5, "High", N111&gt;=2.5, "Moderate", "Low")</f>
        <v>High</v>
      </c>
      <c r="Q111" s="5" t="str">
        <f t="shared" si="11"/>
        <v>Low</v>
      </c>
      <c r="R111" s="5" t="str" cm="1">
        <f t="array" ref="R111">_xlfn.SWITCH(TRUE, N111&gt;=3, "High", "Low")</f>
        <v>High</v>
      </c>
    </row>
    <row r="112" spans="1:18" x14ac:dyDescent="0.35">
      <c r="A112" s="5">
        <v>109</v>
      </c>
      <c r="B112" s="5">
        <v>5</v>
      </c>
      <c r="C112" s="5">
        <v>5</v>
      </c>
      <c r="D112" s="5">
        <v>5</v>
      </c>
      <c r="E112" s="5">
        <v>1</v>
      </c>
      <c r="F112" s="5">
        <v>3</v>
      </c>
      <c r="G112" s="5">
        <v>2</v>
      </c>
      <c r="H112" s="5">
        <v>5</v>
      </c>
      <c r="I112" s="5">
        <v>5</v>
      </c>
      <c r="J112" s="5">
        <v>5</v>
      </c>
      <c r="K112" s="5">
        <v>3</v>
      </c>
      <c r="L112" s="5">
        <v>5</v>
      </c>
      <c r="M112" s="5">
        <v>2</v>
      </c>
      <c r="N112" s="16">
        <f t="shared" si="9"/>
        <v>3.8333333333333335</v>
      </c>
      <c r="O112" s="5" t="str">
        <f t="shared" si="10"/>
        <v>Moderate</v>
      </c>
      <c r="P112" s="5" t="str" cm="1">
        <f t="array" ref="P112">_xlfn.SWITCH(TRUE, N112&gt;=3.5, "High", N112&gt;=2.5, "Moderate", "Low")</f>
        <v>High</v>
      </c>
      <c r="Q112" s="5" t="str">
        <f t="shared" si="11"/>
        <v>Low</v>
      </c>
      <c r="R112" s="5" t="str" cm="1">
        <f t="array" ref="R112">_xlfn.SWITCH(TRUE, N112&gt;=3, "High", "Low")</f>
        <v>High</v>
      </c>
    </row>
    <row r="113" spans="1:18" x14ac:dyDescent="0.35">
      <c r="A113" s="5">
        <v>110</v>
      </c>
      <c r="B113" s="5">
        <v>5</v>
      </c>
      <c r="C113" s="5">
        <v>4</v>
      </c>
      <c r="D113" s="5">
        <v>5</v>
      </c>
      <c r="E113" s="5">
        <v>4</v>
      </c>
      <c r="F113" s="5">
        <v>4</v>
      </c>
      <c r="G113" s="5">
        <v>4</v>
      </c>
      <c r="H113" s="5">
        <v>4</v>
      </c>
      <c r="I113" s="5">
        <v>4</v>
      </c>
      <c r="J113" s="5">
        <v>5</v>
      </c>
      <c r="K113" s="5">
        <v>4</v>
      </c>
      <c r="L113" s="5">
        <v>4</v>
      </c>
      <c r="M113" s="5">
        <v>4</v>
      </c>
      <c r="N113" s="16">
        <f t="shared" si="9"/>
        <v>4.25</v>
      </c>
      <c r="O113" s="5" t="str">
        <f t="shared" si="10"/>
        <v>Moderate</v>
      </c>
      <c r="P113" s="5" t="str" cm="1">
        <f t="array" ref="P113">_xlfn.SWITCH(TRUE, N113&gt;=3.5, "High", N113&gt;=2.5, "Moderate", "Low")</f>
        <v>High</v>
      </c>
      <c r="Q113" s="5" t="str">
        <f t="shared" si="11"/>
        <v>High</v>
      </c>
      <c r="R113" s="5" t="str" cm="1">
        <f t="array" ref="R113">_xlfn.SWITCH(TRUE, N113&gt;=3, "High", "Low")</f>
        <v>High</v>
      </c>
    </row>
    <row r="114" spans="1:18" x14ac:dyDescent="0.35">
      <c r="A114" s="5">
        <v>111</v>
      </c>
      <c r="B114" s="5">
        <v>5</v>
      </c>
      <c r="C114" s="5">
        <v>5</v>
      </c>
      <c r="D114" s="5">
        <v>5</v>
      </c>
      <c r="E114" s="5">
        <v>1</v>
      </c>
      <c r="F114" s="5">
        <v>4</v>
      </c>
      <c r="G114" s="5">
        <v>4</v>
      </c>
      <c r="H114" s="5">
        <v>5</v>
      </c>
      <c r="I114" s="5">
        <v>5</v>
      </c>
      <c r="J114" s="5">
        <v>5</v>
      </c>
      <c r="K114" s="5">
        <v>5</v>
      </c>
      <c r="L114" s="5">
        <v>5</v>
      </c>
      <c r="M114" s="5">
        <v>5</v>
      </c>
      <c r="N114" s="16">
        <f t="shared" si="9"/>
        <v>4.5</v>
      </c>
      <c r="O114" s="5" t="str">
        <f t="shared" si="10"/>
        <v>High</v>
      </c>
      <c r="P114" s="5" t="str" cm="1">
        <f t="array" ref="P114">_xlfn.SWITCH(TRUE, N114&gt;=3.5, "High", N114&gt;=2.5, "Moderate", "Low")</f>
        <v>High</v>
      </c>
      <c r="Q114" s="5" t="str">
        <f t="shared" si="11"/>
        <v>High</v>
      </c>
      <c r="R114" s="5" t="str" cm="1">
        <f t="array" ref="R114">_xlfn.SWITCH(TRUE, N114&gt;=3, "High", "Low")</f>
        <v>High</v>
      </c>
    </row>
    <row r="115" spans="1:18" x14ac:dyDescent="0.35">
      <c r="A115" s="5">
        <v>112</v>
      </c>
      <c r="B115" s="5">
        <v>5</v>
      </c>
      <c r="C115" s="5">
        <v>5</v>
      </c>
      <c r="D115" s="5">
        <v>5</v>
      </c>
      <c r="E115" s="5">
        <v>5</v>
      </c>
      <c r="F115" s="5">
        <v>5</v>
      </c>
      <c r="G115" s="5">
        <v>4</v>
      </c>
      <c r="H115" s="5">
        <v>1</v>
      </c>
      <c r="I115" s="5">
        <v>4</v>
      </c>
      <c r="J115" s="5">
        <v>5</v>
      </c>
      <c r="K115" s="5">
        <v>5</v>
      </c>
      <c r="L115" s="5">
        <v>3</v>
      </c>
      <c r="M115" s="5">
        <v>5</v>
      </c>
      <c r="N115" s="16">
        <f t="shared" si="9"/>
        <v>4.333333333333333</v>
      </c>
      <c r="O115" s="5" t="str">
        <f t="shared" si="10"/>
        <v>High</v>
      </c>
      <c r="P115" s="5" t="str" cm="1">
        <f t="array" ref="P115">_xlfn.SWITCH(TRUE, N115&gt;=3.5, "High", N115&gt;=2.5, "Moderate", "Low")</f>
        <v>High</v>
      </c>
      <c r="Q115" s="5" t="str">
        <f t="shared" si="11"/>
        <v>High</v>
      </c>
      <c r="R115" s="5" t="str" cm="1">
        <f t="array" ref="R115">_xlfn.SWITCH(TRUE, N115&gt;=3, "High", "Low")</f>
        <v>High</v>
      </c>
    </row>
    <row r="116" spans="1:18" x14ac:dyDescent="0.35">
      <c r="A116" s="5">
        <v>113</v>
      </c>
      <c r="B116" s="5">
        <v>4</v>
      </c>
      <c r="C116" s="5">
        <v>5</v>
      </c>
      <c r="D116" s="5">
        <v>4</v>
      </c>
      <c r="E116" s="5">
        <v>5</v>
      </c>
      <c r="F116" s="5">
        <v>5</v>
      </c>
      <c r="G116" s="5">
        <v>5</v>
      </c>
      <c r="H116" s="5">
        <v>2</v>
      </c>
      <c r="I116" s="5">
        <v>3</v>
      </c>
      <c r="J116" s="5">
        <v>1</v>
      </c>
      <c r="K116" s="5">
        <v>5</v>
      </c>
      <c r="L116" s="5">
        <v>5</v>
      </c>
      <c r="M116" s="5">
        <v>4</v>
      </c>
      <c r="N116" s="16">
        <f t="shared" si="9"/>
        <v>4</v>
      </c>
      <c r="O116" s="5" t="str">
        <f t="shared" si="10"/>
        <v>Moderate</v>
      </c>
      <c r="P116" s="5" t="str" cm="1">
        <f t="array" ref="P116">_xlfn.SWITCH(TRUE, N116&gt;=3.5, "High", N116&gt;=2.5, "Moderate", "Low")</f>
        <v>High</v>
      </c>
      <c r="Q116" s="5" t="str">
        <f t="shared" si="11"/>
        <v>Low</v>
      </c>
      <c r="R116" s="5" t="str" cm="1">
        <f t="array" ref="R116">_xlfn.SWITCH(TRUE, N116&gt;=3, "High", "Low")</f>
        <v>High</v>
      </c>
    </row>
    <row r="117" spans="1:18" x14ac:dyDescent="0.35">
      <c r="A117" s="5">
        <v>114</v>
      </c>
      <c r="B117" s="5">
        <v>5</v>
      </c>
      <c r="C117" s="5">
        <v>5</v>
      </c>
      <c r="D117" s="5">
        <v>5</v>
      </c>
      <c r="E117" s="5">
        <v>4</v>
      </c>
      <c r="F117" s="5">
        <v>4</v>
      </c>
      <c r="G117" s="5">
        <v>2</v>
      </c>
      <c r="H117" s="5">
        <v>4</v>
      </c>
      <c r="I117" s="5">
        <v>4</v>
      </c>
      <c r="J117" s="5">
        <v>5</v>
      </c>
      <c r="K117" s="5">
        <v>5</v>
      </c>
      <c r="L117" s="5">
        <v>4</v>
      </c>
      <c r="M117" s="5">
        <v>5</v>
      </c>
      <c r="N117" s="16">
        <f t="shared" si="9"/>
        <v>4.333333333333333</v>
      </c>
      <c r="O117" s="5" t="str">
        <f t="shared" si="10"/>
        <v>High</v>
      </c>
      <c r="P117" s="5" t="str" cm="1">
        <f t="array" ref="P117">_xlfn.SWITCH(TRUE, N117&gt;=3.5, "High", N117&gt;=2.5, "Moderate", "Low")</f>
        <v>High</v>
      </c>
      <c r="Q117" s="5" t="str">
        <f t="shared" si="11"/>
        <v>High</v>
      </c>
      <c r="R117" s="5" t="str" cm="1">
        <f t="array" ref="R117">_xlfn.SWITCH(TRUE, N117&gt;=3, "High", "Low")</f>
        <v>High</v>
      </c>
    </row>
    <row r="118" spans="1:18" x14ac:dyDescent="0.35">
      <c r="A118" s="5">
        <v>115</v>
      </c>
      <c r="B118" s="5">
        <v>4</v>
      </c>
      <c r="C118" s="5">
        <v>3</v>
      </c>
      <c r="D118" s="5">
        <v>5</v>
      </c>
      <c r="E118" s="5">
        <v>3</v>
      </c>
      <c r="F118" s="5">
        <v>4</v>
      </c>
      <c r="G118" s="5">
        <v>5</v>
      </c>
      <c r="H118" s="5">
        <v>4</v>
      </c>
      <c r="I118" s="5">
        <v>4</v>
      </c>
      <c r="J118" s="5">
        <v>4</v>
      </c>
      <c r="K118" s="5">
        <v>3</v>
      </c>
      <c r="L118" s="5">
        <v>3</v>
      </c>
      <c r="M118" s="5">
        <v>4</v>
      </c>
      <c r="N118" s="16">
        <f t="shared" si="9"/>
        <v>3.8333333333333335</v>
      </c>
      <c r="O118" s="5" t="str">
        <f t="shared" si="10"/>
        <v>Moderate</v>
      </c>
      <c r="P118" s="5" t="str" cm="1">
        <f t="array" ref="P118">_xlfn.SWITCH(TRUE, N118&gt;=3.5, "High", N118&gt;=2.5, "Moderate", "Low")</f>
        <v>High</v>
      </c>
      <c r="Q118" s="5" t="str">
        <f t="shared" si="11"/>
        <v>Low</v>
      </c>
      <c r="R118" s="5" t="str" cm="1">
        <f t="array" ref="R118">_xlfn.SWITCH(TRUE, N118&gt;=3, "High", "Low")</f>
        <v>High</v>
      </c>
    </row>
    <row r="119" spans="1:18" x14ac:dyDescent="0.35">
      <c r="A119" s="5">
        <v>116</v>
      </c>
      <c r="B119" s="5">
        <v>4</v>
      </c>
      <c r="C119" s="5">
        <v>2</v>
      </c>
      <c r="D119" s="5">
        <v>5</v>
      </c>
      <c r="E119" s="5">
        <v>5</v>
      </c>
      <c r="F119" s="5">
        <v>3</v>
      </c>
      <c r="G119" s="5">
        <v>5</v>
      </c>
      <c r="H119" s="5">
        <v>2</v>
      </c>
      <c r="I119" s="5">
        <v>3</v>
      </c>
      <c r="J119" s="5">
        <v>4</v>
      </c>
      <c r="K119" s="5">
        <v>5</v>
      </c>
      <c r="L119" s="5">
        <v>5</v>
      </c>
      <c r="M119" s="5">
        <v>5</v>
      </c>
      <c r="N119" s="16">
        <f t="shared" si="9"/>
        <v>4</v>
      </c>
      <c r="O119" s="5" t="str">
        <f t="shared" si="10"/>
        <v>Moderate</v>
      </c>
      <c r="P119" s="5" t="str" cm="1">
        <f t="array" ref="P119">_xlfn.SWITCH(TRUE, N119&gt;=3.5, "High", N119&gt;=2.5, "Moderate", "Low")</f>
        <v>High</v>
      </c>
      <c r="Q119" s="5" t="str">
        <f t="shared" si="11"/>
        <v>Low</v>
      </c>
      <c r="R119" s="5" t="str" cm="1">
        <f t="array" ref="R119">_xlfn.SWITCH(TRUE, N119&gt;=3, "High", "Low")</f>
        <v>High</v>
      </c>
    </row>
    <row r="120" spans="1:18" x14ac:dyDescent="0.35">
      <c r="A120" s="5">
        <v>117</v>
      </c>
      <c r="B120" s="5">
        <v>4</v>
      </c>
      <c r="C120" s="5">
        <v>5</v>
      </c>
      <c r="D120" s="5">
        <v>5</v>
      </c>
      <c r="E120" s="5">
        <v>3</v>
      </c>
      <c r="F120" s="5">
        <v>4</v>
      </c>
      <c r="G120" s="5">
        <v>4</v>
      </c>
      <c r="H120" s="5">
        <v>4</v>
      </c>
      <c r="I120" s="5">
        <v>3</v>
      </c>
      <c r="J120" s="5">
        <v>2</v>
      </c>
      <c r="K120" s="5">
        <v>4</v>
      </c>
      <c r="L120" s="5">
        <v>5</v>
      </c>
      <c r="M120" s="5">
        <v>4</v>
      </c>
      <c r="N120" s="16">
        <f t="shared" si="9"/>
        <v>3.9166666666666665</v>
      </c>
      <c r="O120" s="5" t="str">
        <f t="shared" si="10"/>
        <v>Moderate</v>
      </c>
      <c r="P120" s="5" t="str" cm="1">
        <f t="array" ref="P120">_xlfn.SWITCH(TRUE, N120&gt;=3.5, "High", N120&gt;=2.5, "Moderate", "Low")</f>
        <v>High</v>
      </c>
      <c r="Q120" s="5" t="str">
        <f t="shared" si="11"/>
        <v>Low</v>
      </c>
      <c r="R120" s="5" t="str" cm="1">
        <f t="array" ref="R120">_xlfn.SWITCH(TRUE, N120&gt;=3, "High", "Low")</f>
        <v>High</v>
      </c>
    </row>
    <row r="121" spans="1:18" x14ac:dyDescent="0.35">
      <c r="A121" s="5">
        <v>118</v>
      </c>
      <c r="B121" s="5">
        <v>3</v>
      </c>
      <c r="C121" s="5">
        <v>3</v>
      </c>
      <c r="D121" s="5">
        <v>3</v>
      </c>
      <c r="E121" s="5">
        <v>4</v>
      </c>
      <c r="F121" s="5">
        <v>4</v>
      </c>
      <c r="G121" s="5">
        <v>3</v>
      </c>
      <c r="H121" s="5">
        <v>2</v>
      </c>
      <c r="I121" s="5">
        <v>3</v>
      </c>
      <c r="J121" s="5">
        <v>3</v>
      </c>
      <c r="K121" s="5">
        <v>3</v>
      </c>
      <c r="L121" s="5">
        <v>3</v>
      </c>
      <c r="M121" s="5">
        <v>3</v>
      </c>
      <c r="N121" s="48">
        <f t="shared" si="9"/>
        <v>3.0833333333333335</v>
      </c>
      <c r="O121" s="5" t="str">
        <f t="shared" si="10"/>
        <v>Low</v>
      </c>
      <c r="P121" s="5" t="str" cm="1">
        <f t="array" ref="P121">_xlfn.SWITCH(TRUE, N121&gt;=3.5, "High", N121&gt;=2.5, "Moderate", "Low")</f>
        <v>Moderate</v>
      </c>
      <c r="Q121" s="5" t="str">
        <f t="shared" si="11"/>
        <v>Low</v>
      </c>
      <c r="R121" s="5" t="str" cm="1">
        <f t="array" ref="R121">_xlfn.SWITCH(TRUE, N121&gt;=3, "High", "Low")</f>
        <v>High</v>
      </c>
    </row>
    <row r="122" spans="1:18" x14ac:dyDescent="0.35">
      <c r="A122" s="5">
        <v>119</v>
      </c>
      <c r="B122" s="5">
        <v>5</v>
      </c>
      <c r="C122" s="5">
        <v>4</v>
      </c>
      <c r="D122" s="5">
        <v>5</v>
      </c>
      <c r="E122" s="5">
        <v>5</v>
      </c>
      <c r="F122" s="5">
        <v>4</v>
      </c>
      <c r="G122" s="5">
        <v>5</v>
      </c>
      <c r="H122" s="5">
        <v>4</v>
      </c>
      <c r="I122" s="5">
        <v>4</v>
      </c>
      <c r="J122" s="5">
        <v>4</v>
      </c>
      <c r="K122" s="5">
        <v>5</v>
      </c>
      <c r="L122" s="5">
        <v>5</v>
      </c>
      <c r="M122" s="5">
        <v>4</v>
      </c>
      <c r="N122" s="48">
        <f t="shared" si="9"/>
        <v>4.5</v>
      </c>
      <c r="O122" s="5" t="str">
        <f t="shared" si="10"/>
        <v>High</v>
      </c>
      <c r="P122" s="5" t="str" cm="1">
        <f t="array" ref="P122">_xlfn.SWITCH(TRUE, N122&gt;=3.5, "High", N122&gt;=2.5, "Moderate", "Low")</f>
        <v>High</v>
      </c>
      <c r="Q122" s="5" t="str">
        <f t="shared" si="11"/>
        <v>High</v>
      </c>
      <c r="R122" s="5" t="str" cm="1">
        <f t="array" ref="R122">_xlfn.SWITCH(TRUE, N122&gt;=3, "High", "Low")</f>
        <v>High</v>
      </c>
    </row>
    <row r="123" spans="1:18" x14ac:dyDescent="0.35">
      <c r="A123" s="5">
        <v>120</v>
      </c>
      <c r="B123" s="5">
        <v>5</v>
      </c>
      <c r="C123" s="5">
        <v>3</v>
      </c>
      <c r="D123" s="5">
        <v>4</v>
      </c>
      <c r="E123" s="5">
        <v>4</v>
      </c>
      <c r="F123" s="5">
        <v>3</v>
      </c>
      <c r="G123" s="5">
        <v>3</v>
      </c>
      <c r="H123" s="5">
        <v>3</v>
      </c>
      <c r="I123" s="5">
        <v>3</v>
      </c>
      <c r="J123" s="5">
        <v>4</v>
      </c>
      <c r="K123" s="5">
        <v>4</v>
      </c>
      <c r="L123" s="5">
        <v>4</v>
      </c>
      <c r="M123" s="5">
        <v>3</v>
      </c>
      <c r="N123" s="48">
        <f t="shared" si="9"/>
        <v>3.5833333333333335</v>
      </c>
      <c r="O123" s="5" t="str">
        <f t="shared" si="10"/>
        <v>Low</v>
      </c>
      <c r="P123" s="5" t="str" cm="1">
        <f t="array" ref="P123">_xlfn.SWITCH(TRUE, N123&gt;=3.5, "High", N123&gt;=2.5, "Moderate", "Low")</f>
        <v>High</v>
      </c>
      <c r="Q123" s="5" t="str">
        <f t="shared" si="11"/>
        <v>Low</v>
      </c>
      <c r="R123" s="5" t="str" cm="1">
        <f t="array" ref="R123">_xlfn.SWITCH(TRUE, N123&gt;=3, "High", "Low")</f>
        <v>High</v>
      </c>
    </row>
    <row r="124" spans="1:18" x14ac:dyDescent="0.35">
      <c r="A124" s="5">
        <v>121</v>
      </c>
      <c r="B124" s="5">
        <v>5</v>
      </c>
      <c r="C124" s="5">
        <v>3</v>
      </c>
      <c r="D124" s="5">
        <v>4</v>
      </c>
      <c r="E124" s="5">
        <v>3</v>
      </c>
      <c r="F124" s="5">
        <v>4</v>
      </c>
      <c r="G124" s="5">
        <v>4</v>
      </c>
      <c r="H124" s="5">
        <v>4</v>
      </c>
      <c r="I124" s="5">
        <v>4</v>
      </c>
      <c r="J124" s="5">
        <v>4</v>
      </c>
      <c r="K124" s="5">
        <v>4</v>
      </c>
      <c r="L124" s="5">
        <v>4</v>
      </c>
      <c r="M124" s="5">
        <v>3</v>
      </c>
      <c r="N124" s="16">
        <f t="shared" si="9"/>
        <v>3.8333333333333335</v>
      </c>
      <c r="O124" s="5" t="str">
        <f t="shared" si="10"/>
        <v>Moderate</v>
      </c>
      <c r="P124" s="5" t="str" cm="1">
        <f t="array" ref="P124">_xlfn.SWITCH(TRUE, N124&gt;=3.5, "High", N124&gt;=2.5, "Moderate", "Low")</f>
        <v>High</v>
      </c>
      <c r="Q124" s="5" t="str">
        <f t="shared" si="11"/>
        <v>Low</v>
      </c>
      <c r="R124" s="5" t="str" cm="1">
        <f t="array" ref="R124">_xlfn.SWITCH(TRUE, N124&gt;=3, "High", "Low")</f>
        <v>High</v>
      </c>
    </row>
    <row r="125" spans="1:18" x14ac:dyDescent="0.35">
      <c r="A125" s="5">
        <v>122</v>
      </c>
      <c r="B125" s="5">
        <v>4</v>
      </c>
      <c r="C125" s="5">
        <v>1</v>
      </c>
      <c r="D125" s="5">
        <v>1</v>
      </c>
      <c r="E125" s="5">
        <v>2</v>
      </c>
      <c r="F125" s="5">
        <v>4</v>
      </c>
      <c r="G125" s="5">
        <v>4</v>
      </c>
      <c r="H125" s="5">
        <v>3</v>
      </c>
      <c r="I125" s="5">
        <v>4</v>
      </c>
      <c r="J125" s="5">
        <v>5</v>
      </c>
      <c r="K125" s="5">
        <v>2</v>
      </c>
      <c r="L125" s="5">
        <v>1</v>
      </c>
      <c r="M125" s="5">
        <v>3</v>
      </c>
      <c r="N125" s="16">
        <f t="shared" si="9"/>
        <v>2.8333333333333335</v>
      </c>
      <c r="O125" s="5" t="str">
        <f t="shared" si="10"/>
        <v>Low</v>
      </c>
      <c r="P125" s="5" t="str" cm="1">
        <f t="array" ref="P125">_xlfn.SWITCH(TRUE, N125&gt;=3.5, "High", N125&gt;=2.5, "Moderate", "Low")</f>
        <v>Moderate</v>
      </c>
      <c r="Q125" s="5" t="str">
        <f t="shared" si="11"/>
        <v>Low</v>
      </c>
      <c r="R125" s="5" t="str" cm="1">
        <f t="array" ref="R125">_xlfn.SWITCH(TRUE, N125&gt;=3, "High", "Low")</f>
        <v>Low</v>
      </c>
    </row>
    <row r="126" spans="1:18" x14ac:dyDescent="0.35">
      <c r="A126" s="5">
        <v>123</v>
      </c>
      <c r="B126" s="5">
        <v>4</v>
      </c>
      <c r="C126" s="5">
        <v>3</v>
      </c>
      <c r="D126" s="5">
        <v>2</v>
      </c>
      <c r="E126" s="5">
        <v>1</v>
      </c>
      <c r="F126" s="5">
        <v>5</v>
      </c>
      <c r="G126" s="5">
        <v>5</v>
      </c>
      <c r="H126" s="5">
        <v>4</v>
      </c>
      <c r="I126" s="5">
        <v>4</v>
      </c>
      <c r="J126" s="5">
        <v>4</v>
      </c>
      <c r="K126" s="5">
        <v>4</v>
      </c>
      <c r="L126" s="5">
        <v>3</v>
      </c>
      <c r="M126" s="5">
        <v>4</v>
      </c>
      <c r="N126" s="16">
        <f t="shared" si="9"/>
        <v>3.5833333333333335</v>
      </c>
      <c r="O126" s="5" t="str">
        <f t="shared" si="10"/>
        <v>Low</v>
      </c>
      <c r="P126" s="5" t="str" cm="1">
        <f t="array" ref="P126">_xlfn.SWITCH(TRUE, N126&gt;=3.5, "High", N126&gt;=2.5, "Moderate", "Low")</f>
        <v>High</v>
      </c>
      <c r="Q126" s="5" t="str">
        <f t="shared" si="11"/>
        <v>Low</v>
      </c>
      <c r="R126" s="5" t="str" cm="1">
        <f t="array" ref="R126">_xlfn.SWITCH(TRUE, N126&gt;=3, "High", "Low")</f>
        <v>High</v>
      </c>
    </row>
    <row r="127" spans="1:18" x14ac:dyDescent="0.35">
      <c r="A127" s="5">
        <v>124</v>
      </c>
      <c r="B127" s="5">
        <v>4</v>
      </c>
      <c r="C127" s="5">
        <v>5</v>
      </c>
      <c r="D127" s="5">
        <v>4</v>
      </c>
      <c r="E127" s="5">
        <v>4</v>
      </c>
      <c r="F127" s="5">
        <v>5</v>
      </c>
      <c r="G127" s="5">
        <v>5</v>
      </c>
      <c r="H127" s="5">
        <v>5</v>
      </c>
      <c r="I127" s="5">
        <v>5</v>
      </c>
      <c r="J127" s="5">
        <v>1</v>
      </c>
      <c r="K127" s="5">
        <v>5</v>
      </c>
      <c r="L127" s="5">
        <v>3</v>
      </c>
      <c r="M127" s="5">
        <v>5</v>
      </c>
      <c r="N127" s="16">
        <f t="shared" si="9"/>
        <v>4.25</v>
      </c>
      <c r="O127" s="5" t="str">
        <f t="shared" si="10"/>
        <v>Moderate</v>
      </c>
      <c r="P127" s="5" t="str" cm="1">
        <f t="array" ref="P127">_xlfn.SWITCH(TRUE, N127&gt;=3.5, "High", N127&gt;=2.5, "Moderate", "Low")</f>
        <v>High</v>
      </c>
      <c r="Q127" s="5" t="str">
        <f t="shared" si="11"/>
        <v>High</v>
      </c>
      <c r="R127" s="5" t="str" cm="1">
        <f t="array" ref="R127">_xlfn.SWITCH(TRUE, N127&gt;=3, "High", "Low")</f>
        <v>High</v>
      </c>
    </row>
    <row r="128" spans="1:18" x14ac:dyDescent="0.35">
      <c r="A128" s="5">
        <v>125</v>
      </c>
      <c r="B128" s="5">
        <v>5</v>
      </c>
      <c r="C128" s="5">
        <v>5</v>
      </c>
      <c r="D128" s="5">
        <v>5</v>
      </c>
      <c r="E128" s="5">
        <v>5</v>
      </c>
      <c r="F128" s="5">
        <v>4</v>
      </c>
      <c r="G128" s="5">
        <v>5</v>
      </c>
      <c r="H128" s="5">
        <v>5</v>
      </c>
      <c r="I128" s="5">
        <v>4</v>
      </c>
      <c r="J128" s="5">
        <v>5</v>
      </c>
      <c r="K128" s="5">
        <v>5</v>
      </c>
      <c r="L128" s="5">
        <v>5</v>
      </c>
      <c r="M128" s="5">
        <v>5</v>
      </c>
      <c r="N128" s="16">
        <f t="shared" si="9"/>
        <v>4.833333333333333</v>
      </c>
      <c r="O128" s="5" t="str">
        <f t="shared" si="10"/>
        <v>High</v>
      </c>
      <c r="P128" s="5" t="str" cm="1">
        <f t="array" ref="P128">_xlfn.SWITCH(TRUE, N128&gt;=3.5, "High", N128&gt;=2.5, "Moderate", "Low")</f>
        <v>High</v>
      </c>
      <c r="Q128" s="5" t="str">
        <f t="shared" si="11"/>
        <v>High</v>
      </c>
      <c r="R128" s="5" t="str" cm="1">
        <f t="array" ref="R128">_xlfn.SWITCH(TRUE, N128&gt;=3, "High", "Low")</f>
        <v>High</v>
      </c>
    </row>
    <row r="129" spans="1:18" x14ac:dyDescent="0.35">
      <c r="A129" s="5">
        <v>126</v>
      </c>
      <c r="B129" s="5">
        <v>5</v>
      </c>
      <c r="C129" s="5">
        <v>5</v>
      </c>
      <c r="D129" s="5">
        <v>5</v>
      </c>
      <c r="E129" s="5">
        <v>4</v>
      </c>
      <c r="F129" s="5">
        <v>3</v>
      </c>
      <c r="G129" s="5">
        <v>4</v>
      </c>
      <c r="H129" s="5">
        <v>4</v>
      </c>
      <c r="I129" s="5">
        <v>4</v>
      </c>
      <c r="J129" s="5">
        <v>5</v>
      </c>
      <c r="K129" s="5">
        <v>4</v>
      </c>
      <c r="L129" s="5">
        <v>5</v>
      </c>
      <c r="M129" s="5">
        <v>4</v>
      </c>
      <c r="N129" s="16">
        <f t="shared" si="9"/>
        <v>4.333333333333333</v>
      </c>
      <c r="O129" s="5" t="str">
        <f t="shared" si="10"/>
        <v>High</v>
      </c>
      <c r="P129" s="5" t="str" cm="1">
        <f t="array" ref="P129">_xlfn.SWITCH(TRUE, N129&gt;=3.5, "High", N129&gt;=2.5, "Moderate", "Low")</f>
        <v>High</v>
      </c>
      <c r="Q129" s="5" t="str">
        <f t="shared" si="11"/>
        <v>High</v>
      </c>
      <c r="R129" s="5" t="str" cm="1">
        <f t="array" ref="R129">_xlfn.SWITCH(TRUE, N129&gt;=3, "High", "Low")</f>
        <v>High</v>
      </c>
    </row>
    <row r="130" spans="1:18" x14ac:dyDescent="0.35">
      <c r="A130" s="5">
        <v>127</v>
      </c>
      <c r="B130" s="5">
        <v>5</v>
      </c>
      <c r="C130" s="5">
        <v>3</v>
      </c>
      <c r="D130" s="5">
        <v>5</v>
      </c>
      <c r="E130" s="5">
        <v>4</v>
      </c>
      <c r="F130" s="5">
        <v>4</v>
      </c>
      <c r="G130" s="5">
        <v>3</v>
      </c>
      <c r="H130" s="5">
        <v>3</v>
      </c>
      <c r="I130" s="5">
        <v>3</v>
      </c>
      <c r="J130" s="5">
        <v>4</v>
      </c>
      <c r="K130" s="5">
        <v>3</v>
      </c>
      <c r="L130" s="5">
        <v>3</v>
      </c>
      <c r="M130" s="5">
        <v>4</v>
      </c>
      <c r="N130" s="16">
        <f t="shared" si="9"/>
        <v>3.6666666666666665</v>
      </c>
      <c r="O130" s="5" t="str">
        <f t="shared" si="10"/>
        <v>Low</v>
      </c>
      <c r="P130" s="5" t="str" cm="1">
        <f t="array" ref="P130">_xlfn.SWITCH(TRUE, N130&gt;=3.5, "High", N130&gt;=2.5, "Moderate", "Low")</f>
        <v>High</v>
      </c>
      <c r="Q130" s="5" t="str">
        <f t="shared" si="11"/>
        <v>Low</v>
      </c>
      <c r="R130" s="5" t="str" cm="1">
        <f t="array" ref="R130">_xlfn.SWITCH(TRUE, N130&gt;=3, "High", "Low")</f>
        <v>High</v>
      </c>
    </row>
    <row r="131" spans="1:18" x14ac:dyDescent="0.35">
      <c r="A131" s="5">
        <v>128</v>
      </c>
      <c r="B131" s="5">
        <v>4</v>
      </c>
      <c r="C131" s="5">
        <v>3</v>
      </c>
      <c r="D131" s="5">
        <v>5</v>
      </c>
      <c r="E131" s="5">
        <v>5</v>
      </c>
      <c r="F131" s="5">
        <v>4</v>
      </c>
      <c r="G131" s="5">
        <v>5</v>
      </c>
      <c r="H131" s="5">
        <v>4</v>
      </c>
      <c r="I131" s="5">
        <v>4</v>
      </c>
      <c r="J131" s="5">
        <v>3</v>
      </c>
      <c r="K131" s="5">
        <v>5</v>
      </c>
      <c r="L131" s="5">
        <v>4</v>
      </c>
      <c r="M131" s="5">
        <v>4</v>
      </c>
      <c r="N131" s="16">
        <f t="shared" si="9"/>
        <v>4.166666666666667</v>
      </c>
      <c r="O131" s="5" t="str">
        <f t="shared" si="10"/>
        <v>Moderate</v>
      </c>
      <c r="P131" s="5" t="str" cm="1">
        <f t="array" ref="P131">_xlfn.SWITCH(TRUE, N131&gt;=3.5, "High", N131&gt;=2.5, "Moderate", "Low")</f>
        <v>High</v>
      </c>
      <c r="Q131" s="5" t="str">
        <f t="shared" si="11"/>
        <v>High</v>
      </c>
      <c r="R131" s="5" t="str" cm="1">
        <f t="array" ref="R131">_xlfn.SWITCH(TRUE, N131&gt;=3, "High", "Low")</f>
        <v>High</v>
      </c>
    </row>
    <row r="132" spans="1:18" x14ac:dyDescent="0.35">
      <c r="A132" s="5">
        <v>129</v>
      </c>
      <c r="B132" s="5">
        <v>4</v>
      </c>
      <c r="C132" s="5">
        <v>3</v>
      </c>
      <c r="D132" s="5">
        <v>4</v>
      </c>
      <c r="E132" s="5">
        <v>5</v>
      </c>
      <c r="F132" s="5">
        <v>4</v>
      </c>
      <c r="G132" s="5">
        <v>5</v>
      </c>
      <c r="H132" s="5">
        <v>3</v>
      </c>
      <c r="I132" s="5">
        <v>3</v>
      </c>
      <c r="J132" s="5">
        <v>2</v>
      </c>
      <c r="K132" s="5">
        <v>5</v>
      </c>
      <c r="L132" s="5">
        <v>2</v>
      </c>
      <c r="M132" s="5">
        <v>5</v>
      </c>
      <c r="N132" s="16">
        <f t="shared" ref="N132:N136" si="12">AVERAGE(B132:M132)</f>
        <v>3.75</v>
      </c>
      <c r="O132" s="5" t="str">
        <f t="shared" ref="O132:O136" si="13">_xlfn.SWITCH(TRUE, N132&lt;=$S$11, "Low", N132&gt;=$S$12, "High", "Moderate")</f>
        <v>Moderate</v>
      </c>
      <c r="P132" s="5" t="str" cm="1">
        <f t="array" ref="P132">_xlfn.SWITCH(TRUE, N132&gt;=3.5, "High", N132&gt;=2.5, "Moderate", "Low")</f>
        <v>High</v>
      </c>
      <c r="Q132" s="5" t="str">
        <f t="shared" si="11"/>
        <v>Low</v>
      </c>
      <c r="R132" s="5" t="str" cm="1">
        <f t="array" ref="R132">_xlfn.SWITCH(TRUE, N132&gt;=3, "High", "Low")</f>
        <v>High</v>
      </c>
    </row>
    <row r="133" spans="1:18" x14ac:dyDescent="0.35">
      <c r="A133" s="5">
        <v>130</v>
      </c>
      <c r="B133" s="5">
        <v>4</v>
      </c>
      <c r="C133" s="5">
        <v>3</v>
      </c>
      <c r="D133" s="5">
        <v>4</v>
      </c>
      <c r="E133" s="5">
        <v>2</v>
      </c>
      <c r="F133" s="5">
        <v>3</v>
      </c>
      <c r="G133" s="5">
        <v>3</v>
      </c>
      <c r="H133" s="5">
        <v>4</v>
      </c>
      <c r="I133" s="5">
        <v>4</v>
      </c>
      <c r="J133" s="5">
        <v>3</v>
      </c>
      <c r="K133" s="5">
        <v>3</v>
      </c>
      <c r="L133" s="5">
        <v>4</v>
      </c>
      <c r="M133" s="5">
        <v>4</v>
      </c>
      <c r="N133" s="16">
        <f t="shared" si="12"/>
        <v>3.4166666666666665</v>
      </c>
      <c r="O133" s="5" t="str">
        <f t="shared" si="13"/>
        <v>Low</v>
      </c>
      <c r="P133" s="5" t="str" cm="1">
        <f t="array" ref="P133">_xlfn.SWITCH(TRUE, N133&gt;=3.5, "High", N133&gt;=2.5, "Moderate", "Low")</f>
        <v>Moderate</v>
      </c>
      <c r="Q133" s="5" t="str">
        <f t="shared" si="11"/>
        <v>Low</v>
      </c>
      <c r="R133" s="5" t="str" cm="1">
        <f t="array" ref="R133">_xlfn.SWITCH(TRUE, N133&gt;=3, "High", "Low")</f>
        <v>High</v>
      </c>
    </row>
    <row r="134" spans="1:18" x14ac:dyDescent="0.35">
      <c r="A134" s="5">
        <v>131</v>
      </c>
      <c r="B134" s="5">
        <v>5</v>
      </c>
      <c r="C134" s="5">
        <v>5</v>
      </c>
      <c r="D134" s="5">
        <v>5</v>
      </c>
      <c r="E134" s="5">
        <v>4</v>
      </c>
      <c r="F134" s="5">
        <v>5</v>
      </c>
      <c r="G134" s="5">
        <v>5</v>
      </c>
      <c r="H134" s="5">
        <v>5</v>
      </c>
      <c r="I134" s="5">
        <v>5</v>
      </c>
      <c r="J134" s="5">
        <v>3</v>
      </c>
      <c r="K134" s="5">
        <v>5</v>
      </c>
      <c r="L134" s="5">
        <v>2</v>
      </c>
      <c r="M134" s="5">
        <v>5</v>
      </c>
      <c r="N134" s="16">
        <f t="shared" si="12"/>
        <v>4.5</v>
      </c>
      <c r="O134" s="5" t="str">
        <f t="shared" si="13"/>
        <v>High</v>
      </c>
      <c r="P134" s="5" t="str" cm="1">
        <f t="array" ref="P134">_xlfn.SWITCH(TRUE, N134&gt;=3.5, "High", N134&gt;=2.5, "Moderate", "Low")</f>
        <v>High</v>
      </c>
      <c r="Q134" s="5" t="str">
        <f t="shared" si="11"/>
        <v>High</v>
      </c>
      <c r="R134" s="5" t="str" cm="1">
        <f t="array" ref="R134">_xlfn.SWITCH(TRUE, N134&gt;=3, "High", "Low")</f>
        <v>High</v>
      </c>
    </row>
    <row r="135" spans="1:18" x14ac:dyDescent="0.35">
      <c r="A135" s="5">
        <v>132</v>
      </c>
      <c r="B135" s="5">
        <v>3</v>
      </c>
      <c r="C135" s="5">
        <v>5</v>
      </c>
      <c r="D135" s="5">
        <v>4</v>
      </c>
      <c r="E135" s="5">
        <v>4</v>
      </c>
      <c r="F135" s="5">
        <v>4</v>
      </c>
      <c r="G135" s="5">
        <v>4</v>
      </c>
      <c r="H135" s="5">
        <v>4</v>
      </c>
      <c r="I135" s="5">
        <v>5</v>
      </c>
      <c r="J135" s="5">
        <v>3</v>
      </c>
      <c r="K135" s="5">
        <v>4</v>
      </c>
      <c r="L135" s="5">
        <v>4</v>
      </c>
      <c r="M135" s="5">
        <v>4</v>
      </c>
      <c r="N135" s="16">
        <f t="shared" si="12"/>
        <v>4</v>
      </c>
      <c r="O135" s="5" t="str">
        <f t="shared" si="13"/>
        <v>Moderate</v>
      </c>
      <c r="P135" s="5" t="str" cm="1">
        <f t="array" ref="P135">_xlfn.SWITCH(TRUE, N135&gt;=3.5, "High", N135&gt;=2.5, "Moderate", "Low")</f>
        <v>High</v>
      </c>
      <c r="Q135" s="5" t="str">
        <f t="shared" si="11"/>
        <v>Low</v>
      </c>
      <c r="R135" s="5" t="str" cm="1">
        <f t="array" ref="R135">_xlfn.SWITCH(TRUE, N135&gt;=3, "High", "Low")</f>
        <v>High</v>
      </c>
    </row>
    <row r="136" spans="1:18" x14ac:dyDescent="0.35">
      <c r="A136" s="5">
        <v>133</v>
      </c>
      <c r="B136" s="5">
        <v>3</v>
      </c>
      <c r="C136" s="5">
        <v>5</v>
      </c>
      <c r="D136" s="5">
        <v>5</v>
      </c>
      <c r="E136" s="5">
        <v>5</v>
      </c>
      <c r="F136" s="5">
        <v>4</v>
      </c>
      <c r="G136" s="5">
        <v>4</v>
      </c>
      <c r="H136" s="5">
        <v>4</v>
      </c>
      <c r="I136" s="5">
        <v>5</v>
      </c>
      <c r="J136" s="5">
        <v>2</v>
      </c>
      <c r="K136" s="5">
        <v>5</v>
      </c>
      <c r="L136" s="5">
        <v>5</v>
      </c>
      <c r="M136" s="5">
        <v>5</v>
      </c>
      <c r="N136" s="16">
        <f t="shared" si="12"/>
        <v>4.333333333333333</v>
      </c>
      <c r="O136" s="5" t="str">
        <f t="shared" si="13"/>
        <v>High</v>
      </c>
      <c r="P136" s="5" t="str" cm="1">
        <f t="array" ref="P136">_xlfn.SWITCH(TRUE, N136&gt;=3.5, "High", N136&gt;=2.5, "Moderate", "Low")</f>
        <v>High</v>
      </c>
      <c r="Q136" s="5" t="str">
        <f t="shared" si="11"/>
        <v>High</v>
      </c>
      <c r="R136" s="5" t="str" cm="1">
        <f t="array" ref="R136">_xlfn.SWITCH(TRUE, N136&gt;=3, "High", "Low")</f>
        <v>High</v>
      </c>
    </row>
  </sheetData>
  <mergeCells count="1">
    <mergeCell ref="S10:T10"/>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1DE8-0E43-4BA2-91BB-4449B4C15B15}">
  <sheetPr codeName="Worksheet______21">
    <tabColor theme="4" tint="0.39997558519241921"/>
  </sheetPr>
  <dimension ref="A1:R136"/>
  <sheetViews>
    <sheetView workbookViewId="0">
      <pane xSplit="1" ySplit="3" topLeftCell="B124" activePane="bottomRight" state="frozen"/>
      <selection pane="topRight" activeCell="B1" sqref="B1"/>
      <selection pane="bottomLeft" activeCell="A4" sqref="A4"/>
      <selection pane="bottomRight" activeCell="A4" sqref="A4:A136"/>
    </sheetView>
  </sheetViews>
  <sheetFormatPr defaultRowHeight="14.5" x14ac:dyDescent="0.35"/>
  <cols>
    <col min="1" max="1" width="5.81640625" bestFit="1" customWidth="1"/>
    <col min="2" max="13" width="6.453125" customWidth="1"/>
    <col min="14" max="14" width="5.6328125" customWidth="1"/>
    <col min="15" max="15" width="14.453125" customWidth="1"/>
    <col min="16" max="16" width="20.26953125" customWidth="1"/>
    <col min="17" max="17" width="11.81640625" bestFit="1" customWidth="1"/>
    <col min="18" max="18" width="3.81640625" bestFit="1" customWidth="1"/>
  </cols>
  <sheetData>
    <row r="1" spans="1:18" s="23" customFormat="1" x14ac:dyDescent="0.35">
      <c r="A1" s="4"/>
      <c r="B1" s="5">
        <v>5</v>
      </c>
      <c r="C1" s="5">
        <v>11</v>
      </c>
      <c r="D1" s="5">
        <v>17</v>
      </c>
      <c r="E1" s="5">
        <v>23</v>
      </c>
      <c r="F1" s="5">
        <v>28</v>
      </c>
      <c r="G1" s="5">
        <v>33</v>
      </c>
      <c r="H1" s="5">
        <v>38</v>
      </c>
      <c r="I1" s="5">
        <v>43</v>
      </c>
      <c r="J1" s="5">
        <v>49</v>
      </c>
      <c r="K1" s="5">
        <v>51</v>
      </c>
      <c r="L1" s="5">
        <v>55</v>
      </c>
      <c r="M1" s="5">
        <v>60</v>
      </c>
    </row>
    <row r="2" spans="1:18" x14ac:dyDescent="0.35">
      <c r="A2" s="4"/>
      <c r="B2" s="39" t="s">
        <v>592</v>
      </c>
      <c r="C2" s="39" t="s">
        <v>592</v>
      </c>
      <c r="D2" s="39" t="s">
        <v>595</v>
      </c>
      <c r="E2" s="39" t="s">
        <v>595</v>
      </c>
      <c r="F2" s="39" t="s">
        <v>592</v>
      </c>
      <c r="G2" s="39" t="s">
        <v>595</v>
      </c>
      <c r="H2" s="39" t="s">
        <v>592</v>
      </c>
      <c r="I2" s="39" t="s">
        <v>592</v>
      </c>
      <c r="J2" s="39" t="s">
        <v>592</v>
      </c>
      <c r="K2" s="39" t="s">
        <v>595</v>
      </c>
      <c r="L2" s="39" t="s">
        <v>592</v>
      </c>
      <c r="M2" s="39" t="s">
        <v>592</v>
      </c>
      <c r="P2" s="5"/>
    </row>
    <row r="3" spans="1:18" ht="29" x14ac:dyDescent="0.35">
      <c r="A3" s="3" t="s">
        <v>599</v>
      </c>
      <c r="B3" s="3" t="s">
        <v>727</v>
      </c>
      <c r="C3" s="3" t="s">
        <v>732</v>
      </c>
      <c r="D3" s="43" t="s">
        <v>738</v>
      </c>
      <c r="E3" s="43" t="s">
        <v>743</v>
      </c>
      <c r="F3" s="3" t="s">
        <v>746</v>
      </c>
      <c r="G3" s="43" t="s">
        <v>750</v>
      </c>
      <c r="H3" s="3" t="s">
        <v>754</v>
      </c>
      <c r="I3" s="3" t="s">
        <v>758</v>
      </c>
      <c r="J3" s="3" t="s">
        <v>763</v>
      </c>
      <c r="K3" s="43" t="s">
        <v>764</v>
      </c>
      <c r="L3" s="3" t="s">
        <v>768</v>
      </c>
      <c r="M3" s="3" t="s">
        <v>771</v>
      </c>
      <c r="N3" s="49" t="s">
        <v>710</v>
      </c>
      <c r="O3" s="49" t="s">
        <v>772</v>
      </c>
      <c r="P3" s="49" t="s">
        <v>964</v>
      </c>
    </row>
    <row r="4" spans="1:18" x14ac:dyDescent="0.35">
      <c r="A4">
        <v>1</v>
      </c>
      <c r="B4" s="5">
        <v>4</v>
      </c>
      <c r="C4" s="5">
        <v>3</v>
      </c>
      <c r="D4" s="5">
        <v>4</v>
      </c>
      <c r="E4" s="5">
        <v>3</v>
      </c>
      <c r="F4" s="5">
        <v>3</v>
      </c>
      <c r="G4" s="5">
        <v>2</v>
      </c>
      <c r="H4" s="5">
        <v>5</v>
      </c>
      <c r="I4" s="5">
        <v>5</v>
      </c>
      <c r="J4" s="5">
        <v>4</v>
      </c>
      <c r="K4" s="5">
        <v>3</v>
      </c>
      <c r="L4" s="5">
        <v>5</v>
      </c>
      <c r="M4" s="5">
        <v>5</v>
      </c>
      <c r="N4" s="26">
        <f t="shared" ref="N4:N35" si="0">AVERAGE(B4:M4)</f>
        <v>3.8333333333333335</v>
      </c>
      <c r="O4" s="18" t="str" cm="1">
        <f t="array" ref="O4">_xlfn.SWITCH(TRUE, N4&lt;$Q$10, "Low", N4&gt;$Q$11, "High", "Moderate")</f>
        <v>Moderate</v>
      </c>
      <c r="P4" s="27" t="str" cm="1">
        <f t="array" ref="P4">_xlfn.SWITCH(TRUE, N4&lt;=$Q$12, "Low", "High")</f>
        <v>High</v>
      </c>
    </row>
    <row r="5" spans="1:18" x14ac:dyDescent="0.35">
      <c r="A5">
        <v>2</v>
      </c>
      <c r="B5" s="5">
        <v>1</v>
      </c>
      <c r="C5" s="5">
        <v>2</v>
      </c>
      <c r="D5" s="5">
        <v>3</v>
      </c>
      <c r="E5" s="5">
        <v>1</v>
      </c>
      <c r="F5" s="5">
        <v>4</v>
      </c>
      <c r="G5" s="5">
        <v>1</v>
      </c>
      <c r="H5" s="5">
        <v>2</v>
      </c>
      <c r="I5" s="5">
        <v>2</v>
      </c>
      <c r="J5" s="5">
        <v>2</v>
      </c>
      <c r="K5" s="5">
        <v>4</v>
      </c>
      <c r="L5" s="5">
        <v>1</v>
      </c>
      <c r="M5" s="5">
        <v>3</v>
      </c>
      <c r="N5" s="28">
        <f t="shared" si="0"/>
        <v>2.1666666666666665</v>
      </c>
      <c r="O5" s="29" t="str" cm="1">
        <f t="array" ref="O5">_xlfn.SWITCH(TRUE, N5&lt;$Q$10, "Low", N5&gt;$Q$11, "High", "Moderate")</f>
        <v>Low</v>
      </c>
      <c r="P5" s="30" t="str" cm="1">
        <f t="array" ref="P5">_xlfn.SWITCH(TRUE, N5&lt;=$Q$12, "Low", "High")</f>
        <v>Low</v>
      </c>
    </row>
    <row r="6" spans="1:18" x14ac:dyDescent="0.35">
      <c r="A6">
        <v>3</v>
      </c>
      <c r="B6" s="5">
        <v>3</v>
      </c>
      <c r="C6" s="5">
        <v>4</v>
      </c>
      <c r="D6" s="5">
        <v>2</v>
      </c>
      <c r="E6" s="5">
        <v>4</v>
      </c>
      <c r="F6" s="5">
        <v>3</v>
      </c>
      <c r="G6" s="5">
        <v>4</v>
      </c>
      <c r="H6" s="5">
        <v>1</v>
      </c>
      <c r="I6" s="5">
        <v>5</v>
      </c>
      <c r="J6" s="5">
        <v>2</v>
      </c>
      <c r="K6" s="5">
        <v>4</v>
      </c>
      <c r="L6" s="5">
        <v>3</v>
      </c>
      <c r="M6" s="5">
        <v>2</v>
      </c>
      <c r="N6" s="31">
        <f t="shared" si="0"/>
        <v>3.0833333333333335</v>
      </c>
      <c r="O6" s="32" t="str" cm="1">
        <f t="array" ref="O6">_xlfn.SWITCH(TRUE, N6&lt;$Q$10, "Low", N6&gt;$Q$11, "High", "Moderate")</f>
        <v>Low</v>
      </c>
      <c r="P6" s="33" t="str" cm="1">
        <f t="array" ref="P6">_xlfn.SWITCH(TRUE, N6&lt;=$Q$12, "Low", "High")</f>
        <v>Low</v>
      </c>
    </row>
    <row r="7" spans="1:18" x14ac:dyDescent="0.35">
      <c r="A7">
        <v>4</v>
      </c>
      <c r="B7" s="5">
        <v>1</v>
      </c>
      <c r="C7" s="5">
        <v>1</v>
      </c>
      <c r="D7" s="5">
        <v>4</v>
      </c>
      <c r="E7" s="5">
        <v>2</v>
      </c>
      <c r="F7" s="5">
        <v>4</v>
      </c>
      <c r="G7" s="5">
        <v>3</v>
      </c>
      <c r="H7" s="5">
        <v>1</v>
      </c>
      <c r="I7" s="5">
        <v>1</v>
      </c>
      <c r="J7" s="5">
        <v>1</v>
      </c>
      <c r="K7" s="5">
        <v>3</v>
      </c>
      <c r="L7" s="5">
        <v>1</v>
      </c>
      <c r="M7" s="5">
        <v>2</v>
      </c>
      <c r="N7" s="28">
        <f t="shared" si="0"/>
        <v>2</v>
      </c>
      <c r="O7" s="29" t="str" cm="1">
        <f t="array" ref="O7">_xlfn.SWITCH(TRUE, N7&lt;$Q$10, "Low", N7&gt;$Q$11, "High", "Moderate")</f>
        <v>Low</v>
      </c>
      <c r="P7" s="30" t="str" cm="1">
        <f t="array" ref="P7">_xlfn.SWITCH(TRUE, N7&lt;=$Q$12, "Low", "High")</f>
        <v>Low</v>
      </c>
    </row>
    <row r="8" spans="1:18" x14ac:dyDescent="0.35">
      <c r="A8">
        <v>5</v>
      </c>
      <c r="B8" s="5">
        <v>2</v>
      </c>
      <c r="C8" s="5">
        <v>1</v>
      </c>
      <c r="D8" s="5">
        <v>1</v>
      </c>
      <c r="E8" s="5">
        <v>2</v>
      </c>
      <c r="F8" s="5">
        <v>2</v>
      </c>
      <c r="G8" s="5">
        <v>2</v>
      </c>
      <c r="H8" s="5">
        <v>2</v>
      </c>
      <c r="I8" s="5">
        <v>1</v>
      </c>
      <c r="J8" s="5">
        <v>2</v>
      </c>
      <c r="K8" s="5">
        <v>4</v>
      </c>
      <c r="L8" s="5">
        <v>4</v>
      </c>
      <c r="M8" s="5">
        <v>2</v>
      </c>
      <c r="N8" s="31">
        <f t="shared" si="0"/>
        <v>2.0833333333333335</v>
      </c>
      <c r="O8" s="32" t="str" cm="1">
        <f t="array" ref="O8">_xlfn.SWITCH(TRUE, N8&lt;$Q$10, "Low", N8&gt;$Q$11, "High", "Moderate")</f>
        <v>Low</v>
      </c>
      <c r="P8" s="33" t="str" cm="1">
        <f t="array" ref="P8">_xlfn.SWITCH(TRUE, N8&lt;=$Q$12, "Low", "High")</f>
        <v>Low</v>
      </c>
    </row>
    <row r="9" spans="1:18" x14ac:dyDescent="0.35">
      <c r="A9">
        <v>6</v>
      </c>
      <c r="B9" s="5">
        <v>3</v>
      </c>
      <c r="C9" s="5">
        <v>3</v>
      </c>
      <c r="D9" s="5">
        <v>3</v>
      </c>
      <c r="E9" s="5">
        <v>2</v>
      </c>
      <c r="F9" s="5">
        <v>3</v>
      </c>
      <c r="G9" s="5">
        <v>4</v>
      </c>
      <c r="H9" s="5">
        <v>2</v>
      </c>
      <c r="I9" s="5">
        <v>3</v>
      </c>
      <c r="J9" s="5">
        <v>3</v>
      </c>
      <c r="K9" s="5">
        <v>3</v>
      </c>
      <c r="L9" s="5">
        <v>3</v>
      </c>
      <c r="M9" s="5">
        <v>3</v>
      </c>
      <c r="N9" s="28">
        <f t="shared" si="0"/>
        <v>2.9166666666666665</v>
      </c>
      <c r="O9" s="29" t="str" cm="1">
        <f t="array" ref="O9">_xlfn.SWITCH(TRUE, N9&lt;$Q$10, "Low", N9&gt;$Q$11, "High", "Moderate")</f>
        <v>Low</v>
      </c>
      <c r="P9" s="30" t="str" cm="1">
        <f t="array" ref="P9">_xlfn.SWITCH(TRUE, N9&lt;=$Q$12, "Low", "High")</f>
        <v>Low</v>
      </c>
      <c r="Q9" s="52" t="s">
        <v>709</v>
      </c>
      <c r="R9" s="52"/>
    </row>
    <row r="10" spans="1:18" x14ac:dyDescent="0.35">
      <c r="A10">
        <v>7</v>
      </c>
      <c r="B10" s="5">
        <v>4</v>
      </c>
      <c r="C10" s="5">
        <v>3</v>
      </c>
      <c r="D10" s="5">
        <v>4</v>
      </c>
      <c r="E10" s="5">
        <v>3</v>
      </c>
      <c r="F10" s="5">
        <v>2</v>
      </c>
      <c r="G10" s="5">
        <v>3</v>
      </c>
      <c r="H10" s="5">
        <v>3</v>
      </c>
      <c r="I10" s="5">
        <v>3</v>
      </c>
      <c r="J10" s="5">
        <v>3</v>
      </c>
      <c r="K10" s="5">
        <v>4</v>
      </c>
      <c r="L10" s="5">
        <v>3</v>
      </c>
      <c r="M10" s="5">
        <v>4</v>
      </c>
      <c r="N10" s="31">
        <f t="shared" si="0"/>
        <v>3.25</v>
      </c>
      <c r="O10" s="32" t="str" cm="1">
        <f t="array" ref="O10">_xlfn.SWITCH(TRUE, N10&lt;$Q$10, "Low", N10&gt;$Q$11, "High", "Moderate")</f>
        <v>Moderate</v>
      </c>
      <c r="P10" s="33" t="str" cm="1">
        <f t="array" ref="P10">_xlfn.SWITCH(TRUE, N10&lt;=$Q$12, "Low", "High")</f>
        <v>Low</v>
      </c>
      <c r="Q10" s="17">
        <f>_xlfn.PERCENTILE.EXC($N$4:$N$108, R10)</f>
        <v>3.25</v>
      </c>
      <c r="R10" s="9">
        <v>0.33333333333333331</v>
      </c>
    </row>
    <row r="11" spans="1:18" x14ac:dyDescent="0.35">
      <c r="A11">
        <v>8</v>
      </c>
      <c r="B11" s="5">
        <v>2</v>
      </c>
      <c r="C11" s="5">
        <v>2</v>
      </c>
      <c r="D11" s="5">
        <v>3</v>
      </c>
      <c r="E11" s="5">
        <v>2</v>
      </c>
      <c r="F11" s="5">
        <v>3</v>
      </c>
      <c r="G11" s="5">
        <v>2</v>
      </c>
      <c r="H11" s="5">
        <v>3</v>
      </c>
      <c r="I11" s="5">
        <v>2</v>
      </c>
      <c r="J11" s="5">
        <v>2</v>
      </c>
      <c r="K11" s="5">
        <v>2</v>
      </c>
      <c r="L11" s="5">
        <v>2</v>
      </c>
      <c r="M11" s="5">
        <v>3</v>
      </c>
      <c r="N11" s="28">
        <f t="shared" si="0"/>
        <v>2.3333333333333335</v>
      </c>
      <c r="O11" s="29" t="str" cm="1">
        <f t="array" ref="O11">_xlfn.SWITCH(TRUE, N11&lt;$Q$10, "Low", N11&gt;$Q$11, "High", "Moderate")</f>
        <v>Low</v>
      </c>
      <c r="P11" s="30" t="str" cm="1">
        <f t="array" ref="P11">_xlfn.SWITCH(TRUE, N11&lt;=$Q$12, "Low", "High")</f>
        <v>Low</v>
      </c>
      <c r="Q11" s="17">
        <f>_xlfn.PERCENTILE.EXC($N$4:$N$108, R11)</f>
        <v>4.0555555555555545</v>
      </c>
      <c r="R11" s="9">
        <v>0.66666666666666663</v>
      </c>
    </row>
    <row r="12" spans="1:18" x14ac:dyDescent="0.35">
      <c r="A12">
        <v>9</v>
      </c>
      <c r="B12" s="5">
        <v>5</v>
      </c>
      <c r="C12" s="5">
        <v>4</v>
      </c>
      <c r="D12" s="5">
        <v>5</v>
      </c>
      <c r="E12" s="5">
        <v>3</v>
      </c>
      <c r="F12" s="5">
        <v>4</v>
      </c>
      <c r="G12" s="5">
        <v>1</v>
      </c>
      <c r="H12" s="5">
        <v>5</v>
      </c>
      <c r="I12" s="5">
        <v>5</v>
      </c>
      <c r="J12" s="5">
        <v>5</v>
      </c>
      <c r="K12" s="5">
        <v>1</v>
      </c>
      <c r="L12" s="5">
        <v>4</v>
      </c>
      <c r="M12" s="5">
        <v>5</v>
      </c>
      <c r="N12" s="31">
        <f t="shared" si="0"/>
        <v>3.9166666666666665</v>
      </c>
      <c r="O12" s="32" t="str" cm="1">
        <f t="array" ref="O12">_xlfn.SWITCH(TRUE, N12&lt;$Q$10, "Low", N12&gt;$Q$11, "High", "Moderate")</f>
        <v>Moderate</v>
      </c>
      <c r="P12" s="33" t="str" cm="1">
        <f t="array" ref="P12">_xlfn.SWITCH(TRUE, N12&lt;=$Q$12, "Low", "High")</f>
        <v>High</v>
      </c>
      <c r="Q12" s="17">
        <f>_xlfn.PERCENTILE.EXC($N$4:$N$108, R12)</f>
        <v>3.5</v>
      </c>
      <c r="R12" s="9">
        <v>0.5</v>
      </c>
    </row>
    <row r="13" spans="1:18" x14ac:dyDescent="0.35">
      <c r="A13">
        <v>10</v>
      </c>
      <c r="B13" s="5">
        <v>3</v>
      </c>
      <c r="C13" s="5">
        <v>2</v>
      </c>
      <c r="D13" s="5">
        <v>3</v>
      </c>
      <c r="E13" s="5">
        <v>3</v>
      </c>
      <c r="F13" s="5">
        <v>4</v>
      </c>
      <c r="G13" s="5">
        <v>2</v>
      </c>
      <c r="H13" s="5">
        <v>3</v>
      </c>
      <c r="I13" s="5">
        <v>4</v>
      </c>
      <c r="J13" s="5">
        <v>2</v>
      </c>
      <c r="K13" s="5">
        <v>4</v>
      </c>
      <c r="L13" s="5">
        <v>3</v>
      </c>
      <c r="M13" s="5">
        <v>4</v>
      </c>
      <c r="N13" s="28">
        <f t="shared" si="0"/>
        <v>3.0833333333333335</v>
      </c>
      <c r="O13" s="29" t="str" cm="1">
        <f t="array" ref="O13">_xlfn.SWITCH(TRUE, N13&lt;$Q$10, "Low", N13&gt;$Q$11, "High", "Moderate")</f>
        <v>Low</v>
      </c>
      <c r="P13" s="30" t="str" cm="1">
        <f t="array" ref="P13">_xlfn.SWITCH(TRUE, N13&lt;=$Q$12, "Low", "High")</f>
        <v>Low</v>
      </c>
    </row>
    <row r="14" spans="1:18" x14ac:dyDescent="0.35">
      <c r="A14">
        <v>11</v>
      </c>
      <c r="B14" s="5">
        <v>4</v>
      </c>
      <c r="C14" s="5">
        <v>3</v>
      </c>
      <c r="D14" s="5">
        <v>4</v>
      </c>
      <c r="E14" s="5">
        <v>4</v>
      </c>
      <c r="F14" s="5">
        <v>3</v>
      </c>
      <c r="G14" s="5">
        <v>3</v>
      </c>
      <c r="H14" s="5">
        <v>4</v>
      </c>
      <c r="I14" s="5">
        <v>4</v>
      </c>
      <c r="J14" s="5">
        <v>4</v>
      </c>
      <c r="K14" s="5">
        <v>4</v>
      </c>
      <c r="L14" s="5">
        <v>4</v>
      </c>
      <c r="M14" s="5">
        <v>3</v>
      </c>
      <c r="N14" s="31">
        <f t="shared" si="0"/>
        <v>3.6666666666666665</v>
      </c>
      <c r="O14" s="32" t="str" cm="1">
        <f t="array" ref="O14">_xlfn.SWITCH(TRUE, N14&lt;$Q$10, "Low", N14&gt;$Q$11, "High", "Moderate")</f>
        <v>Moderate</v>
      </c>
      <c r="P14" s="33" t="str" cm="1">
        <f t="array" ref="P14">_xlfn.SWITCH(TRUE, N14&lt;=$Q$12, "Low", "High")</f>
        <v>High</v>
      </c>
    </row>
    <row r="15" spans="1:18" x14ac:dyDescent="0.35">
      <c r="A15">
        <v>12</v>
      </c>
      <c r="B15" s="5">
        <v>4</v>
      </c>
      <c r="C15" s="5">
        <v>3</v>
      </c>
      <c r="D15" s="5">
        <v>3</v>
      </c>
      <c r="E15" s="5">
        <v>3</v>
      </c>
      <c r="F15" s="5">
        <v>3</v>
      </c>
      <c r="G15" s="5">
        <v>3</v>
      </c>
      <c r="H15" s="5">
        <v>4</v>
      </c>
      <c r="I15" s="5">
        <v>4</v>
      </c>
      <c r="J15" s="5">
        <v>3</v>
      </c>
      <c r="K15" s="5">
        <v>3</v>
      </c>
      <c r="L15" s="5">
        <v>3</v>
      </c>
      <c r="M15" s="5">
        <v>3</v>
      </c>
      <c r="N15" s="28">
        <f t="shared" si="0"/>
        <v>3.25</v>
      </c>
      <c r="O15" s="29" t="str" cm="1">
        <f t="array" ref="O15">_xlfn.SWITCH(TRUE, N15&lt;$Q$10, "Low", N15&gt;$Q$11, "High", "Moderate")</f>
        <v>Moderate</v>
      </c>
      <c r="P15" s="30" t="str" cm="1">
        <f t="array" ref="P15">_xlfn.SWITCH(TRUE, N15&lt;=$Q$12, "Low", "High")</f>
        <v>Low</v>
      </c>
    </row>
    <row r="16" spans="1:18" x14ac:dyDescent="0.35">
      <c r="A16">
        <v>13</v>
      </c>
      <c r="B16" s="5">
        <v>5</v>
      </c>
      <c r="C16" s="5">
        <v>4</v>
      </c>
      <c r="D16" s="5">
        <v>4</v>
      </c>
      <c r="E16" s="5">
        <v>4</v>
      </c>
      <c r="F16" s="5">
        <v>4</v>
      </c>
      <c r="G16" s="5">
        <v>5</v>
      </c>
      <c r="H16" s="5">
        <v>5</v>
      </c>
      <c r="I16" s="5">
        <v>5</v>
      </c>
      <c r="J16" s="5">
        <v>3</v>
      </c>
      <c r="K16" s="5">
        <v>4</v>
      </c>
      <c r="L16" s="5">
        <v>4</v>
      </c>
      <c r="M16" s="5">
        <v>3</v>
      </c>
      <c r="N16" s="31">
        <f t="shared" si="0"/>
        <v>4.166666666666667</v>
      </c>
      <c r="O16" s="32" t="str" cm="1">
        <f t="array" ref="O16">_xlfn.SWITCH(TRUE, N16&lt;$Q$10, "Low", N16&gt;$Q$11, "High", "Moderate")</f>
        <v>High</v>
      </c>
      <c r="P16" s="33" t="str" cm="1">
        <f t="array" ref="P16">_xlfn.SWITCH(TRUE, N16&lt;=$Q$12, "Low", "High")</f>
        <v>High</v>
      </c>
    </row>
    <row r="17" spans="1:16" x14ac:dyDescent="0.35">
      <c r="A17">
        <v>14</v>
      </c>
      <c r="B17" s="5">
        <v>5</v>
      </c>
      <c r="C17" s="5">
        <v>4</v>
      </c>
      <c r="D17" s="5">
        <v>3</v>
      </c>
      <c r="E17" s="5">
        <v>5</v>
      </c>
      <c r="F17" s="5">
        <v>4</v>
      </c>
      <c r="G17" s="5">
        <v>5</v>
      </c>
      <c r="H17" s="5">
        <v>4</v>
      </c>
      <c r="I17" s="5">
        <v>5</v>
      </c>
      <c r="J17" s="5">
        <v>4</v>
      </c>
      <c r="K17" s="5">
        <v>4</v>
      </c>
      <c r="L17" s="5">
        <v>4</v>
      </c>
      <c r="M17" s="5">
        <v>4</v>
      </c>
      <c r="N17" s="28">
        <f t="shared" si="0"/>
        <v>4.25</v>
      </c>
      <c r="O17" s="29" t="str" cm="1">
        <f t="array" ref="O17">_xlfn.SWITCH(TRUE, N17&lt;$Q$10, "Low", N17&gt;$Q$11, "High", "Moderate")</f>
        <v>High</v>
      </c>
      <c r="P17" s="30" t="str" cm="1">
        <f t="array" ref="P17">_xlfn.SWITCH(TRUE, N17&lt;=$Q$12, "Low", "High")</f>
        <v>High</v>
      </c>
    </row>
    <row r="18" spans="1:16" x14ac:dyDescent="0.35">
      <c r="A18">
        <v>15</v>
      </c>
      <c r="B18" s="5">
        <v>4</v>
      </c>
      <c r="C18" s="5">
        <v>3</v>
      </c>
      <c r="D18" s="5">
        <v>4</v>
      </c>
      <c r="E18" s="5">
        <v>3</v>
      </c>
      <c r="F18" s="5">
        <v>4</v>
      </c>
      <c r="G18" s="5">
        <v>5</v>
      </c>
      <c r="H18" s="5">
        <v>3</v>
      </c>
      <c r="I18" s="5">
        <v>3</v>
      </c>
      <c r="J18" s="5">
        <v>2</v>
      </c>
      <c r="K18" s="5">
        <v>5</v>
      </c>
      <c r="L18" s="5">
        <v>3</v>
      </c>
      <c r="M18" s="5">
        <v>5</v>
      </c>
      <c r="N18" s="31">
        <f t="shared" si="0"/>
        <v>3.6666666666666665</v>
      </c>
      <c r="O18" s="32" t="str" cm="1">
        <f t="array" ref="O18">_xlfn.SWITCH(TRUE, N18&lt;$Q$10, "Low", N18&gt;$Q$11, "High", "Moderate")</f>
        <v>Moderate</v>
      </c>
      <c r="P18" s="33" t="str" cm="1">
        <f t="array" ref="P18">_xlfn.SWITCH(TRUE, N18&lt;=$Q$12, "Low", "High")</f>
        <v>High</v>
      </c>
    </row>
    <row r="19" spans="1:16" x14ac:dyDescent="0.35">
      <c r="A19">
        <v>16</v>
      </c>
      <c r="B19" s="5">
        <v>5</v>
      </c>
      <c r="C19" s="5">
        <v>5</v>
      </c>
      <c r="D19" s="5">
        <v>3</v>
      </c>
      <c r="E19" s="5">
        <v>4</v>
      </c>
      <c r="F19" s="5">
        <v>5</v>
      </c>
      <c r="G19" s="5">
        <v>5</v>
      </c>
      <c r="H19" s="5">
        <v>1</v>
      </c>
      <c r="I19" s="5">
        <v>5</v>
      </c>
      <c r="J19" s="5">
        <v>5</v>
      </c>
      <c r="K19" s="5">
        <v>5</v>
      </c>
      <c r="L19" s="5">
        <v>5</v>
      </c>
      <c r="M19" s="5">
        <v>4</v>
      </c>
      <c r="N19" s="28">
        <f t="shared" si="0"/>
        <v>4.333333333333333</v>
      </c>
      <c r="O19" s="29" t="str" cm="1">
        <f t="array" ref="O19">_xlfn.SWITCH(TRUE, N19&lt;$Q$10, "Low", N19&gt;$Q$11, "High", "Moderate")</f>
        <v>High</v>
      </c>
      <c r="P19" s="30" t="str" cm="1">
        <f t="array" ref="P19">_xlfn.SWITCH(TRUE, N19&lt;=$Q$12, "Low", "High")</f>
        <v>High</v>
      </c>
    </row>
    <row r="20" spans="1:16" x14ac:dyDescent="0.35">
      <c r="A20">
        <v>17</v>
      </c>
      <c r="B20" s="5">
        <v>4</v>
      </c>
      <c r="C20" s="5">
        <v>3</v>
      </c>
      <c r="D20" s="5">
        <v>4</v>
      </c>
      <c r="E20" s="5">
        <v>4</v>
      </c>
      <c r="F20" s="5">
        <v>4</v>
      </c>
      <c r="G20" s="5">
        <v>2</v>
      </c>
      <c r="H20" s="5">
        <v>3</v>
      </c>
      <c r="I20" s="5">
        <v>4</v>
      </c>
      <c r="J20" s="5">
        <v>3</v>
      </c>
      <c r="K20" s="5">
        <v>4</v>
      </c>
      <c r="L20" s="5">
        <v>3</v>
      </c>
      <c r="M20" s="5">
        <v>4</v>
      </c>
      <c r="N20" s="31">
        <f t="shared" si="0"/>
        <v>3.5</v>
      </c>
      <c r="O20" s="32" t="str" cm="1">
        <f t="array" ref="O20">_xlfn.SWITCH(TRUE, N20&lt;$Q$10, "Low", N20&gt;$Q$11, "High", "Moderate")</f>
        <v>Moderate</v>
      </c>
      <c r="P20" s="33" t="str" cm="1">
        <f t="array" ref="P20">_xlfn.SWITCH(TRUE, N20&lt;=$Q$12, "Low", "High")</f>
        <v>Low</v>
      </c>
    </row>
    <row r="21" spans="1:16" x14ac:dyDescent="0.35">
      <c r="A21">
        <v>18</v>
      </c>
      <c r="B21" s="5">
        <v>5</v>
      </c>
      <c r="C21" s="5">
        <v>5</v>
      </c>
      <c r="D21" s="5">
        <v>5</v>
      </c>
      <c r="E21" s="5">
        <v>5</v>
      </c>
      <c r="F21" s="5">
        <v>5</v>
      </c>
      <c r="G21" s="5">
        <v>5</v>
      </c>
      <c r="H21" s="5">
        <v>5</v>
      </c>
      <c r="I21" s="5">
        <v>5</v>
      </c>
      <c r="J21" s="5">
        <v>4</v>
      </c>
      <c r="K21" s="5">
        <v>5</v>
      </c>
      <c r="L21" s="5">
        <v>3</v>
      </c>
      <c r="M21" s="5">
        <v>5</v>
      </c>
      <c r="N21" s="28">
        <f t="shared" si="0"/>
        <v>4.75</v>
      </c>
      <c r="O21" s="29" t="str" cm="1">
        <f t="array" ref="O21">_xlfn.SWITCH(TRUE, N21&lt;$Q$10, "Low", N21&gt;$Q$11, "High", "Moderate")</f>
        <v>High</v>
      </c>
      <c r="P21" s="30" t="str" cm="1">
        <f t="array" ref="P21">_xlfn.SWITCH(TRUE, N21&lt;=$Q$12, "Low", "High")</f>
        <v>High</v>
      </c>
    </row>
    <row r="22" spans="1:16" x14ac:dyDescent="0.35">
      <c r="A22">
        <v>19</v>
      </c>
      <c r="B22" s="5">
        <v>3</v>
      </c>
      <c r="C22" s="5">
        <v>3</v>
      </c>
      <c r="D22" s="5">
        <v>1</v>
      </c>
      <c r="E22" s="5">
        <v>3</v>
      </c>
      <c r="F22" s="5">
        <v>4</v>
      </c>
      <c r="G22" s="5">
        <v>3</v>
      </c>
      <c r="H22" s="5">
        <v>2</v>
      </c>
      <c r="I22" s="5">
        <v>4</v>
      </c>
      <c r="J22" s="5">
        <v>3</v>
      </c>
      <c r="K22" s="5">
        <v>2</v>
      </c>
      <c r="L22" s="5">
        <v>3</v>
      </c>
      <c r="M22" s="5">
        <v>5</v>
      </c>
      <c r="N22" s="31">
        <f t="shared" si="0"/>
        <v>3</v>
      </c>
      <c r="O22" s="32" t="str" cm="1">
        <f t="array" ref="O22">_xlfn.SWITCH(TRUE, N22&lt;$Q$10, "Low", N22&gt;$Q$11, "High", "Moderate")</f>
        <v>Low</v>
      </c>
      <c r="P22" s="33" t="str" cm="1">
        <f t="array" ref="P22">_xlfn.SWITCH(TRUE, N22&lt;=$Q$12, "Low", "High")</f>
        <v>Low</v>
      </c>
    </row>
    <row r="23" spans="1:16" x14ac:dyDescent="0.35">
      <c r="A23">
        <v>20</v>
      </c>
      <c r="B23" s="5">
        <v>4</v>
      </c>
      <c r="C23" s="5">
        <v>4</v>
      </c>
      <c r="D23" s="5">
        <v>4</v>
      </c>
      <c r="E23" s="5">
        <v>2</v>
      </c>
      <c r="F23" s="5">
        <v>3</v>
      </c>
      <c r="G23" s="5">
        <v>1</v>
      </c>
      <c r="H23" s="5">
        <v>3</v>
      </c>
      <c r="I23" s="5">
        <v>3</v>
      </c>
      <c r="J23" s="5">
        <v>5</v>
      </c>
      <c r="K23" s="5">
        <v>3</v>
      </c>
      <c r="L23" s="5">
        <v>4</v>
      </c>
      <c r="M23" s="5">
        <v>5</v>
      </c>
      <c r="N23" s="28">
        <f t="shared" si="0"/>
        <v>3.4166666666666665</v>
      </c>
      <c r="O23" s="29" t="str" cm="1">
        <f t="array" ref="O23">_xlfn.SWITCH(TRUE, N23&lt;$Q$10, "Low", N23&gt;$Q$11, "High", "Moderate")</f>
        <v>Moderate</v>
      </c>
      <c r="P23" s="30" t="str" cm="1">
        <f t="array" ref="P23">_xlfn.SWITCH(TRUE, N23&lt;=$Q$12, "Low", "High")</f>
        <v>Low</v>
      </c>
    </row>
    <row r="24" spans="1:16" x14ac:dyDescent="0.35">
      <c r="A24">
        <v>21</v>
      </c>
      <c r="B24" s="5">
        <v>3</v>
      </c>
      <c r="C24" s="5">
        <v>5</v>
      </c>
      <c r="D24" s="5">
        <v>1</v>
      </c>
      <c r="E24" s="5">
        <v>3</v>
      </c>
      <c r="F24" s="5">
        <v>5</v>
      </c>
      <c r="G24" s="5">
        <v>4</v>
      </c>
      <c r="H24" s="5">
        <v>5</v>
      </c>
      <c r="I24" s="5">
        <v>4</v>
      </c>
      <c r="J24" s="5">
        <v>4</v>
      </c>
      <c r="K24" s="5">
        <v>5</v>
      </c>
      <c r="L24" s="5">
        <v>3</v>
      </c>
      <c r="M24" s="5">
        <v>4</v>
      </c>
      <c r="N24" s="31">
        <f t="shared" si="0"/>
        <v>3.8333333333333335</v>
      </c>
      <c r="O24" s="32" t="str" cm="1">
        <f t="array" ref="O24">_xlfn.SWITCH(TRUE, N24&lt;$Q$10, "Low", N24&gt;$Q$11, "High", "Moderate")</f>
        <v>Moderate</v>
      </c>
      <c r="P24" s="33" t="str" cm="1">
        <f t="array" ref="P24">_xlfn.SWITCH(TRUE, N24&lt;=$Q$12, "Low", "High")</f>
        <v>High</v>
      </c>
    </row>
    <row r="25" spans="1:16" x14ac:dyDescent="0.35">
      <c r="A25">
        <v>22</v>
      </c>
      <c r="B25" s="5">
        <v>4</v>
      </c>
      <c r="C25" s="5">
        <v>3</v>
      </c>
      <c r="D25" s="5">
        <v>5</v>
      </c>
      <c r="E25" s="5">
        <v>5</v>
      </c>
      <c r="F25" s="5">
        <v>2</v>
      </c>
      <c r="G25" s="5">
        <v>4</v>
      </c>
      <c r="H25" s="5">
        <v>4</v>
      </c>
      <c r="I25" s="5">
        <v>4</v>
      </c>
      <c r="J25" s="5">
        <v>2</v>
      </c>
      <c r="K25" s="5">
        <v>4</v>
      </c>
      <c r="L25" s="5">
        <v>4</v>
      </c>
      <c r="M25" s="5">
        <v>5</v>
      </c>
      <c r="N25" s="28">
        <f t="shared" si="0"/>
        <v>3.8333333333333335</v>
      </c>
      <c r="O25" s="29" t="str" cm="1">
        <f t="array" ref="O25">_xlfn.SWITCH(TRUE, N25&lt;$Q$10, "Low", N25&gt;$Q$11, "High", "Moderate")</f>
        <v>Moderate</v>
      </c>
      <c r="P25" s="30" t="str" cm="1">
        <f t="array" ref="P25">_xlfn.SWITCH(TRUE, N25&lt;=$Q$12, "Low", "High")</f>
        <v>High</v>
      </c>
    </row>
    <row r="26" spans="1:16" x14ac:dyDescent="0.35">
      <c r="A26">
        <v>23</v>
      </c>
      <c r="B26" s="5">
        <v>4</v>
      </c>
      <c r="C26" s="5">
        <v>2</v>
      </c>
      <c r="D26" s="5">
        <v>3</v>
      </c>
      <c r="E26" s="5">
        <v>3</v>
      </c>
      <c r="F26" s="5">
        <v>3</v>
      </c>
      <c r="G26" s="5">
        <v>1</v>
      </c>
      <c r="H26" s="5">
        <v>2</v>
      </c>
      <c r="I26" s="5">
        <v>2</v>
      </c>
      <c r="J26" s="5">
        <v>3</v>
      </c>
      <c r="K26" s="5">
        <v>4</v>
      </c>
      <c r="L26" s="5">
        <v>4</v>
      </c>
      <c r="M26" s="5">
        <v>4</v>
      </c>
      <c r="N26" s="31">
        <f t="shared" si="0"/>
        <v>2.9166666666666665</v>
      </c>
      <c r="O26" s="32" t="str" cm="1">
        <f t="array" ref="O26">_xlfn.SWITCH(TRUE, N26&lt;$Q$10, "Low", N26&gt;$Q$11, "High", "Moderate")</f>
        <v>Low</v>
      </c>
      <c r="P26" s="33" t="str" cm="1">
        <f t="array" ref="P26">_xlfn.SWITCH(TRUE, N26&lt;=$Q$12, "Low", "High")</f>
        <v>Low</v>
      </c>
    </row>
    <row r="27" spans="1:16" x14ac:dyDescent="0.35">
      <c r="A27">
        <v>24</v>
      </c>
      <c r="B27" s="5">
        <v>3</v>
      </c>
      <c r="C27" s="5">
        <v>2</v>
      </c>
      <c r="D27" s="5">
        <v>2</v>
      </c>
      <c r="E27" s="5">
        <v>4</v>
      </c>
      <c r="F27" s="5">
        <v>4</v>
      </c>
      <c r="G27" s="5">
        <v>4</v>
      </c>
      <c r="H27" s="5">
        <v>3</v>
      </c>
      <c r="I27" s="5">
        <v>2</v>
      </c>
      <c r="J27" s="5">
        <v>2</v>
      </c>
      <c r="K27" s="5">
        <v>2</v>
      </c>
      <c r="L27" s="5">
        <v>3</v>
      </c>
      <c r="M27" s="5">
        <v>4</v>
      </c>
      <c r="N27" s="28">
        <f t="shared" si="0"/>
        <v>2.9166666666666665</v>
      </c>
      <c r="O27" s="29" t="str" cm="1">
        <f t="array" ref="O27">_xlfn.SWITCH(TRUE, N27&lt;$Q$10, "Low", N27&gt;$Q$11, "High", "Moderate")</f>
        <v>Low</v>
      </c>
      <c r="P27" s="30" t="str" cm="1">
        <f t="array" ref="P27">_xlfn.SWITCH(TRUE, N27&lt;=$Q$12, "Low", "High")</f>
        <v>Low</v>
      </c>
    </row>
    <row r="28" spans="1:16" x14ac:dyDescent="0.35">
      <c r="A28">
        <v>25</v>
      </c>
      <c r="B28" s="5">
        <v>3</v>
      </c>
      <c r="C28" s="5">
        <v>3</v>
      </c>
      <c r="D28" s="5">
        <v>4</v>
      </c>
      <c r="E28" s="5">
        <v>1</v>
      </c>
      <c r="F28" s="5">
        <v>2</v>
      </c>
      <c r="G28" s="5">
        <v>1</v>
      </c>
      <c r="H28" s="5">
        <v>4</v>
      </c>
      <c r="I28" s="5">
        <v>5</v>
      </c>
      <c r="J28" s="5">
        <v>3</v>
      </c>
      <c r="K28" s="5">
        <v>5</v>
      </c>
      <c r="L28" s="5">
        <v>1</v>
      </c>
      <c r="M28" s="5">
        <v>3</v>
      </c>
      <c r="N28" s="31">
        <f t="shared" si="0"/>
        <v>2.9166666666666665</v>
      </c>
      <c r="O28" s="32" t="str" cm="1">
        <f t="array" ref="O28">_xlfn.SWITCH(TRUE, N28&lt;$Q$10, "Low", N28&gt;$Q$11, "High", "Moderate")</f>
        <v>Low</v>
      </c>
      <c r="P28" s="33" t="str" cm="1">
        <f t="array" ref="P28">_xlfn.SWITCH(TRUE, N28&lt;=$Q$12, "Low", "High")</f>
        <v>Low</v>
      </c>
    </row>
    <row r="29" spans="1:16" x14ac:dyDescent="0.35">
      <c r="A29">
        <v>26</v>
      </c>
      <c r="B29" s="5">
        <v>4</v>
      </c>
      <c r="C29" s="5">
        <v>1</v>
      </c>
      <c r="D29" s="5">
        <v>2</v>
      </c>
      <c r="E29" s="5">
        <v>4</v>
      </c>
      <c r="F29" s="5">
        <v>4</v>
      </c>
      <c r="G29" s="5">
        <v>3</v>
      </c>
      <c r="H29" s="5">
        <v>3</v>
      </c>
      <c r="I29" s="5">
        <v>3</v>
      </c>
      <c r="J29" s="5">
        <v>4</v>
      </c>
      <c r="K29" s="5">
        <v>2</v>
      </c>
      <c r="L29" s="5">
        <v>5</v>
      </c>
      <c r="M29" s="5">
        <v>4</v>
      </c>
      <c r="N29" s="28">
        <f t="shared" si="0"/>
        <v>3.25</v>
      </c>
      <c r="O29" s="29" t="str" cm="1">
        <f t="array" ref="O29">_xlfn.SWITCH(TRUE, N29&lt;$Q$10, "Low", N29&gt;$Q$11, "High", "Moderate")</f>
        <v>Moderate</v>
      </c>
      <c r="P29" s="30" t="str" cm="1">
        <f t="array" ref="P29">_xlfn.SWITCH(TRUE, N29&lt;=$Q$12, "Low", "High")</f>
        <v>Low</v>
      </c>
    </row>
    <row r="30" spans="1:16" x14ac:dyDescent="0.35">
      <c r="A30">
        <v>27</v>
      </c>
      <c r="B30" s="5">
        <v>2</v>
      </c>
      <c r="C30" s="5">
        <v>3</v>
      </c>
      <c r="D30" s="5">
        <v>5</v>
      </c>
      <c r="E30" s="5">
        <v>3</v>
      </c>
      <c r="F30" s="5">
        <v>3</v>
      </c>
      <c r="G30" s="5">
        <v>4</v>
      </c>
      <c r="H30" s="5">
        <v>5</v>
      </c>
      <c r="I30" s="5">
        <v>3</v>
      </c>
      <c r="J30" s="5">
        <v>4</v>
      </c>
      <c r="K30" s="5">
        <v>5</v>
      </c>
      <c r="L30" s="5">
        <v>3</v>
      </c>
      <c r="M30" s="5">
        <v>3</v>
      </c>
      <c r="N30" s="31">
        <f t="shared" si="0"/>
        <v>3.5833333333333335</v>
      </c>
      <c r="O30" s="32" t="str" cm="1">
        <f t="array" ref="O30">_xlfn.SWITCH(TRUE, N30&lt;$Q$10, "Low", N30&gt;$Q$11, "High", "Moderate")</f>
        <v>Moderate</v>
      </c>
      <c r="P30" s="33" t="str" cm="1">
        <f t="array" ref="P30">_xlfn.SWITCH(TRUE, N30&lt;=$Q$12, "Low", "High")</f>
        <v>High</v>
      </c>
    </row>
    <row r="31" spans="1:16" x14ac:dyDescent="0.35">
      <c r="A31">
        <v>28</v>
      </c>
      <c r="B31" s="5">
        <v>4</v>
      </c>
      <c r="C31" s="5">
        <v>4</v>
      </c>
      <c r="D31" s="5">
        <v>5</v>
      </c>
      <c r="E31" s="5">
        <v>4</v>
      </c>
      <c r="F31" s="5">
        <v>3</v>
      </c>
      <c r="G31" s="5">
        <v>4</v>
      </c>
      <c r="H31" s="5">
        <v>3</v>
      </c>
      <c r="I31" s="5">
        <v>4</v>
      </c>
      <c r="J31" s="5">
        <v>4</v>
      </c>
      <c r="K31" s="5">
        <v>5</v>
      </c>
      <c r="L31" s="5">
        <v>4</v>
      </c>
      <c r="M31" s="5">
        <v>4</v>
      </c>
      <c r="N31" s="28">
        <f t="shared" si="0"/>
        <v>4</v>
      </c>
      <c r="O31" s="29" t="str" cm="1">
        <f t="array" ref="O31">_xlfn.SWITCH(TRUE, N31&lt;$Q$10, "Low", N31&gt;$Q$11, "High", "Moderate")</f>
        <v>Moderate</v>
      </c>
      <c r="P31" s="30" t="str" cm="1">
        <f t="array" ref="P31">_xlfn.SWITCH(TRUE, N31&lt;=$Q$12, "Low", "High")</f>
        <v>High</v>
      </c>
    </row>
    <row r="32" spans="1:16" x14ac:dyDescent="0.35">
      <c r="A32">
        <v>29</v>
      </c>
      <c r="B32" s="5">
        <v>3</v>
      </c>
      <c r="C32" s="5">
        <v>2</v>
      </c>
      <c r="D32" s="5">
        <v>4</v>
      </c>
      <c r="E32" s="5">
        <v>3</v>
      </c>
      <c r="F32" s="5">
        <v>3</v>
      </c>
      <c r="G32" s="5">
        <v>4</v>
      </c>
      <c r="H32" s="5">
        <v>4</v>
      </c>
      <c r="I32" s="5">
        <v>3</v>
      </c>
      <c r="J32" s="5">
        <v>3</v>
      </c>
      <c r="K32" s="5">
        <v>4</v>
      </c>
      <c r="L32" s="5">
        <v>3</v>
      </c>
      <c r="M32" s="5">
        <v>3</v>
      </c>
      <c r="N32" s="31">
        <f t="shared" si="0"/>
        <v>3.25</v>
      </c>
      <c r="O32" s="32" t="str" cm="1">
        <f t="array" ref="O32">_xlfn.SWITCH(TRUE, N32&lt;$Q$10, "Low", N32&gt;$Q$11, "High", "Moderate")</f>
        <v>Moderate</v>
      </c>
      <c r="P32" s="33" t="str" cm="1">
        <f t="array" ref="P32">_xlfn.SWITCH(TRUE, N32&lt;=$Q$12, "Low", "High")</f>
        <v>Low</v>
      </c>
    </row>
    <row r="33" spans="1:16" x14ac:dyDescent="0.35">
      <c r="A33">
        <v>30</v>
      </c>
      <c r="B33" s="5">
        <v>2</v>
      </c>
      <c r="C33" s="5">
        <v>2</v>
      </c>
      <c r="D33" s="5">
        <v>3</v>
      </c>
      <c r="E33" s="5">
        <v>4</v>
      </c>
      <c r="F33" s="5">
        <v>2</v>
      </c>
      <c r="G33" s="5">
        <v>1</v>
      </c>
      <c r="H33" s="5">
        <v>2</v>
      </c>
      <c r="I33" s="5">
        <v>2</v>
      </c>
      <c r="J33" s="5">
        <v>2</v>
      </c>
      <c r="K33" s="5">
        <v>3</v>
      </c>
      <c r="L33" s="5">
        <v>3</v>
      </c>
      <c r="M33" s="5">
        <v>4</v>
      </c>
      <c r="N33" s="28">
        <f t="shared" si="0"/>
        <v>2.5</v>
      </c>
      <c r="O33" s="29" t="str" cm="1">
        <f t="array" ref="O33">_xlfn.SWITCH(TRUE, N33&lt;$Q$10, "Low", N33&gt;$Q$11, "High", "Moderate")</f>
        <v>Low</v>
      </c>
      <c r="P33" s="30" t="str" cm="1">
        <f t="array" ref="P33">_xlfn.SWITCH(TRUE, N33&lt;=$Q$12, "Low", "High")</f>
        <v>Low</v>
      </c>
    </row>
    <row r="34" spans="1:16" x14ac:dyDescent="0.35">
      <c r="A34">
        <v>31</v>
      </c>
      <c r="B34" s="5">
        <v>2</v>
      </c>
      <c r="C34" s="5">
        <v>2</v>
      </c>
      <c r="D34" s="5">
        <v>4</v>
      </c>
      <c r="E34" s="5">
        <v>3</v>
      </c>
      <c r="F34" s="5">
        <v>2</v>
      </c>
      <c r="G34" s="5">
        <v>3</v>
      </c>
      <c r="H34" s="5">
        <v>3</v>
      </c>
      <c r="I34" s="5">
        <v>3</v>
      </c>
      <c r="J34" s="5">
        <v>3</v>
      </c>
      <c r="K34" s="5">
        <v>4</v>
      </c>
      <c r="L34" s="5">
        <v>4</v>
      </c>
      <c r="M34" s="5">
        <v>4</v>
      </c>
      <c r="N34" s="31">
        <f t="shared" si="0"/>
        <v>3.0833333333333335</v>
      </c>
      <c r="O34" s="32" t="str" cm="1">
        <f t="array" ref="O34">_xlfn.SWITCH(TRUE, N34&lt;$Q$10, "Low", N34&gt;$Q$11, "High", "Moderate")</f>
        <v>Low</v>
      </c>
      <c r="P34" s="33" t="str" cm="1">
        <f t="array" ref="P34">_xlfn.SWITCH(TRUE, N34&lt;=$Q$12, "Low", "High")</f>
        <v>Low</v>
      </c>
    </row>
    <row r="35" spans="1:16" x14ac:dyDescent="0.35">
      <c r="A35">
        <v>32</v>
      </c>
      <c r="B35" s="5">
        <v>5</v>
      </c>
      <c r="C35" s="5">
        <v>4</v>
      </c>
      <c r="D35" s="5">
        <v>5</v>
      </c>
      <c r="E35" s="5">
        <v>2</v>
      </c>
      <c r="F35" s="5">
        <v>3</v>
      </c>
      <c r="G35" s="5">
        <v>4</v>
      </c>
      <c r="H35" s="5">
        <v>5</v>
      </c>
      <c r="I35" s="5">
        <v>4</v>
      </c>
      <c r="J35" s="5">
        <v>4</v>
      </c>
      <c r="K35" s="5">
        <v>5</v>
      </c>
      <c r="L35" s="5">
        <v>4</v>
      </c>
      <c r="M35" s="5">
        <v>5</v>
      </c>
      <c r="N35" s="28">
        <f t="shared" si="0"/>
        <v>4.166666666666667</v>
      </c>
      <c r="O35" s="29" t="str" cm="1">
        <f t="array" ref="O35">_xlfn.SWITCH(TRUE, N35&lt;$Q$10, "Low", N35&gt;$Q$11, "High", "Moderate")</f>
        <v>High</v>
      </c>
      <c r="P35" s="30" t="str" cm="1">
        <f t="array" ref="P35">_xlfn.SWITCH(TRUE, N35&lt;=$Q$12, "Low", "High")</f>
        <v>High</v>
      </c>
    </row>
    <row r="36" spans="1:16" x14ac:dyDescent="0.35">
      <c r="A36">
        <v>33</v>
      </c>
      <c r="B36" s="5">
        <v>3</v>
      </c>
      <c r="C36" s="5">
        <v>3</v>
      </c>
      <c r="D36" s="5">
        <v>4</v>
      </c>
      <c r="E36" s="5">
        <v>4</v>
      </c>
      <c r="F36" s="5">
        <v>2</v>
      </c>
      <c r="G36" s="5">
        <v>3</v>
      </c>
      <c r="H36" s="5">
        <v>3</v>
      </c>
      <c r="I36" s="5">
        <v>2</v>
      </c>
      <c r="J36" s="5">
        <v>4</v>
      </c>
      <c r="K36" s="5">
        <v>3</v>
      </c>
      <c r="L36" s="5">
        <v>4</v>
      </c>
      <c r="M36" s="5">
        <v>4</v>
      </c>
      <c r="N36" s="31">
        <f t="shared" ref="N36:N63" si="1">AVERAGE(B36:M36)</f>
        <v>3.25</v>
      </c>
      <c r="O36" s="32" t="str" cm="1">
        <f t="array" ref="O36">_xlfn.SWITCH(TRUE, N36&lt;$Q$10, "Low", N36&gt;$Q$11, "High", "Moderate")</f>
        <v>Moderate</v>
      </c>
      <c r="P36" s="33" t="str" cm="1">
        <f t="array" ref="P36">_xlfn.SWITCH(TRUE, N36&lt;=$Q$12, "Low", "High")</f>
        <v>Low</v>
      </c>
    </row>
    <row r="37" spans="1:16" x14ac:dyDescent="0.35">
      <c r="A37">
        <v>34</v>
      </c>
      <c r="B37" s="5">
        <v>4</v>
      </c>
      <c r="C37" s="5">
        <v>2</v>
      </c>
      <c r="D37" s="5">
        <v>3</v>
      </c>
      <c r="E37" s="5">
        <v>2</v>
      </c>
      <c r="F37" s="5">
        <v>3</v>
      </c>
      <c r="G37" s="5">
        <v>2</v>
      </c>
      <c r="H37" s="5">
        <v>4</v>
      </c>
      <c r="I37" s="5">
        <v>3</v>
      </c>
      <c r="J37" s="5">
        <v>2</v>
      </c>
      <c r="K37" s="5">
        <v>4</v>
      </c>
      <c r="L37" s="5">
        <v>4</v>
      </c>
      <c r="M37" s="5">
        <v>4</v>
      </c>
      <c r="N37" s="28">
        <f t="shared" si="1"/>
        <v>3.0833333333333335</v>
      </c>
      <c r="O37" s="29" t="str" cm="1">
        <f t="array" ref="O37">_xlfn.SWITCH(TRUE, N37&lt;$Q$10, "Low", N37&gt;$Q$11, "High", "Moderate")</f>
        <v>Low</v>
      </c>
      <c r="P37" s="30" t="str" cm="1">
        <f t="array" ref="P37">_xlfn.SWITCH(TRUE, N37&lt;=$Q$12, "Low", "High")</f>
        <v>Low</v>
      </c>
    </row>
    <row r="38" spans="1:16" x14ac:dyDescent="0.35">
      <c r="A38">
        <v>35</v>
      </c>
      <c r="B38" s="5">
        <v>2</v>
      </c>
      <c r="C38" s="5">
        <v>1</v>
      </c>
      <c r="D38" s="5">
        <v>2</v>
      </c>
      <c r="E38" s="5">
        <v>4</v>
      </c>
      <c r="F38" s="5">
        <v>3</v>
      </c>
      <c r="G38" s="5">
        <v>2</v>
      </c>
      <c r="H38" s="5">
        <v>2</v>
      </c>
      <c r="I38" s="5">
        <v>3</v>
      </c>
      <c r="J38" s="5">
        <v>3</v>
      </c>
      <c r="K38" s="5">
        <v>5</v>
      </c>
      <c r="L38" s="5">
        <v>4</v>
      </c>
      <c r="M38" s="5">
        <v>5</v>
      </c>
      <c r="N38" s="31">
        <f t="shared" si="1"/>
        <v>3</v>
      </c>
      <c r="O38" s="32" t="str" cm="1">
        <f t="array" ref="O38">_xlfn.SWITCH(TRUE, N38&lt;$Q$10, "Low", N38&gt;$Q$11, "High", "Moderate")</f>
        <v>Low</v>
      </c>
      <c r="P38" s="33" t="str" cm="1">
        <f t="array" ref="P38">_xlfn.SWITCH(TRUE, N38&lt;=$Q$12, "Low", "High")</f>
        <v>Low</v>
      </c>
    </row>
    <row r="39" spans="1:16" x14ac:dyDescent="0.35">
      <c r="A39">
        <v>36</v>
      </c>
      <c r="B39" s="5">
        <v>3</v>
      </c>
      <c r="C39" s="5">
        <v>3</v>
      </c>
      <c r="D39" s="5">
        <v>4</v>
      </c>
      <c r="E39" s="5">
        <v>3</v>
      </c>
      <c r="F39" s="5">
        <v>4</v>
      </c>
      <c r="G39" s="5">
        <v>3</v>
      </c>
      <c r="H39" s="5">
        <v>4</v>
      </c>
      <c r="I39" s="5">
        <v>4</v>
      </c>
      <c r="J39" s="5">
        <v>2</v>
      </c>
      <c r="K39" s="5">
        <v>4</v>
      </c>
      <c r="L39" s="5">
        <v>3</v>
      </c>
      <c r="M39" s="5">
        <v>4</v>
      </c>
      <c r="N39" s="28">
        <f t="shared" si="1"/>
        <v>3.4166666666666665</v>
      </c>
      <c r="O39" s="29" t="str" cm="1">
        <f t="array" ref="O39">_xlfn.SWITCH(TRUE, N39&lt;$Q$10, "Low", N39&gt;$Q$11, "High", "Moderate")</f>
        <v>Moderate</v>
      </c>
      <c r="P39" s="30" t="str" cm="1">
        <f t="array" ref="P39">_xlfn.SWITCH(TRUE, N39&lt;=$Q$12, "Low", "High")</f>
        <v>Low</v>
      </c>
    </row>
    <row r="40" spans="1:16" x14ac:dyDescent="0.35">
      <c r="A40">
        <v>37</v>
      </c>
      <c r="B40" s="5">
        <v>3</v>
      </c>
      <c r="C40" s="5">
        <v>2</v>
      </c>
      <c r="D40" s="5">
        <v>4</v>
      </c>
      <c r="E40" s="5">
        <v>1</v>
      </c>
      <c r="F40" s="5">
        <v>3</v>
      </c>
      <c r="G40" s="5">
        <v>2</v>
      </c>
      <c r="H40" s="5">
        <v>3</v>
      </c>
      <c r="I40" s="5">
        <v>2</v>
      </c>
      <c r="J40" s="5">
        <v>1</v>
      </c>
      <c r="K40" s="5">
        <v>4</v>
      </c>
      <c r="L40" s="5">
        <v>1</v>
      </c>
      <c r="M40" s="5">
        <v>4</v>
      </c>
      <c r="N40" s="31">
        <f t="shared" si="1"/>
        <v>2.5</v>
      </c>
      <c r="O40" s="32" t="str" cm="1">
        <f t="array" ref="O40">_xlfn.SWITCH(TRUE, N40&lt;$Q$10, "Low", N40&gt;$Q$11, "High", "Moderate")</f>
        <v>Low</v>
      </c>
      <c r="P40" s="33" t="str" cm="1">
        <f t="array" ref="P40">_xlfn.SWITCH(TRUE, N40&lt;=$Q$12, "Low", "High")</f>
        <v>Low</v>
      </c>
    </row>
    <row r="41" spans="1:16" x14ac:dyDescent="0.35">
      <c r="A41">
        <v>38</v>
      </c>
      <c r="B41" s="5">
        <v>2</v>
      </c>
      <c r="C41" s="5">
        <v>2</v>
      </c>
      <c r="D41" s="5">
        <v>4</v>
      </c>
      <c r="E41" s="5">
        <v>2</v>
      </c>
      <c r="F41" s="5">
        <v>3</v>
      </c>
      <c r="G41" s="5">
        <v>2</v>
      </c>
      <c r="H41" s="5">
        <v>3</v>
      </c>
      <c r="I41" s="5">
        <v>3</v>
      </c>
      <c r="J41" s="5">
        <v>3</v>
      </c>
      <c r="K41" s="5">
        <v>3</v>
      </c>
      <c r="L41" s="5">
        <v>3</v>
      </c>
      <c r="M41" s="5">
        <v>5</v>
      </c>
      <c r="N41" s="28">
        <f t="shared" si="1"/>
        <v>2.9166666666666665</v>
      </c>
      <c r="O41" s="29" t="str" cm="1">
        <f t="array" ref="O41">_xlfn.SWITCH(TRUE, N41&lt;$Q$10, "Low", N41&gt;$Q$11, "High", "Moderate")</f>
        <v>Low</v>
      </c>
      <c r="P41" s="30" t="str" cm="1">
        <f t="array" ref="P41">_xlfn.SWITCH(TRUE, N41&lt;=$Q$12, "Low", "High")</f>
        <v>Low</v>
      </c>
    </row>
    <row r="42" spans="1:16" x14ac:dyDescent="0.35">
      <c r="A42">
        <v>39</v>
      </c>
      <c r="B42" s="5">
        <v>4</v>
      </c>
      <c r="C42" s="5">
        <v>2</v>
      </c>
      <c r="D42" s="5">
        <v>4</v>
      </c>
      <c r="E42" s="5">
        <v>4</v>
      </c>
      <c r="F42" s="5">
        <v>4</v>
      </c>
      <c r="G42" s="5">
        <v>2</v>
      </c>
      <c r="H42" s="5">
        <v>3</v>
      </c>
      <c r="I42" s="5">
        <v>3</v>
      </c>
      <c r="J42" s="5">
        <v>4</v>
      </c>
      <c r="K42" s="5">
        <v>2</v>
      </c>
      <c r="L42" s="5">
        <v>4</v>
      </c>
      <c r="M42" s="5">
        <v>4</v>
      </c>
      <c r="N42" s="31">
        <f t="shared" si="1"/>
        <v>3.3333333333333335</v>
      </c>
      <c r="O42" s="32" t="str" cm="1">
        <f t="array" ref="O42">_xlfn.SWITCH(TRUE, N42&lt;$Q$10, "Low", N42&gt;$Q$11, "High", "Moderate")</f>
        <v>Moderate</v>
      </c>
      <c r="P42" s="33" t="str" cm="1">
        <f t="array" ref="P42">_xlfn.SWITCH(TRUE, N42&lt;=$Q$12, "Low", "High")</f>
        <v>Low</v>
      </c>
    </row>
    <row r="43" spans="1:16" x14ac:dyDescent="0.35">
      <c r="A43">
        <v>40</v>
      </c>
      <c r="B43" s="5">
        <v>5</v>
      </c>
      <c r="C43" s="5">
        <v>4</v>
      </c>
      <c r="D43" s="5">
        <v>5</v>
      </c>
      <c r="E43" s="5">
        <v>4</v>
      </c>
      <c r="F43" s="5">
        <v>4</v>
      </c>
      <c r="G43" s="5">
        <v>4</v>
      </c>
      <c r="H43" s="5">
        <v>3</v>
      </c>
      <c r="I43" s="5">
        <v>5</v>
      </c>
      <c r="J43" s="5">
        <v>4</v>
      </c>
      <c r="K43" s="5">
        <v>4</v>
      </c>
      <c r="L43" s="5">
        <v>4</v>
      </c>
      <c r="M43" s="5">
        <v>3</v>
      </c>
      <c r="N43" s="28">
        <f t="shared" si="1"/>
        <v>4.083333333333333</v>
      </c>
      <c r="O43" s="29" t="str" cm="1">
        <f t="array" ref="O43">_xlfn.SWITCH(TRUE, N43&lt;$Q$10, "Low", N43&gt;$Q$11, "High", "Moderate")</f>
        <v>High</v>
      </c>
      <c r="P43" s="30" t="str" cm="1">
        <f t="array" ref="P43">_xlfn.SWITCH(TRUE, N43&lt;=$Q$12, "Low", "High")</f>
        <v>High</v>
      </c>
    </row>
    <row r="44" spans="1:16" x14ac:dyDescent="0.35">
      <c r="A44">
        <v>41</v>
      </c>
      <c r="B44" s="5">
        <v>4</v>
      </c>
      <c r="C44" s="5">
        <v>3</v>
      </c>
      <c r="D44" s="5">
        <v>4</v>
      </c>
      <c r="E44" s="5">
        <v>3</v>
      </c>
      <c r="F44" s="5">
        <v>4</v>
      </c>
      <c r="G44" s="5">
        <v>4</v>
      </c>
      <c r="H44" s="5">
        <v>4</v>
      </c>
      <c r="I44" s="5">
        <v>3</v>
      </c>
      <c r="J44" s="5">
        <v>2</v>
      </c>
      <c r="K44" s="5">
        <v>2</v>
      </c>
      <c r="L44" s="5">
        <v>4</v>
      </c>
      <c r="M44" s="5">
        <v>5</v>
      </c>
      <c r="N44" s="31">
        <f t="shared" si="1"/>
        <v>3.5</v>
      </c>
      <c r="O44" s="32" t="str" cm="1">
        <f t="array" ref="O44">_xlfn.SWITCH(TRUE, N44&lt;$Q$10, "Low", N44&gt;$Q$11, "High", "Moderate")</f>
        <v>Moderate</v>
      </c>
      <c r="P44" s="33" t="str" cm="1">
        <f t="array" ref="P44">_xlfn.SWITCH(TRUE, N44&lt;=$Q$12, "Low", "High")</f>
        <v>Low</v>
      </c>
    </row>
    <row r="45" spans="1:16" x14ac:dyDescent="0.35">
      <c r="A45">
        <v>42</v>
      </c>
      <c r="B45" s="5">
        <v>4</v>
      </c>
      <c r="C45" s="5">
        <v>5</v>
      </c>
      <c r="D45" s="5">
        <v>5</v>
      </c>
      <c r="E45" s="5">
        <v>4</v>
      </c>
      <c r="F45" s="5">
        <v>4</v>
      </c>
      <c r="G45" s="5">
        <v>4</v>
      </c>
      <c r="H45" s="5">
        <v>4</v>
      </c>
      <c r="I45" s="5">
        <v>5</v>
      </c>
      <c r="J45" s="5">
        <v>4</v>
      </c>
      <c r="K45" s="5">
        <v>4</v>
      </c>
      <c r="L45" s="5">
        <v>4</v>
      </c>
      <c r="M45" s="5">
        <v>4</v>
      </c>
      <c r="N45" s="28">
        <f t="shared" si="1"/>
        <v>4.25</v>
      </c>
      <c r="O45" s="29" t="str" cm="1">
        <f t="array" ref="O45">_xlfn.SWITCH(TRUE, N45&lt;$Q$10, "Low", N45&gt;$Q$11, "High", "Moderate")</f>
        <v>High</v>
      </c>
      <c r="P45" s="30" t="str" cm="1">
        <f t="array" ref="P45">_xlfn.SWITCH(TRUE, N45&lt;=$Q$12, "Low", "High")</f>
        <v>High</v>
      </c>
    </row>
    <row r="46" spans="1:16" x14ac:dyDescent="0.35">
      <c r="A46">
        <v>43</v>
      </c>
      <c r="B46" s="5">
        <v>3</v>
      </c>
      <c r="C46" s="5">
        <v>1</v>
      </c>
      <c r="D46" s="5">
        <v>2</v>
      </c>
      <c r="E46" s="5">
        <v>1</v>
      </c>
      <c r="F46" s="5">
        <v>1</v>
      </c>
      <c r="G46" s="5">
        <v>1</v>
      </c>
      <c r="H46" s="5">
        <v>4</v>
      </c>
      <c r="I46" s="5">
        <v>3</v>
      </c>
      <c r="J46" s="5">
        <v>1</v>
      </c>
      <c r="K46" s="5">
        <v>2</v>
      </c>
      <c r="L46" s="5">
        <v>1</v>
      </c>
      <c r="M46" s="5">
        <v>1</v>
      </c>
      <c r="N46" s="31">
        <f t="shared" si="1"/>
        <v>1.75</v>
      </c>
      <c r="O46" s="32" t="str" cm="1">
        <f t="array" ref="O46">_xlfn.SWITCH(TRUE, N46&lt;$Q$10, "Low", N46&gt;$Q$11, "High", "Moderate")</f>
        <v>Low</v>
      </c>
      <c r="P46" s="33" t="str" cm="1">
        <f t="array" ref="P46">_xlfn.SWITCH(TRUE, N46&lt;=$Q$12, "Low", "High")</f>
        <v>Low</v>
      </c>
    </row>
    <row r="47" spans="1:16" x14ac:dyDescent="0.35">
      <c r="A47">
        <v>44</v>
      </c>
      <c r="B47" s="5">
        <v>3</v>
      </c>
      <c r="C47" s="5">
        <v>2</v>
      </c>
      <c r="D47" s="5">
        <v>2</v>
      </c>
      <c r="E47" s="5">
        <v>1</v>
      </c>
      <c r="F47" s="5">
        <v>5</v>
      </c>
      <c r="G47" s="5">
        <v>3</v>
      </c>
      <c r="H47" s="5">
        <v>2</v>
      </c>
      <c r="I47" s="5">
        <v>2</v>
      </c>
      <c r="J47" s="5">
        <v>3</v>
      </c>
      <c r="K47" s="5">
        <v>4</v>
      </c>
      <c r="L47" s="5">
        <v>4</v>
      </c>
      <c r="M47" s="5">
        <v>3</v>
      </c>
      <c r="N47" s="28">
        <f t="shared" si="1"/>
        <v>2.8333333333333335</v>
      </c>
      <c r="O47" s="29" t="str" cm="1">
        <f t="array" ref="O47">_xlfn.SWITCH(TRUE, N47&lt;$Q$10, "Low", N47&gt;$Q$11, "High", "Moderate")</f>
        <v>Low</v>
      </c>
      <c r="P47" s="30" t="str" cm="1">
        <f t="array" ref="P47">_xlfn.SWITCH(TRUE, N47&lt;=$Q$12, "Low", "High")</f>
        <v>Low</v>
      </c>
    </row>
    <row r="48" spans="1:16" x14ac:dyDescent="0.35">
      <c r="A48">
        <v>45</v>
      </c>
      <c r="B48" s="5">
        <v>5</v>
      </c>
      <c r="C48" s="5">
        <v>4</v>
      </c>
      <c r="D48" s="5">
        <v>5</v>
      </c>
      <c r="E48" s="5">
        <v>4</v>
      </c>
      <c r="F48" s="5">
        <v>5</v>
      </c>
      <c r="G48" s="5">
        <v>4</v>
      </c>
      <c r="H48" s="5">
        <v>5</v>
      </c>
      <c r="I48" s="5">
        <v>4</v>
      </c>
      <c r="J48" s="5">
        <v>5</v>
      </c>
      <c r="K48" s="5">
        <v>5</v>
      </c>
      <c r="L48" s="5">
        <v>4</v>
      </c>
      <c r="M48" s="5">
        <v>5</v>
      </c>
      <c r="N48" s="31">
        <f t="shared" si="1"/>
        <v>4.583333333333333</v>
      </c>
      <c r="O48" s="32" t="str" cm="1">
        <f t="array" ref="O48">_xlfn.SWITCH(TRUE, N48&lt;$Q$10, "Low", N48&gt;$Q$11, "High", "Moderate")</f>
        <v>High</v>
      </c>
      <c r="P48" s="33" t="str" cm="1">
        <f t="array" ref="P48">_xlfn.SWITCH(TRUE, N48&lt;=$Q$12, "Low", "High")</f>
        <v>High</v>
      </c>
    </row>
    <row r="49" spans="1:16" x14ac:dyDescent="0.35">
      <c r="A49">
        <v>46</v>
      </c>
      <c r="B49" s="5">
        <v>5</v>
      </c>
      <c r="C49" s="5">
        <v>3</v>
      </c>
      <c r="D49" s="5">
        <v>5</v>
      </c>
      <c r="E49" s="5">
        <v>5</v>
      </c>
      <c r="F49" s="5">
        <v>5</v>
      </c>
      <c r="G49" s="5">
        <v>3</v>
      </c>
      <c r="H49" s="5">
        <v>5</v>
      </c>
      <c r="I49" s="5">
        <v>5</v>
      </c>
      <c r="J49" s="5">
        <v>5</v>
      </c>
      <c r="K49" s="5">
        <v>5</v>
      </c>
      <c r="L49" s="5">
        <v>5</v>
      </c>
      <c r="M49" s="5">
        <v>5</v>
      </c>
      <c r="N49" s="28">
        <f t="shared" si="1"/>
        <v>4.666666666666667</v>
      </c>
      <c r="O49" s="29" t="str" cm="1">
        <f t="array" ref="O49">_xlfn.SWITCH(TRUE, N49&lt;$Q$10, "Low", N49&gt;$Q$11, "High", "Moderate")</f>
        <v>High</v>
      </c>
      <c r="P49" s="30" t="str" cm="1">
        <f t="array" ref="P49">_xlfn.SWITCH(TRUE, N49&lt;=$Q$12, "Low", "High")</f>
        <v>High</v>
      </c>
    </row>
    <row r="50" spans="1:16" x14ac:dyDescent="0.35">
      <c r="A50">
        <v>47</v>
      </c>
      <c r="B50" s="5">
        <v>2</v>
      </c>
      <c r="C50" s="5">
        <v>1</v>
      </c>
      <c r="D50" s="5">
        <v>5</v>
      </c>
      <c r="E50" s="5">
        <v>2</v>
      </c>
      <c r="F50" s="5">
        <v>3</v>
      </c>
      <c r="G50" s="5">
        <v>3</v>
      </c>
      <c r="H50" s="5">
        <v>4</v>
      </c>
      <c r="I50" s="5">
        <v>2</v>
      </c>
      <c r="J50" s="5">
        <v>2</v>
      </c>
      <c r="K50" s="5">
        <v>1</v>
      </c>
      <c r="L50" s="5">
        <v>2</v>
      </c>
      <c r="M50" s="5">
        <v>3</v>
      </c>
      <c r="N50" s="31">
        <f t="shared" si="1"/>
        <v>2.5</v>
      </c>
      <c r="O50" s="32" t="str" cm="1">
        <f t="array" ref="O50">_xlfn.SWITCH(TRUE, N50&lt;$Q$10, "Low", N50&gt;$Q$11, "High", "Moderate")</f>
        <v>Low</v>
      </c>
      <c r="P50" s="33" t="str" cm="1">
        <f t="array" ref="P50">_xlfn.SWITCH(TRUE, N50&lt;=$Q$12, "Low", "High")</f>
        <v>Low</v>
      </c>
    </row>
    <row r="51" spans="1:16" x14ac:dyDescent="0.35">
      <c r="A51">
        <v>48</v>
      </c>
      <c r="B51" s="5">
        <v>3</v>
      </c>
      <c r="C51" s="5">
        <v>3</v>
      </c>
      <c r="D51" s="5">
        <v>2</v>
      </c>
      <c r="E51" s="5">
        <v>2</v>
      </c>
      <c r="F51" s="5">
        <v>3</v>
      </c>
      <c r="G51" s="5">
        <v>2</v>
      </c>
      <c r="H51" s="5">
        <v>3</v>
      </c>
      <c r="I51" s="5">
        <v>3</v>
      </c>
      <c r="J51" s="5">
        <v>3</v>
      </c>
      <c r="K51" s="5">
        <v>4</v>
      </c>
      <c r="L51" s="5">
        <v>2</v>
      </c>
      <c r="M51" s="5">
        <v>4</v>
      </c>
      <c r="N51" s="28">
        <f t="shared" si="1"/>
        <v>2.8333333333333335</v>
      </c>
      <c r="O51" s="29" t="str" cm="1">
        <f t="array" ref="O51">_xlfn.SWITCH(TRUE, N51&lt;$Q$10, "Low", N51&gt;$Q$11, "High", "Moderate")</f>
        <v>Low</v>
      </c>
      <c r="P51" s="30" t="str" cm="1">
        <f t="array" ref="P51">_xlfn.SWITCH(TRUE, N51&lt;=$Q$12, "Low", "High")</f>
        <v>Low</v>
      </c>
    </row>
    <row r="52" spans="1:16" x14ac:dyDescent="0.35">
      <c r="A52">
        <v>49</v>
      </c>
      <c r="B52" s="5">
        <v>3</v>
      </c>
      <c r="C52" s="5">
        <v>3</v>
      </c>
      <c r="D52" s="5">
        <v>3</v>
      </c>
      <c r="E52" s="5">
        <v>4</v>
      </c>
      <c r="F52" s="5">
        <v>3</v>
      </c>
      <c r="G52" s="5">
        <v>3</v>
      </c>
      <c r="H52" s="5">
        <v>4</v>
      </c>
      <c r="I52" s="5">
        <v>4</v>
      </c>
      <c r="J52" s="5">
        <v>3</v>
      </c>
      <c r="K52" s="5">
        <v>3</v>
      </c>
      <c r="L52" s="5">
        <v>4</v>
      </c>
      <c r="M52" s="5">
        <v>4</v>
      </c>
      <c r="N52" s="31">
        <f t="shared" si="1"/>
        <v>3.4166666666666665</v>
      </c>
      <c r="O52" s="32" t="str" cm="1">
        <f t="array" ref="O52">_xlfn.SWITCH(TRUE, N52&lt;$Q$10, "Low", N52&gt;$Q$11, "High", "Moderate")</f>
        <v>Moderate</v>
      </c>
      <c r="P52" s="33" t="str" cm="1">
        <f t="array" ref="P52">_xlfn.SWITCH(TRUE, N52&lt;=$Q$12, "Low", "High")</f>
        <v>Low</v>
      </c>
    </row>
    <row r="53" spans="1:16" x14ac:dyDescent="0.35">
      <c r="A53">
        <v>50</v>
      </c>
      <c r="B53" s="5">
        <v>3</v>
      </c>
      <c r="C53" s="5">
        <v>1</v>
      </c>
      <c r="D53" s="5">
        <v>3</v>
      </c>
      <c r="E53" s="5">
        <v>4</v>
      </c>
      <c r="F53" s="5">
        <v>2</v>
      </c>
      <c r="G53" s="5">
        <v>3</v>
      </c>
      <c r="H53" s="5">
        <v>3</v>
      </c>
      <c r="I53" s="5">
        <v>3</v>
      </c>
      <c r="J53" s="5">
        <v>1</v>
      </c>
      <c r="K53" s="5">
        <v>3</v>
      </c>
      <c r="L53" s="5">
        <v>3</v>
      </c>
      <c r="M53" s="5">
        <v>3</v>
      </c>
      <c r="N53" s="28">
        <f t="shared" si="1"/>
        <v>2.6666666666666665</v>
      </c>
      <c r="O53" s="29" t="str" cm="1">
        <f t="array" ref="O53">_xlfn.SWITCH(TRUE, N53&lt;$Q$10, "Low", N53&gt;$Q$11, "High", "Moderate")</f>
        <v>Low</v>
      </c>
      <c r="P53" s="30" t="str" cm="1">
        <f t="array" ref="P53">_xlfn.SWITCH(TRUE, N53&lt;=$Q$12, "Low", "High")</f>
        <v>Low</v>
      </c>
    </row>
    <row r="54" spans="1:16" x14ac:dyDescent="0.35">
      <c r="A54">
        <v>51</v>
      </c>
      <c r="B54" s="5">
        <v>5</v>
      </c>
      <c r="C54" s="5">
        <v>4</v>
      </c>
      <c r="D54" s="5">
        <v>4</v>
      </c>
      <c r="E54" s="5">
        <v>4</v>
      </c>
      <c r="F54" s="5">
        <v>4</v>
      </c>
      <c r="G54" s="5">
        <v>4</v>
      </c>
      <c r="H54" s="5">
        <v>3</v>
      </c>
      <c r="I54" s="5">
        <v>3</v>
      </c>
      <c r="J54" s="5">
        <v>3</v>
      </c>
      <c r="K54" s="5">
        <v>4</v>
      </c>
      <c r="L54" s="5">
        <v>4</v>
      </c>
      <c r="M54" s="5">
        <v>4</v>
      </c>
      <c r="N54" s="31">
        <f t="shared" si="1"/>
        <v>3.8333333333333335</v>
      </c>
      <c r="O54" s="32" t="str" cm="1">
        <f t="array" ref="O54">_xlfn.SWITCH(TRUE, N54&lt;$Q$10, "Low", N54&gt;$Q$11, "High", "Moderate")</f>
        <v>Moderate</v>
      </c>
      <c r="P54" s="33" t="str" cm="1">
        <f t="array" ref="P54">_xlfn.SWITCH(TRUE, N54&lt;=$Q$12, "Low", "High")</f>
        <v>High</v>
      </c>
    </row>
    <row r="55" spans="1:16" x14ac:dyDescent="0.35">
      <c r="A55">
        <v>52</v>
      </c>
      <c r="B55" s="5">
        <v>4</v>
      </c>
      <c r="C55" s="5">
        <v>5</v>
      </c>
      <c r="D55" s="5">
        <v>5</v>
      </c>
      <c r="E55" s="5">
        <v>5</v>
      </c>
      <c r="F55" s="5">
        <v>5</v>
      </c>
      <c r="G55" s="5">
        <v>5</v>
      </c>
      <c r="H55" s="5">
        <v>5</v>
      </c>
      <c r="I55" s="5">
        <v>5</v>
      </c>
      <c r="J55" s="5">
        <v>5</v>
      </c>
      <c r="K55" s="5">
        <v>5</v>
      </c>
      <c r="L55" s="5">
        <v>5</v>
      </c>
      <c r="M55" s="5">
        <v>5</v>
      </c>
      <c r="N55" s="28">
        <f t="shared" si="1"/>
        <v>4.916666666666667</v>
      </c>
      <c r="O55" s="29" t="str" cm="1">
        <f t="array" ref="O55">_xlfn.SWITCH(TRUE, N55&lt;$Q$10, "Low", N55&gt;$Q$11, "High", "Moderate")</f>
        <v>High</v>
      </c>
      <c r="P55" s="30" t="str" cm="1">
        <f t="array" ref="P55">_xlfn.SWITCH(TRUE, N55&lt;=$Q$12, "Low", "High")</f>
        <v>High</v>
      </c>
    </row>
    <row r="56" spans="1:16" x14ac:dyDescent="0.35">
      <c r="A56">
        <v>53</v>
      </c>
      <c r="B56" s="5">
        <v>3</v>
      </c>
      <c r="C56" s="5">
        <v>4</v>
      </c>
      <c r="D56" s="5">
        <v>3</v>
      </c>
      <c r="E56" s="5">
        <v>3</v>
      </c>
      <c r="F56" s="5">
        <v>4</v>
      </c>
      <c r="G56" s="5">
        <v>1</v>
      </c>
      <c r="H56" s="5">
        <v>3</v>
      </c>
      <c r="I56" s="5">
        <v>5</v>
      </c>
      <c r="J56" s="5">
        <v>2</v>
      </c>
      <c r="K56" s="5">
        <v>2</v>
      </c>
      <c r="L56" s="5">
        <v>2</v>
      </c>
      <c r="M56" s="5">
        <v>5</v>
      </c>
      <c r="N56" s="31">
        <f t="shared" si="1"/>
        <v>3.0833333333333335</v>
      </c>
      <c r="O56" s="32" t="str" cm="1">
        <f t="array" ref="O56">_xlfn.SWITCH(TRUE, N56&lt;$Q$10, "Low", N56&gt;$Q$11, "High", "Moderate")</f>
        <v>Low</v>
      </c>
      <c r="P56" s="33" t="str" cm="1">
        <f t="array" ref="P56">_xlfn.SWITCH(TRUE, N56&lt;=$Q$12, "Low", "High")</f>
        <v>Low</v>
      </c>
    </row>
    <row r="57" spans="1:16" x14ac:dyDescent="0.35">
      <c r="A57">
        <v>54</v>
      </c>
      <c r="B57" s="5">
        <v>4</v>
      </c>
      <c r="C57" s="5">
        <v>4</v>
      </c>
      <c r="D57" s="5">
        <v>3</v>
      </c>
      <c r="E57" s="5">
        <v>2</v>
      </c>
      <c r="F57" s="5">
        <v>4</v>
      </c>
      <c r="G57" s="5">
        <v>2</v>
      </c>
      <c r="H57" s="5">
        <v>4</v>
      </c>
      <c r="I57" s="5">
        <v>4</v>
      </c>
      <c r="J57" s="5">
        <v>4</v>
      </c>
      <c r="K57" s="5">
        <v>3</v>
      </c>
      <c r="L57" s="5">
        <v>4</v>
      </c>
      <c r="M57" s="5">
        <v>4</v>
      </c>
      <c r="N57" s="28">
        <f t="shared" si="1"/>
        <v>3.5</v>
      </c>
      <c r="O57" s="29" t="str" cm="1">
        <f t="array" ref="O57">_xlfn.SWITCH(TRUE, N57&lt;$Q$10, "Low", N57&gt;$Q$11, "High", "Moderate")</f>
        <v>Moderate</v>
      </c>
      <c r="P57" s="30" t="str" cm="1">
        <f t="array" ref="P57">_xlfn.SWITCH(TRUE, N57&lt;=$Q$12, "Low", "High")</f>
        <v>Low</v>
      </c>
    </row>
    <row r="58" spans="1:16" x14ac:dyDescent="0.35">
      <c r="A58">
        <v>55</v>
      </c>
      <c r="B58" s="5">
        <v>3</v>
      </c>
      <c r="C58" s="5">
        <v>1</v>
      </c>
      <c r="D58" s="5">
        <v>2</v>
      </c>
      <c r="E58" s="5">
        <v>5</v>
      </c>
      <c r="F58" s="5">
        <v>4</v>
      </c>
      <c r="G58" s="5">
        <v>5</v>
      </c>
      <c r="H58" s="5">
        <v>1</v>
      </c>
      <c r="I58" s="5">
        <v>3</v>
      </c>
      <c r="J58" s="5">
        <v>2</v>
      </c>
      <c r="K58" s="5">
        <v>5</v>
      </c>
      <c r="L58" s="5">
        <v>4</v>
      </c>
      <c r="M58" s="5">
        <v>4</v>
      </c>
      <c r="N58" s="31">
        <f t="shared" si="1"/>
        <v>3.25</v>
      </c>
      <c r="O58" s="32" t="str" cm="1">
        <f t="array" ref="O58">_xlfn.SWITCH(TRUE, N58&lt;$Q$10, "Low", N58&gt;$Q$11, "High", "Moderate")</f>
        <v>Moderate</v>
      </c>
      <c r="P58" s="33" t="str" cm="1">
        <f t="array" ref="P58">_xlfn.SWITCH(TRUE, N58&lt;=$Q$12, "Low", "High")</f>
        <v>Low</v>
      </c>
    </row>
    <row r="59" spans="1:16" x14ac:dyDescent="0.35">
      <c r="A59">
        <v>56</v>
      </c>
      <c r="B59" s="5">
        <v>4</v>
      </c>
      <c r="C59" s="5">
        <v>3</v>
      </c>
      <c r="D59" s="5">
        <v>5</v>
      </c>
      <c r="E59" s="5">
        <v>4</v>
      </c>
      <c r="F59" s="5">
        <v>4</v>
      </c>
      <c r="G59" s="5">
        <v>5</v>
      </c>
      <c r="H59" s="5">
        <v>5</v>
      </c>
      <c r="I59" s="5">
        <v>4</v>
      </c>
      <c r="J59" s="5">
        <v>3</v>
      </c>
      <c r="K59" s="5">
        <v>4</v>
      </c>
      <c r="L59" s="5">
        <v>3</v>
      </c>
      <c r="M59" s="5">
        <v>4</v>
      </c>
      <c r="N59" s="28">
        <f t="shared" si="1"/>
        <v>4</v>
      </c>
      <c r="O59" s="29" t="str" cm="1">
        <f t="array" ref="O59">_xlfn.SWITCH(TRUE, N59&lt;$Q$10, "Low", N59&gt;$Q$11, "High", "Moderate")</f>
        <v>Moderate</v>
      </c>
      <c r="P59" s="30" t="str" cm="1">
        <f t="array" ref="P59">_xlfn.SWITCH(TRUE, N59&lt;=$Q$12, "Low", "High")</f>
        <v>High</v>
      </c>
    </row>
    <row r="60" spans="1:16" x14ac:dyDescent="0.35">
      <c r="A60">
        <v>57</v>
      </c>
      <c r="B60" s="5">
        <v>5</v>
      </c>
      <c r="C60" s="5">
        <v>5</v>
      </c>
      <c r="D60" s="5">
        <v>2</v>
      </c>
      <c r="E60" s="5">
        <v>1</v>
      </c>
      <c r="F60" s="5">
        <v>5</v>
      </c>
      <c r="G60" s="5">
        <v>3</v>
      </c>
      <c r="H60" s="5">
        <v>5</v>
      </c>
      <c r="I60" s="5">
        <v>5</v>
      </c>
      <c r="J60" s="5">
        <v>5</v>
      </c>
      <c r="K60" s="5">
        <v>1</v>
      </c>
      <c r="L60" s="5">
        <v>5</v>
      </c>
      <c r="M60" s="5">
        <v>5</v>
      </c>
      <c r="N60" s="31">
        <f t="shared" si="1"/>
        <v>3.9166666666666665</v>
      </c>
      <c r="O60" s="32" t="str" cm="1">
        <f t="array" ref="O60">_xlfn.SWITCH(TRUE, N60&lt;$Q$10, "Low", N60&gt;$Q$11, "High", "Moderate")</f>
        <v>Moderate</v>
      </c>
      <c r="P60" s="33" t="str" cm="1">
        <f t="array" ref="P60">_xlfn.SWITCH(TRUE, N60&lt;=$Q$12, "Low", "High")</f>
        <v>High</v>
      </c>
    </row>
    <row r="61" spans="1:16" x14ac:dyDescent="0.35">
      <c r="A61">
        <v>58</v>
      </c>
      <c r="B61" s="5">
        <v>3</v>
      </c>
      <c r="C61" s="5">
        <v>2</v>
      </c>
      <c r="D61" s="5">
        <v>4</v>
      </c>
      <c r="E61" s="5">
        <v>4</v>
      </c>
      <c r="F61" s="5">
        <v>2</v>
      </c>
      <c r="G61" s="5">
        <v>3</v>
      </c>
      <c r="H61" s="5">
        <v>2</v>
      </c>
      <c r="I61" s="5">
        <v>3</v>
      </c>
      <c r="J61" s="5">
        <v>3</v>
      </c>
      <c r="K61" s="5">
        <v>3</v>
      </c>
      <c r="L61" s="5">
        <v>3</v>
      </c>
      <c r="M61" s="5">
        <v>3</v>
      </c>
      <c r="N61" s="28">
        <f t="shared" si="1"/>
        <v>2.9166666666666665</v>
      </c>
      <c r="O61" s="29" t="str" cm="1">
        <f t="array" ref="O61">_xlfn.SWITCH(TRUE, N61&lt;$Q$10, "Low", N61&gt;$Q$11, "High", "Moderate")</f>
        <v>Low</v>
      </c>
      <c r="P61" s="30" t="str" cm="1">
        <f t="array" ref="P61">_xlfn.SWITCH(TRUE, N61&lt;=$Q$12, "Low", "High")</f>
        <v>Low</v>
      </c>
    </row>
    <row r="62" spans="1:16" x14ac:dyDescent="0.35">
      <c r="A62">
        <v>59</v>
      </c>
      <c r="B62" s="5">
        <v>4</v>
      </c>
      <c r="C62" s="5">
        <v>3</v>
      </c>
      <c r="D62" s="5">
        <v>1</v>
      </c>
      <c r="E62" s="5">
        <v>5</v>
      </c>
      <c r="F62" s="5">
        <v>4</v>
      </c>
      <c r="G62" s="5">
        <v>5</v>
      </c>
      <c r="H62" s="5">
        <v>4</v>
      </c>
      <c r="I62" s="5">
        <v>5</v>
      </c>
      <c r="J62" s="5">
        <v>3</v>
      </c>
      <c r="K62" s="5">
        <v>5</v>
      </c>
      <c r="L62" s="5">
        <v>5</v>
      </c>
      <c r="M62" s="5">
        <v>5</v>
      </c>
      <c r="N62" s="31">
        <f t="shared" si="1"/>
        <v>4.083333333333333</v>
      </c>
      <c r="O62" s="32" t="str" cm="1">
        <f t="array" ref="O62">_xlfn.SWITCH(TRUE, N62&lt;$Q$10, "Low", N62&gt;$Q$11, "High", "Moderate")</f>
        <v>High</v>
      </c>
      <c r="P62" s="33" t="str" cm="1">
        <f t="array" ref="P62">_xlfn.SWITCH(TRUE, N62&lt;=$Q$12, "Low", "High")</f>
        <v>High</v>
      </c>
    </row>
    <row r="63" spans="1:16" x14ac:dyDescent="0.35">
      <c r="A63">
        <v>60</v>
      </c>
      <c r="B63" s="5">
        <v>3</v>
      </c>
      <c r="C63" s="5">
        <v>3</v>
      </c>
      <c r="D63" s="5">
        <v>3</v>
      </c>
      <c r="E63" s="5">
        <v>3</v>
      </c>
      <c r="F63" s="5">
        <v>2</v>
      </c>
      <c r="G63" s="5">
        <v>3</v>
      </c>
      <c r="H63" s="5">
        <v>2</v>
      </c>
      <c r="I63" s="5">
        <v>2</v>
      </c>
      <c r="J63" s="5">
        <v>4</v>
      </c>
      <c r="K63" s="5">
        <v>1</v>
      </c>
      <c r="L63" s="5">
        <v>3</v>
      </c>
      <c r="M63" s="5">
        <v>4</v>
      </c>
      <c r="N63" s="28">
        <f t="shared" si="1"/>
        <v>2.75</v>
      </c>
      <c r="O63" s="29" t="str" cm="1">
        <f t="array" ref="O63">_xlfn.SWITCH(TRUE, N63&lt;$Q$10, "Low", N63&gt;$Q$11, "High", "Moderate")</f>
        <v>Low</v>
      </c>
      <c r="P63" s="30" t="str" cm="1">
        <f t="array" ref="P63">_xlfn.SWITCH(TRUE, N63&lt;=$Q$12, "Low", "High")</f>
        <v>Low</v>
      </c>
    </row>
    <row r="64" spans="1:16" x14ac:dyDescent="0.35">
      <c r="A64">
        <v>61</v>
      </c>
      <c r="B64" s="5">
        <v>5</v>
      </c>
      <c r="C64" s="5">
        <v>3</v>
      </c>
      <c r="D64" s="5">
        <v>5</v>
      </c>
      <c r="E64" s="5">
        <v>5</v>
      </c>
      <c r="F64" s="5">
        <v>5</v>
      </c>
      <c r="G64" s="5">
        <v>5</v>
      </c>
      <c r="H64" s="5">
        <v>5</v>
      </c>
      <c r="I64" s="5">
        <v>5</v>
      </c>
      <c r="J64" s="5">
        <v>4</v>
      </c>
      <c r="K64" s="5">
        <v>5</v>
      </c>
      <c r="L64" s="5">
        <v>5</v>
      </c>
      <c r="M64" s="5">
        <v>5</v>
      </c>
      <c r="N64" s="31">
        <f t="shared" ref="N64:N108" si="2">AVERAGE(B64:M64)</f>
        <v>4.75</v>
      </c>
      <c r="O64" s="32" t="str" cm="1">
        <f t="array" ref="O64">_xlfn.SWITCH(TRUE, N64&lt;$Q$10, "Low", N64&gt;$Q$11, "High", "Moderate")</f>
        <v>High</v>
      </c>
      <c r="P64" s="33" t="str" cm="1">
        <f t="array" ref="P64">_xlfn.SWITCH(TRUE, N64&lt;=$Q$12, "Low", "High")</f>
        <v>High</v>
      </c>
    </row>
    <row r="65" spans="1:16" x14ac:dyDescent="0.35">
      <c r="A65">
        <v>62</v>
      </c>
      <c r="B65" s="5">
        <v>4</v>
      </c>
      <c r="C65" s="5">
        <v>4</v>
      </c>
      <c r="D65" s="5">
        <v>2</v>
      </c>
      <c r="E65" s="5">
        <v>3</v>
      </c>
      <c r="F65" s="5">
        <v>2</v>
      </c>
      <c r="G65" s="5">
        <v>5</v>
      </c>
      <c r="H65" s="5">
        <v>5</v>
      </c>
      <c r="I65" s="5">
        <v>4</v>
      </c>
      <c r="J65" s="5">
        <v>4</v>
      </c>
      <c r="K65" s="5">
        <v>1</v>
      </c>
      <c r="L65" s="5">
        <v>4</v>
      </c>
      <c r="M65" s="5">
        <v>4</v>
      </c>
      <c r="N65" s="28">
        <f t="shared" si="2"/>
        <v>3.5</v>
      </c>
      <c r="O65" s="29" t="str" cm="1">
        <f t="array" ref="O65">_xlfn.SWITCH(TRUE, N65&lt;$Q$10, "Low", N65&gt;$Q$11, "High", "Moderate")</f>
        <v>Moderate</v>
      </c>
      <c r="P65" s="30" t="str" cm="1">
        <f t="array" ref="P65">_xlfn.SWITCH(TRUE, N65&lt;=$Q$12, "Low", "High")</f>
        <v>Low</v>
      </c>
    </row>
    <row r="66" spans="1:16" x14ac:dyDescent="0.35">
      <c r="A66">
        <v>63</v>
      </c>
      <c r="B66" s="5">
        <v>3</v>
      </c>
      <c r="C66" s="5">
        <v>2</v>
      </c>
      <c r="D66" s="5">
        <v>5</v>
      </c>
      <c r="E66" s="5">
        <v>4</v>
      </c>
      <c r="F66" s="5">
        <v>3</v>
      </c>
      <c r="G66" s="5">
        <v>3</v>
      </c>
      <c r="H66" s="5">
        <v>3</v>
      </c>
      <c r="I66" s="5">
        <v>3</v>
      </c>
      <c r="J66" s="5">
        <v>2</v>
      </c>
      <c r="K66" s="5">
        <v>4</v>
      </c>
      <c r="L66" s="5">
        <v>5</v>
      </c>
      <c r="M66" s="5">
        <v>5</v>
      </c>
      <c r="N66" s="31">
        <f t="shared" si="2"/>
        <v>3.5</v>
      </c>
      <c r="O66" s="32" t="str" cm="1">
        <f t="array" ref="O66">_xlfn.SWITCH(TRUE, N66&lt;$Q$10, "Low", N66&gt;$Q$11, "High", "Moderate")</f>
        <v>Moderate</v>
      </c>
      <c r="P66" s="33" t="str" cm="1">
        <f t="array" ref="P66">_xlfn.SWITCH(TRUE, N66&lt;=$Q$12, "Low", "High")</f>
        <v>Low</v>
      </c>
    </row>
    <row r="67" spans="1:16" x14ac:dyDescent="0.35">
      <c r="A67">
        <v>64</v>
      </c>
      <c r="B67" s="5">
        <v>5</v>
      </c>
      <c r="C67" s="5">
        <v>4</v>
      </c>
      <c r="D67" s="5">
        <v>1</v>
      </c>
      <c r="E67" s="5">
        <v>3</v>
      </c>
      <c r="F67" s="5">
        <v>4</v>
      </c>
      <c r="G67" s="5">
        <v>3</v>
      </c>
      <c r="H67" s="5">
        <v>5</v>
      </c>
      <c r="I67" s="5">
        <v>3</v>
      </c>
      <c r="J67" s="5">
        <v>4</v>
      </c>
      <c r="K67" s="5">
        <v>2</v>
      </c>
      <c r="L67" s="5">
        <v>4</v>
      </c>
      <c r="M67" s="5">
        <v>4</v>
      </c>
      <c r="N67" s="28">
        <f t="shared" si="2"/>
        <v>3.5</v>
      </c>
      <c r="O67" s="29" t="str" cm="1">
        <f t="array" ref="O67">_xlfn.SWITCH(TRUE, N67&lt;$Q$10, "Low", N67&gt;$Q$11, "High", "Moderate")</f>
        <v>Moderate</v>
      </c>
      <c r="P67" s="30" t="str" cm="1">
        <f t="array" ref="P67">_xlfn.SWITCH(TRUE, N67&lt;=$Q$12, "Low", "High")</f>
        <v>Low</v>
      </c>
    </row>
    <row r="68" spans="1:16" x14ac:dyDescent="0.35">
      <c r="A68">
        <v>65</v>
      </c>
      <c r="B68" s="5">
        <v>3</v>
      </c>
      <c r="C68" s="5">
        <v>5</v>
      </c>
      <c r="D68" s="5">
        <v>5</v>
      </c>
      <c r="E68" s="5">
        <v>5</v>
      </c>
      <c r="F68" s="5">
        <v>3</v>
      </c>
      <c r="G68" s="5">
        <v>5</v>
      </c>
      <c r="H68" s="5">
        <v>4</v>
      </c>
      <c r="I68" s="5">
        <v>5</v>
      </c>
      <c r="J68" s="5">
        <v>4</v>
      </c>
      <c r="K68" s="5">
        <v>5</v>
      </c>
      <c r="L68" s="5">
        <v>3</v>
      </c>
      <c r="M68" s="5">
        <v>3</v>
      </c>
      <c r="N68" s="31">
        <f t="shared" si="2"/>
        <v>4.166666666666667</v>
      </c>
      <c r="O68" s="32" t="str" cm="1">
        <f t="array" ref="O68">_xlfn.SWITCH(TRUE, N68&lt;$Q$10, "Low", N68&gt;$Q$11, "High", "Moderate")</f>
        <v>High</v>
      </c>
      <c r="P68" s="33" t="str" cm="1">
        <f t="array" ref="P68">_xlfn.SWITCH(TRUE, N68&lt;=$Q$12, "Low", "High")</f>
        <v>High</v>
      </c>
    </row>
    <row r="69" spans="1:16" x14ac:dyDescent="0.35">
      <c r="A69">
        <v>66</v>
      </c>
      <c r="B69" s="5">
        <v>4</v>
      </c>
      <c r="C69" s="5">
        <v>4</v>
      </c>
      <c r="D69" s="5">
        <v>5</v>
      </c>
      <c r="E69" s="5">
        <v>5</v>
      </c>
      <c r="F69" s="5">
        <v>5</v>
      </c>
      <c r="G69" s="5">
        <v>5</v>
      </c>
      <c r="H69" s="5">
        <v>5</v>
      </c>
      <c r="I69" s="5">
        <v>5</v>
      </c>
      <c r="J69" s="5">
        <v>5</v>
      </c>
      <c r="K69" s="5">
        <v>5</v>
      </c>
      <c r="L69" s="5">
        <v>4</v>
      </c>
      <c r="M69" s="5">
        <v>5</v>
      </c>
      <c r="N69" s="28">
        <f t="shared" si="2"/>
        <v>4.75</v>
      </c>
      <c r="O69" s="29" t="str" cm="1">
        <f t="array" ref="O69">_xlfn.SWITCH(TRUE, N69&lt;$Q$10, "Low", N69&gt;$Q$11, "High", "Moderate")</f>
        <v>High</v>
      </c>
      <c r="P69" s="30" t="str" cm="1">
        <f t="array" ref="P69">_xlfn.SWITCH(TRUE, N69&lt;=$Q$12, "Low", "High")</f>
        <v>High</v>
      </c>
    </row>
    <row r="70" spans="1:16" x14ac:dyDescent="0.35">
      <c r="A70">
        <v>67</v>
      </c>
      <c r="B70" s="5">
        <v>5</v>
      </c>
      <c r="C70" s="5">
        <v>5</v>
      </c>
      <c r="D70" s="5">
        <v>5</v>
      </c>
      <c r="E70" s="5">
        <v>5</v>
      </c>
      <c r="F70" s="5">
        <v>4</v>
      </c>
      <c r="G70" s="5">
        <v>5</v>
      </c>
      <c r="H70" s="5">
        <v>5</v>
      </c>
      <c r="I70" s="5">
        <v>5</v>
      </c>
      <c r="J70" s="5">
        <v>2</v>
      </c>
      <c r="K70" s="5">
        <v>5</v>
      </c>
      <c r="L70" s="5">
        <v>4</v>
      </c>
      <c r="M70" s="5">
        <v>5</v>
      </c>
      <c r="N70" s="31">
        <f t="shared" si="2"/>
        <v>4.583333333333333</v>
      </c>
      <c r="O70" s="32" t="str" cm="1">
        <f t="array" ref="O70">_xlfn.SWITCH(TRUE, N70&lt;$Q$10, "Low", N70&gt;$Q$11, "High", "Moderate")</f>
        <v>High</v>
      </c>
      <c r="P70" s="33" t="str" cm="1">
        <f t="array" ref="P70">_xlfn.SWITCH(TRUE, N70&lt;=$Q$12, "Low", "High")</f>
        <v>High</v>
      </c>
    </row>
    <row r="71" spans="1:16" x14ac:dyDescent="0.35">
      <c r="A71">
        <v>68</v>
      </c>
      <c r="B71" s="5">
        <v>4</v>
      </c>
      <c r="C71" s="5">
        <v>2</v>
      </c>
      <c r="D71" s="5">
        <v>4</v>
      </c>
      <c r="E71" s="5">
        <v>4</v>
      </c>
      <c r="F71" s="5">
        <v>2</v>
      </c>
      <c r="G71" s="5">
        <v>4</v>
      </c>
      <c r="H71" s="5">
        <v>3</v>
      </c>
      <c r="I71" s="5">
        <v>3</v>
      </c>
      <c r="J71" s="5">
        <v>3</v>
      </c>
      <c r="K71" s="5">
        <v>4</v>
      </c>
      <c r="L71" s="5">
        <v>3</v>
      </c>
      <c r="M71" s="5">
        <v>3</v>
      </c>
      <c r="N71" s="28">
        <f t="shared" si="2"/>
        <v>3.25</v>
      </c>
      <c r="O71" s="29" t="str" cm="1">
        <f t="array" ref="O71">_xlfn.SWITCH(TRUE, N71&lt;$Q$10, "Low", N71&gt;$Q$11, "High", "Moderate")</f>
        <v>Moderate</v>
      </c>
      <c r="P71" s="30" t="str" cm="1">
        <f t="array" ref="P71">_xlfn.SWITCH(TRUE, N71&lt;=$Q$12, "Low", "High")</f>
        <v>Low</v>
      </c>
    </row>
    <row r="72" spans="1:16" x14ac:dyDescent="0.35">
      <c r="A72">
        <v>69</v>
      </c>
      <c r="B72" s="5">
        <v>5</v>
      </c>
      <c r="C72" s="5">
        <v>4</v>
      </c>
      <c r="D72" s="5">
        <v>5</v>
      </c>
      <c r="E72" s="5">
        <v>4</v>
      </c>
      <c r="F72" s="5">
        <v>4</v>
      </c>
      <c r="G72" s="5">
        <v>5</v>
      </c>
      <c r="H72" s="5">
        <v>5</v>
      </c>
      <c r="I72" s="5">
        <v>5</v>
      </c>
      <c r="J72" s="5">
        <v>3</v>
      </c>
      <c r="K72" s="5">
        <v>3</v>
      </c>
      <c r="L72" s="5">
        <v>5</v>
      </c>
      <c r="M72" s="5">
        <v>5</v>
      </c>
      <c r="N72" s="31">
        <f t="shared" si="2"/>
        <v>4.416666666666667</v>
      </c>
      <c r="O72" s="32" t="str" cm="1">
        <f t="array" ref="O72">_xlfn.SWITCH(TRUE, N72&lt;$Q$10, "Low", N72&gt;$Q$11, "High", "Moderate")</f>
        <v>High</v>
      </c>
      <c r="P72" s="33" t="str" cm="1">
        <f t="array" ref="P72">_xlfn.SWITCH(TRUE, N72&lt;=$Q$12, "Low", "High")</f>
        <v>High</v>
      </c>
    </row>
    <row r="73" spans="1:16" x14ac:dyDescent="0.35">
      <c r="A73">
        <v>70</v>
      </c>
      <c r="B73" s="5">
        <v>5</v>
      </c>
      <c r="C73" s="5">
        <v>5</v>
      </c>
      <c r="D73" s="5">
        <v>5</v>
      </c>
      <c r="E73" s="5">
        <v>5</v>
      </c>
      <c r="F73" s="5">
        <v>5</v>
      </c>
      <c r="G73" s="5">
        <v>4</v>
      </c>
      <c r="H73" s="5">
        <v>5</v>
      </c>
      <c r="I73" s="5">
        <v>5</v>
      </c>
      <c r="J73" s="5">
        <v>5</v>
      </c>
      <c r="K73" s="5">
        <v>5</v>
      </c>
      <c r="L73" s="5">
        <v>5</v>
      </c>
      <c r="M73" s="5">
        <v>5</v>
      </c>
      <c r="N73" s="28">
        <f t="shared" si="2"/>
        <v>4.916666666666667</v>
      </c>
      <c r="O73" s="29" t="str" cm="1">
        <f t="array" ref="O73">_xlfn.SWITCH(TRUE, N73&lt;$Q$10, "Low", N73&gt;$Q$11, "High", "Moderate")</f>
        <v>High</v>
      </c>
      <c r="P73" s="30" t="str" cm="1">
        <f t="array" ref="P73">_xlfn.SWITCH(TRUE, N73&lt;=$Q$12, "Low", "High")</f>
        <v>High</v>
      </c>
    </row>
    <row r="74" spans="1:16" x14ac:dyDescent="0.35">
      <c r="A74">
        <v>71</v>
      </c>
      <c r="B74" s="5">
        <v>5</v>
      </c>
      <c r="C74" s="5">
        <v>4</v>
      </c>
      <c r="D74" s="5">
        <v>4</v>
      </c>
      <c r="E74" s="5">
        <v>5</v>
      </c>
      <c r="F74" s="5">
        <v>4</v>
      </c>
      <c r="G74" s="5">
        <v>5</v>
      </c>
      <c r="H74" s="5">
        <v>4</v>
      </c>
      <c r="I74" s="5">
        <v>5</v>
      </c>
      <c r="J74" s="5">
        <v>4</v>
      </c>
      <c r="K74" s="5">
        <v>3</v>
      </c>
      <c r="L74" s="5">
        <v>4</v>
      </c>
      <c r="M74" s="5">
        <v>5</v>
      </c>
      <c r="N74" s="31">
        <f t="shared" si="2"/>
        <v>4.333333333333333</v>
      </c>
      <c r="O74" s="32" t="str" cm="1">
        <f t="array" ref="O74">_xlfn.SWITCH(TRUE, N74&lt;$Q$10, "Low", N74&gt;$Q$11, "High", "Moderate")</f>
        <v>High</v>
      </c>
      <c r="P74" s="33" t="str" cm="1">
        <f t="array" ref="P74">_xlfn.SWITCH(TRUE, N74&lt;=$Q$12, "Low", "High")</f>
        <v>High</v>
      </c>
    </row>
    <row r="75" spans="1:16" x14ac:dyDescent="0.35">
      <c r="A75">
        <v>72</v>
      </c>
      <c r="B75" s="5">
        <v>3</v>
      </c>
      <c r="C75" s="5">
        <v>4</v>
      </c>
      <c r="D75" s="5">
        <v>3</v>
      </c>
      <c r="E75" s="5">
        <v>1</v>
      </c>
      <c r="F75" s="5">
        <v>4</v>
      </c>
      <c r="G75" s="5">
        <v>2</v>
      </c>
      <c r="H75" s="5">
        <v>4</v>
      </c>
      <c r="I75" s="5">
        <v>4</v>
      </c>
      <c r="J75" s="5">
        <v>2</v>
      </c>
      <c r="K75" s="5">
        <v>4</v>
      </c>
      <c r="L75" s="5">
        <v>4</v>
      </c>
      <c r="M75" s="5">
        <v>4</v>
      </c>
      <c r="N75" s="28">
        <f t="shared" si="2"/>
        <v>3.25</v>
      </c>
      <c r="O75" s="29" t="str" cm="1">
        <f t="array" ref="O75">_xlfn.SWITCH(TRUE, N75&lt;$Q$10, "Low", N75&gt;$Q$11, "High", "Moderate")</f>
        <v>Moderate</v>
      </c>
      <c r="P75" s="30" t="str" cm="1">
        <f t="array" ref="P75">_xlfn.SWITCH(TRUE, N75&lt;=$Q$12, "Low", "High")</f>
        <v>Low</v>
      </c>
    </row>
    <row r="76" spans="1:16" x14ac:dyDescent="0.35">
      <c r="A76">
        <v>73</v>
      </c>
      <c r="B76" s="5">
        <v>3</v>
      </c>
      <c r="C76" s="5">
        <v>5</v>
      </c>
      <c r="D76" s="5">
        <v>5</v>
      </c>
      <c r="E76" s="5">
        <v>2</v>
      </c>
      <c r="F76" s="5">
        <v>4</v>
      </c>
      <c r="G76" s="5">
        <v>3</v>
      </c>
      <c r="H76" s="5">
        <v>3</v>
      </c>
      <c r="I76" s="5">
        <v>5</v>
      </c>
      <c r="J76" s="5">
        <v>2</v>
      </c>
      <c r="K76" s="5">
        <v>2</v>
      </c>
      <c r="L76" s="5">
        <v>4</v>
      </c>
      <c r="M76" s="5">
        <v>3</v>
      </c>
      <c r="N76" s="31">
        <f t="shared" si="2"/>
        <v>3.4166666666666665</v>
      </c>
      <c r="O76" s="32" t="str" cm="1">
        <f t="array" ref="O76">_xlfn.SWITCH(TRUE, N76&lt;$Q$10, "Low", N76&gt;$Q$11, "High", "Moderate")</f>
        <v>Moderate</v>
      </c>
      <c r="P76" s="33" t="str" cm="1">
        <f t="array" ref="P76">_xlfn.SWITCH(TRUE, N76&lt;=$Q$12, "Low", "High")</f>
        <v>Low</v>
      </c>
    </row>
    <row r="77" spans="1:16" x14ac:dyDescent="0.35">
      <c r="A77">
        <v>74</v>
      </c>
      <c r="B77" s="5">
        <v>4</v>
      </c>
      <c r="C77" s="5">
        <v>4</v>
      </c>
      <c r="D77" s="5">
        <v>5</v>
      </c>
      <c r="E77" s="5">
        <v>5</v>
      </c>
      <c r="F77" s="5">
        <v>5</v>
      </c>
      <c r="G77" s="5">
        <v>5</v>
      </c>
      <c r="H77" s="5">
        <v>5</v>
      </c>
      <c r="I77" s="5">
        <v>5</v>
      </c>
      <c r="J77" s="5">
        <v>4</v>
      </c>
      <c r="K77" s="5">
        <v>5</v>
      </c>
      <c r="L77" s="5">
        <v>4</v>
      </c>
      <c r="M77" s="5">
        <v>5</v>
      </c>
      <c r="N77" s="28">
        <f t="shared" si="2"/>
        <v>4.666666666666667</v>
      </c>
      <c r="O77" s="29" t="str" cm="1">
        <f t="array" ref="O77">_xlfn.SWITCH(TRUE, N77&lt;$Q$10, "Low", N77&gt;$Q$11, "High", "Moderate")</f>
        <v>High</v>
      </c>
      <c r="P77" s="30" t="str" cm="1">
        <f t="array" ref="P77">_xlfn.SWITCH(TRUE, N77&lt;=$Q$12, "Low", "High")</f>
        <v>High</v>
      </c>
    </row>
    <row r="78" spans="1:16" x14ac:dyDescent="0.35">
      <c r="A78">
        <v>75</v>
      </c>
      <c r="B78" s="5">
        <v>4</v>
      </c>
      <c r="C78" s="5">
        <v>4</v>
      </c>
      <c r="D78" s="5">
        <v>5</v>
      </c>
      <c r="E78" s="5">
        <v>4</v>
      </c>
      <c r="F78" s="5">
        <v>4</v>
      </c>
      <c r="G78" s="5">
        <v>4</v>
      </c>
      <c r="H78" s="5">
        <v>3</v>
      </c>
      <c r="I78" s="5">
        <v>4</v>
      </c>
      <c r="J78" s="5">
        <v>4</v>
      </c>
      <c r="K78" s="5">
        <v>4</v>
      </c>
      <c r="L78" s="5">
        <v>4</v>
      </c>
      <c r="M78" s="5">
        <v>4</v>
      </c>
      <c r="N78" s="31">
        <f t="shared" si="2"/>
        <v>4</v>
      </c>
      <c r="O78" s="32" t="str" cm="1">
        <f t="array" ref="O78">_xlfn.SWITCH(TRUE, N78&lt;$Q$10, "Low", N78&gt;$Q$11, "High", "Moderate")</f>
        <v>Moderate</v>
      </c>
      <c r="P78" s="33" t="str" cm="1">
        <f t="array" ref="P78">_xlfn.SWITCH(TRUE, N78&lt;=$Q$12, "Low", "High")</f>
        <v>High</v>
      </c>
    </row>
    <row r="79" spans="1:16" x14ac:dyDescent="0.35">
      <c r="A79">
        <v>76</v>
      </c>
      <c r="B79" s="5">
        <v>4</v>
      </c>
      <c r="C79" s="5">
        <v>4</v>
      </c>
      <c r="D79" s="5">
        <v>5</v>
      </c>
      <c r="E79" s="5">
        <v>5</v>
      </c>
      <c r="F79" s="5">
        <v>2</v>
      </c>
      <c r="G79" s="5">
        <v>5</v>
      </c>
      <c r="H79" s="5">
        <v>3</v>
      </c>
      <c r="I79" s="5">
        <v>3</v>
      </c>
      <c r="J79" s="5">
        <v>4</v>
      </c>
      <c r="K79" s="5">
        <v>4</v>
      </c>
      <c r="L79" s="5">
        <v>5</v>
      </c>
      <c r="M79" s="5">
        <v>5</v>
      </c>
      <c r="N79" s="28">
        <f t="shared" si="2"/>
        <v>4.083333333333333</v>
      </c>
      <c r="O79" s="29" t="str" cm="1">
        <f t="array" ref="O79">_xlfn.SWITCH(TRUE, N79&lt;$Q$10, "Low", N79&gt;$Q$11, "High", "Moderate")</f>
        <v>High</v>
      </c>
      <c r="P79" s="30" t="str" cm="1">
        <f t="array" ref="P79">_xlfn.SWITCH(TRUE, N79&lt;=$Q$12, "Low", "High")</f>
        <v>High</v>
      </c>
    </row>
    <row r="80" spans="1:16" x14ac:dyDescent="0.35">
      <c r="A80">
        <v>77</v>
      </c>
      <c r="B80" s="5">
        <v>5</v>
      </c>
      <c r="C80" s="5">
        <v>3</v>
      </c>
      <c r="D80" s="5">
        <v>3</v>
      </c>
      <c r="E80" s="5">
        <v>4</v>
      </c>
      <c r="F80" s="5">
        <v>3</v>
      </c>
      <c r="G80" s="5">
        <v>3</v>
      </c>
      <c r="H80" s="5">
        <v>3</v>
      </c>
      <c r="I80" s="5">
        <v>2</v>
      </c>
      <c r="J80" s="5">
        <v>2</v>
      </c>
      <c r="K80" s="5">
        <v>3</v>
      </c>
      <c r="L80" s="5">
        <v>3</v>
      </c>
      <c r="M80" s="5">
        <v>3</v>
      </c>
      <c r="N80" s="31">
        <f t="shared" si="2"/>
        <v>3.0833333333333335</v>
      </c>
      <c r="O80" s="32" t="str" cm="1">
        <f t="array" ref="O80">_xlfn.SWITCH(TRUE, N80&lt;$Q$10, "Low", N80&gt;$Q$11, "High", "Moderate")</f>
        <v>Low</v>
      </c>
      <c r="P80" s="33" t="str" cm="1">
        <f t="array" ref="P80">_xlfn.SWITCH(TRUE, N80&lt;=$Q$12, "Low", "High")</f>
        <v>Low</v>
      </c>
    </row>
    <row r="81" spans="1:16" x14ac:dyDescent="0.35">
      <c r="A81">
        <v>78</v>
      </c>
      <c r="B81" s="5">
        <v>2</v>
      </c>
      <c r="C81" s="5">
        <v>3</v>
      </c>
      <c r="D81" s="5">
        <v>2</v>
      </c>
      <c r="E81" s="5">
        <v>2</v>
      </c>
      <c r="F81" s="5">
        <v>3</v>
      </c>
      <c r="G81" s="5">
        <v>4</v>
      </c>
      <c r="H81" s="5">
        <v>4</v>
      </c>
      <c r="I81" s="5">
        <v>2</v>
      </c>
      <c r="J81" s="5">
        <v>4</v>
      </c>
      <c r="K81" s="5">
        <v>4</v>
      </c>
      <c r="L81" s="5">
        <v>3</v>
      </c>
      <c r="M81" s="5">
        <v>4</v>
      </c>
      <c r="N81" s="28">
        <f t="shared" si="2"/>
        <v>3.0833333333333335</v>
      </c>
      <c r="O81" s="29" t="str" cm="1">
        <f t="array" ref="O81">_xlfn.SWITCH(TRUE, N81&lt;$Q$10, "Low", N81&gt;$Q$11, "High", "Moderate")</f>
        <v>Low</v>
      </c>
      <c r="P81" s="30" t="str" cm="1">
        <f t="array" ref="P81">_xlfn.SWITCH(TRUE, N81&lt;=$Q$12, "Low", "High")</f>
        <v>Low</v>
      </c>
    </row>
    <row r="82" spans="1:16" x14ac:dyDescent="0.35">
      <c r="A82">
        <v>79</v>
      </c>
      <c r="B82" s="5">
        <v>4</v>
      </c>
      <c r="C82" s="5">
        <v>2</v>
      </c>
      <c r="D82" s="5">
        <v>5</v>
      </c>
      <c r="E82" s="5">
        <v>4</v>
      </c>
      <c r="F82" s="5">
        <v>5</v>
      </c>
      <c r="G82" s="5">
        <v>3</v>
      </c>
      <c r="H82" s="5">
        <v>5</v>
      </c>
      <c r="I82" s="5">
        <v>5</v>
      </c>
      <c r="J82" s="5">
        <v>5</v>
      </c>
      <c r="K82" s="5">
        <v>5</v>
      </c>
      <c r="L82" s="5">
        <v>3</v>
      </c>
      <c r="M82" s="5">
        <v>5</v>
      </c>
      <c r="N82" s="31">
        <f t="shared" si="2"/>
        <v>4.25</v>
      </c>
      <c r="O82" s="32" t="str" cm="1">
        <f t="array" ref="O82">_xlfn.SWITCH(TRUE, N82&lt;$Q$10, "Low", N82&gt;$Q$11, "High", "Moderate")</f>
        <v>High</v>
      </c>
      <c r="P82" s="33" t="str" cm="1">
        <f t="array" ref="P82">_xlfn.SWITCH(TRUE, N82&lt;=$Q$12, "Low", "High")</f>
        <v>High</v>
      </c>
    </row>
    <row r="83" spans="1:16" x14ac:dyDescent="0.35">
      <c r="A83">
        <v>80</v>
      </c>
      <c r="B83" s="5">
        <v>3</v>
      </c>
      <c r="C83" s="5">
        <v>4</v>
      </c>
      <c r="D83" s="5">
        <v>2</v>
      </c>
      <c r="E83" s="5">
        <v>4</v>
      </c>
      <c r="F83" s="5">
        <v>4</v>
      </c>
      <c r="G83" s="5">
        <v>4</v>
      </c>
      <c r="H83" s="5">
        <v>2</v>
      </c>
      <c r="I83" s="5">
        <v>4</v>
      </c>
      <c r="J83" s="5">
        <v>1</v>
      </c>
      <c r="K83" s="5">
        <v>3</v>
      </c>
      <c r="L83" s="5">
        <v>3</v>
      </c>
      <c r="M83" s="5">
        <v>3</v>
      </c>
      <c r="N83" s="28">
        <f t="shared" si="2"/>
        <v>3.0833333333333335</v>
      </c>
      <c r="O83" s="29" t="str" cm="1">
        <f t="array" ref="O83">_xlfn.SWITCH(TRUE, N83&lt;$Q$10, "Low", N83&gt;$Q$11, "High", "Moderate")</f>
        <v>Low</v>
      </c>
      <c r="P83" s="30" t="str" cm="1">
        <f t="array" ref="P83">_xlfn.SWITCH(TRUE, N83&lt;=$Q$12, "Low", "High")</f>
        <v>Low</v>
      </c>
    </row>
    <row r="84" spans="1:16" x14ac:dyDescent="0.35">
      <c r="A84">
        <v>81</v>
      </c>
      <c r="B84" s="5">
        <v>4</v>
      </c>
      <c r="C84" s="5">
        <v>4</v>
      </c>
      <c r="D84" s="5">
        <v>5</v>
      </c>
      <c r="E84" s="5">
        <v>2</v>
      </c>
      <c r="F84" s="5">
        <v>4</v>
      </c>
      <c r="G84" s="5">
        <v>3</v>
      </c>
      <c r="H84" s="5">
        <v>5</v>
      </c>
      <c r="I84" s="5">
        <v>5</v>
      </c>
      <c r="J84" s="5">
        <v>5</v>
      </c>
      <c r="K84" s="5">
        <v>4</v>
      </c>
      <c r="L84" s="5">
        <v>3</v>
      </c>
      <c r="M84" s="5">
        <v>5</v>
      </c>
      <c r="N84" s="31">
        <f t="shared" si="2"/>
        <v>4.083333333333333</v>
      </c>
      <c r="O84" s="32" t="str" cm="1">
        <f t="array" ref="O84">_xlfn.SWITCH(TRUE, N84&lt;$Q$10, "Low", N84&gt;$Q$11, "High", "Moderate")</f>
        <v>High</v>
      </c>
      <c r="P84" s="33" t="str" cm="1">
        <f t="array" ref="P84">_xlfn.SWITCH(TRUE, N84&lt;=$Q$12, "Low", "High")</f>
        <v>High</v>
      </c>
    </row>
    <row r="85" spans="1:16" x14ac:dyDescent="0.35">
      <c r="A85">
        <v>82</v>
      </c>
      <c r="B85" s="5">
        <v>5</v>
      </c>
      <c r="C85" s="5">
        <v>2</v>
      </c>
      <c r="D85" s="5">
        <v>5</v>
      </c>
      <c r="E85" s="5">
        <v>5</v>
      </c>
      <c r="F85" s="5">
        <v>5</v>
      </c>
      <c r="G85" s="5">
        <v>5</v>
      </c>
      <c r="H85" s="5">
        <v>5</v>
      </c>
      <c r="I85" s="5">
        <v>5</v>
      </c>
      <c r="J85" s="5">
        <v>4</v>
      </c>
      <c r="K85" s="5">
        <v>2</v>
      </c>
      <c r="L85" s="5">
        <v>5</v>
      </c>
      <c r="M85" s="5">
        <v>4</v>
      </c>
      <c r="N85" s="28">
        <f t="shared" si="2"/>
        <v>4.333333333333333</v>
      </c>
      <c r="O85" s="29" t="str" cm="1">
        <f t="array" ref="O85">_xlfn.SWITCH(TRUE, N85&lt;$Q$10, "Low", N85&gt;$Q$11, "High", "Moderate")</f>
        <v>High</v>
      </c>
      <c r="P85" s="30" t="str" cm="1">
        <f t="array" ref="P85">_xlfn.SWITCH(TRUE, N85&lt;=$Q$12, "Low", "High")</f>
        <v>High</v>
      </c>
    </row>
    <row r="86" spans="1:16" x14ac:dyDescent="0.35">
      <c r="A86">
        <v>83</v>
      </c>
      <c r="B86" s="5">
        <v>5</v>
      </c>
      <c r="C86" s="5">
        <v>5</v>
      </c>
      <c r="D86" s="5">
        <v>5</v>
      </c>
      <c r="E86" s="5">
        <v>5</v>
      </c>
      <c r="F86" s="5">
        <v>3</v>
      </c>
      <c r="G86" s="5">
        <v>5</v>
      </c>
      <c r="H86" s="5">
        <v>5</v>
      </c>
      <c r="I86" s="5">
        <v>5</v>
      </c>
      <c r="J86" s="5">
        <v>5</v>
      </c>
      <c r="K86" s="5">
        <v>5</v>
      </c>
      <c r="L86" s="5">
        <v>5</v>
      </c>
      <c r="M86" s="5">
        <v>5</v>
      </c>
      <c r="N86" s="31">
        <f t="shared" si="2"/>
        <v>4.833333333333333</v>
      </c>
      <c r="O86" s="32" t="str" cm="1">
        <f t="array" ref="O86">_xlfn.SWITCH(TRUE, N86&lt;$Q$10, "Low", N86&gt;$Q$11, "High", "Moderate")</f>
        <v>High</v>
      </c>
      <c r="P86" s="33" t="str" cm="1">
        <f t="array" ref="P86">_xlfn.SWITCH(TRUE, N86&lt;=$Q$12, "Low", "High")</f>
        <v>High</v>
      </c>
    </row>
    <row r="87" spans="1:16" x14ac:dyDescent="0.35">
      <c r="A87">
        <v>84</v>
      </c>
      <c r="B87" s="5">
        <v>5</v>
      </c>
      <c r="C87" s="5">
        <v>4</v>
      </c>
      <c r="D87" s="5">
        <v>4</v>
      </c>
      <c r="E87" s="5">
        <v>3</v>
      </c>
      <c r="F87" s="5">
        <v>5</v>
      </c>
      <c r="G87" s="5">
        <v>2</v>
      </c>
      <c r="H87" s="5">
        <v>5</v>
      </c>
      <c r="I87" s="5">
        <v>5</v>
      </c>
      <c r="J87" s="5">
        <v>5</v>
      </c>
      <c r="K87" s="5">
        <v>4</v>
      </c>
      <c r="L87" s="5">
        <v>5</v>
      </c>
      <c r="M87" s="5">
        <v>5</v>
      </c>
      <c r="N87" s="28">
        <f t="shared" si="2"/>
        <v>4.333333333333333</v>
      </c>
      <c r="O87" s="29" t="str" cm="1">
        <f t="array" ref="O87">_xlfn.SWITCH(TRUE, N87&lt;$Q$10, "Low", N87&gt;$Q$11, "High", "Moderate")</f>
        <v>High</v>
      </c>
      <c r="P87" s="30" t="str" cm="1">
        <f t="array" ref="P87">_xlfn.SWITCH(TRUE, N87&lt;=$Q$12, "Low", "High")</f>
        <v>High</v>
      </c>
    </row>
    <row r="88" spans="1:16" x14ac:dyDescent="0.35">
      <c r="A88">
        <v>85</v>
      </c>
      <c r="B88" s="5">
        <v>3</v>
      </c>
      <c r="C88" s="5">
        <v>5</v>
      </c>
      <c r="D88" s="5">
        <v>5</v>
      </c>
      <c r="E88" s="5">
        <v>5</v>
      </c>
      <c r="F88" s="5">
        <v>5</v>
      </c>
      <c r="G88" s="5">
        <v>5</v>
      </c>
      <c r="H88" s="5">
        <v>3</v>
      </c>
      <c r="I88" s="5">
        <v>5</v>
      </c>
      <c r="J88" s="5">
        <v>4</v>
      </c>
      <c r="K88" s="5">
        <v>4</v>
      </c>
      <c r="L88" s="5">
        <v>4</v>
      </c>
      <c r="M88" s="5">
        <v>5</v>
      </c>
      <c r="N88" s="31">
        <f t="shared" si="2"/>
        <v>4.416666666666667</v>
      </c>
      <c r="O88" s="32" t="str" cm="1">
        <f t="array" ref="O88">_xlfn.SWITCH(TRUE, N88&lt;$Q$10, "Low", N88&gt;$Q$11, "High", "Moderate")</f>
        <v>High</v>
      </c>
      <c r="P88" s="33" t="str" cm="1">
        <f t="array" ref="P88">_xlfn.SWITCH(TRUE, N88&lt;=$Q$12, "Low", "High")</f>
        <v>High</v>
      </c>
    </row>
    <row r="89" spans="1:16" x14ac:dyDescent="0.35">
      <c r="A89">
        <v>86</v>
      </c>
      <c r="B89" s="5">
        <v>5</v>
      </c>
      <c r="C89" s="5">
        <v>5</v>
      </c>
      <c r="D89" s="5">
        <v>5</v>
      </c>
      <c r="E89" s="5">
        <v>2</v>
      </c>
      <c r="F89" s="5">
        <v>5</v>
      </c>
      <c r="G89" s="5">
        <v>5</v>
      </c>
      <c r="H89" s="5">
        <v>5</v>
      </c>
      <c r="I89" s="5">
        <v>5</v>
      </c>
      <c r="J89" s="5">
        <v>5</v>
      </c>
      <c r="K89" s="5">
        <v>4</v>
      </c>
      <c r="L89" s="5">
        <v>4</v>
      </c>
      <c r="M89" s="5">
        <v>5</v>
      </c>
      <c r="N89" s="28">
        <f t="shared" si="2"/>
        <v>4.583333333333333</v>
      </c>
      <c r="O89" s="29" t="str" cm="1">
        <f t="array" ref="O89">_xlfn.SWITCH(TRUE, N89&lt;$Q$10, "Low", N89&gt;$Q$11, "High", "Moderate")</f>
        <v>High</v>
      </c>
      <c r="P89" s="30" t="str" cm="1">
        <f t="array" ref="P89">_xlfn.SWITCH(TRUE, N89&lt;=$Q$12, "Low", "High")</f>
        <v>High</v>
      </c>
    </row>
    <row r="90" spans="1:16" x14ac:dyDescent="0.35">
      <c r="A90">
        <v>87</v>
      </c>
      <c r="B90" s="5">
        <v>3</v>
      </c>
      <c r="C90" s="5">
        <v>4</v>
      </c>
      <c r="D90" s="5">
        <v>5</v>
      </c>
      <c r="E90" s="5">
        <v>3</v>
      </c>
      <c r="F90" s="5">
        <v>4</v>
      </c>
      <c r="G90" s="5">
        <v>3</v>
      </c>
      <c r="H90" s="5">
        <v>3</v>
      </c>
      <c r="I90" s="5">
        <v>4</v>
      </c>
      <c r="J90" s="5">
        <v>3</v>
      </c>
      <c r="K90" s="5">
        <v>3</v>
      </c>
      <c r="L90" s="5">
        <v>4</v>
      </c>
      <c r="M90" s="5">
        <v>3</v>
      </c>
      <c r="N90" s="31">
        <f t="shared" si="2"/>
        <v>3.5</v>
      </c>
      <c r="O90" s="32" t="str" cm="1">
        <f t="array" ref="O90">_xlfn.SWITCH(TRUE, N90&lt;$Q$10, "Low", N90&gt;$Q$11, "High", "Moderate")</f>
        <v>Moderate</v>
      </c>
      <c r="P90" s="33" t="str" cm="1">
        <f t="array" ref="P90">_xlfn.SWITCH(TRUE, N90&lt;=$Q$12, "Low", "High")</f>
        <v>Low</v>
      </c>
    </row>
    <row r="91" spans="1:16" x14ac:dyDescent="0.35">
      <c r="A91">
        <v>88</v>
      </c>
      <c r="B91" s="5">
        <v>4</v>
      </c>
      <c r="C91" s="5">
        <v>1</v>
      </c>
      <c r="D91" s="5">
        <v>3</v>
      </c>
      <c r="E91" s="5">
        <v>4</v>
      </c>
      <c r="F91" s="5">
        <v>3</v>
      </c>
      <c r="G91" s="5">
        <v>3</v>
      </c>
      <c r="H91" s="5">
        <v>2</v>
      </c>
      <c r="I91" s="5">
        <v>4</v>
      </c>
      <c r="J91" s="5">
        <v>4</v>
      </c>
      <c r="K91" s="5">
        <v>3</v>
      </c>
      <c r="L91" s="5">
        <v>5</v>
      </c>
      <c r="M91" s="5">
        <v>5</v>
      </c>
      <c r="N91" s="28">
        <f t="shared" si="2"/>
        <v>3.4166666666666665</v>
      </c>
      <c r="O91" s="29" t="str" cm="1">
        <f t="array" ref="O91">_xlfn.SWITCH(TRUE, N91&lt;$Q$10, "Low", N91&gt;$Q$11, "High", "Moderate")</f>
        <v>Moderate</v>
      </c>
      <c r="P91" s="30" t="str" cm="1">
        <f t="array" ref="P91">_xlfn.SWITCH(TRUE, N91&lt;=$Q$12, "Low", "High")</f>
        <v>Low</v>
      </c>
    </row>
    <row r="92" spans="1:16" x14ac:dyDescent="0.35">
      <c r="A92">
        <v>89</v>
      </c>
      <c r="B92" s="5">
        <v>3</v>
      </c>
      <c r="C92" s="5">
        <v>5</v>
      </c>
      <c r="D92" s="5">
        <v>5</v>
      </c>
      <c r="E92" s="5">
        <v>4</v>
      </c>
      <c r="F92" s="5">
        <v>5</v>
      </c>
      <c r="G92" s="5">
        <v>5</v>
      </c>
      <c r="H92" s="5">
        <v>4</v>
      </c>
      <c r="I92" s="5">
        <v>5</v>
      </c>
      <c r="J92" s="5">
        <v>5</v>
      </c>
      <c r="K92" s="5">
        <v>5</v>
      </c>
      <c r="L92" s="5">
        <v>5</v>
      </c>
      <c r="M92" s="5">
        <v>5</v>
      </c>
      <c r="N92" s="31">
        <f t="shared" si="2"/>
        <v>4.666666666666667</v>
      </c>
      <c r="O92" s="32" t="str" cm="1">
        <f t="array" ref="O92">_xlfn.SWITCH(TRUE, N92&lt;$Q$10, "Low", N92&gt;$Q$11, "High", "Moderate")</f>
        <v>High</v>
      </c>
      <c r="P92" s="33" t="str" cm="1">
        <f t="array" ref="P92">_xlfn.SWITCH(TRUE, N92&lt;=$Q$12, "Low", "High")</f>
        <v>High</v>
      </c>
    </row>
    <row r="93" spans="1:16" x14ac:dyDescent="0.35">
      <c r="A93">
        <v>90</v>
      </c>
      <c r="B93" s="5">
        <v>1</v>
      </c>
      <c r="C93" s="5">
        <v>3</v>
      </c>
      <c r="D93" s="5">
        <v>5</v>
      </c>
      <c r="E93" s="5">
        <v>3</v>
      </c>
      <c r="F93" s="5">
        <v>1</v>
      </c>
      <c r="G93" s="5">
        <v>5</v>
      </c>
      <c r="H93" s="5">
        <v>4</v>
      </c>
      <c r="I93" s="5">
        <v>4</v>
      </c>
      <c r="J93" s="5">
        <v>4</v>
      </c>
      <c r="K93" s="5">
        <v>4</v>
      </c>
      <c r="L93" s="5">
        <v>2</v>
      </c>
      <c r="M93" s="5">
        <v>4</v>
      </c>
      <c r="N93" s="28">
        <f t="shared" si="2"/>
        <v>3.3333333333333335</v>
      </c>
      <c r="O93" s="29" t="str" cm="1">
        <f t="array" ref="O93">_xlfn.SWITCH(TRUE, N93&lt;$Q$10, "Low", N93&gt;$Q$11, "High", "Moderate")</f>
        <v>Moderate</v>
      </c>
      <c r="P93" s="30" t="str" cm="1">
        <f t="array" ref="P93">_xlfn.SWITCH(TRUE, N93&lt;=$Q$12, "Low", "High")</f>
        <v>Low</v>
      </c>
    </row>
    <row r="94" spans="1:16" x14ac:dyDescent="0.35">
      <c r="A94">
        <v>91</v>
      </c>
      <c r="B94" s="5">
        <v>5</v>
      </c>
      <c r="C94" s="5">
        <v>3</v>
      </c>
      <c r="D94" s="5">
        <v>3</v>
      </c>
      <c r="E94" s="5">
        <v>4</v>
      </c>
      <c r="F94" s="5">
        <v>4</v>
      </c>
      <c r="G94" s="5">
        <v>5</v>
      </c>
      <c r="H94" s="5">
        <v>5</v>
      </c>
      <c r="I94" s="5">
        <v>5</v>
      </c>
      <c r="J94" s="5">
        <v>5</v>
      </c>
      <c r="K94" s="5">
        <v>2</v>
      </c>
      <c r="L94" s="5">
        <v>3</v>
      </c>
      <c r="M94" s="5">
        <v>4</v>
      </c>
      <c r="N94" s="31">
        <f t="shared" si="2"/>
        <v>4</v>
      </c>
      <c r="O94" s="32" t="str" cm="1">
        <f t="array" ref="O94">_xlfn.SWITCH(TRUE, N94&lt;$Q$10, "Low", N94&gt;$Q$11, "High", "Moderate")</f>
        <v>Moderate</v>
      </c>
      <c r="P94" s="33" t="str" cm="1">
        <f t="array" ref="P94">_xlfn.SWITCH(TRUE, N94&lt;=$Q$12, "Low", "High")</f>
        <v>High</v>
      </c>
    </row>
    <row r="95" spans="1:16" x14ac:dyDescent="0.35">
      <c r="A95">
        <v>92</v>
      </c>
      <c r="B95" s="5">
        <v>3</v>
      </c>
      <c r="C95" s="5">
        <v>2</v>
      </c>
      <c r="D95" s="5">
        <v>3</v>
      </c>
      <c r="E95" s="5">
        <v>3</v>
      </c>
      <c r="F95" s="5">
        <v>2</v>
      </c>
      <c r="G95" s="5">
        <v>3</v>
      </c>
      <c r="H95" s="5">
        <v>2</v>
      </c>
      <c r="I95" s="5">
        <v>2</v>
      </c>
      <c r="J95" s="5">
        <v>2</v>
      </c>
      <c r="K95" s="5">
        <v>3</v>
      </c>
      <c r="L95" s="5">
        <v>2</v>
      </c>
      <c r="M95" s="5">
        <v>2</v>
      </c>
      <c r="N95" s="28">
        <f t="shared" si="2"/>
        <v>2.4166666666666665</v>
      </c>
      <c r="O95" s="29" t="str" cm="1">
        <f t="array" ref="O95">_xlfn.SWITCH(TRUE, N95&lt;$Q$10, "Low", N95&gt;$Q$11, "High", "Moderate")</f>
        <v>Low</v>
      </c>
      <c r="P95" s="30" t="str" cm="1">
        <f t="array" ref="P95">_xlfn.SWITCH(TRUE, N95&lt;=$Q$12, "Low", "High")</f>
        <v>Low</v>
      </c>
    </row>
    <row r="96" spans="1:16" x14ac:dyDescent="0.35">
      <c r="A96">
        <v>93</v>
      </c>
      <c r="B96" s="5">
        <v>4</v>
      </c>
      <c r="C96" s="5">
        <v>4</v>
      </c>
      <c r="D96" s="5">
        <v>4</v>
      </c>
      <c r="E96" s="5">
        <v>4</v>
      </c>
      <c r="F96" s="5">
        <v>2</v>
      </c>
      <c r="G96" s="5">
        <v>5</v>
      </c>
      <c r="H96" s="5">
        <v>5</v>
      </c>
      <c r="I96" s="5">
        <v>5</v>
      </c>
      <c r="J96" s="5">
        <v>3</v>
      </c>
      <c r="K96" s="5">
        <v>3</v>
      </c>
      <c r="L96" s="5">
        <v>4</v>
      </c>
      <c r="M96" s="5">
        <v>5</v>
      </c>
      <c r="N96" s="31">
        <f t="shared" si="2"/>
        <v>4</v>
      </c>
      <c r="O96" s="32" t="str" cm="1">
        <f t="array" ref="O96">_xlfn.SWITCH(TRUE, N96&lt;$Q$10, "Low", N96&gt;$Q$11, "High", "Moderate")</f>
        <v>Moderate</v>
      </c>
      <c r="P96" s="33" t="str" cm="1">
        <f t="array" ref="P96">_xlfn.SWITCH(TRUE, N96&lt;=$Q$12, "Low", "High")</f>
        <v>High</v>
      </c>
    </row>
    <row r="97" spans="1:16" x14ac:dyDescent="0.35">
      <c r="A97">
        <v>94</v>
      </c>
      <c r="B97" s="5">
        <v>5</v>
      </c>
      <c r="C97" s="5">
        <v>5</v>
      </c>
      <c r="D97" s="5">
        <v>5</v>
      </c>
      <c r="E97" s="5">
        <v>5</v>
      </c>
      <c r="F97" s="5">
        <v>5</v>
      </c>
      <c r="G97" s="5">
        <v>5</v>
      </c>
      <c r="H97" s="5">
        <v>5</v>
      </c>
      <c r="I97" s="5">
        <v>5</v>
      </c>
      <c r="J97" s="5">
        <v>5</v>
      </c>
      <c r="K97" s="5">
        <v>5</v>
      </c>
      <c r="L97" s="5">
        <v>5</v>
      </c>
      <c r="M97" s="5">
        <v>5</v>
      </c>
      <c r="N97" s="28">
        <f t="shared" si="2"/>
        <v>5</v>
      </c>
      <c r="O97" s="29" t="str" cm="1">
        <f t="array" ref="O97">_xlfn.SWITCH(TRUE, N97&lt;$Q$10, "Low", N97&gt;$Q$11, "High", "Moderate")</f>
        <v>High</v>
      </c>
      <c r="P97" s="30" t="str" cm="1">
        <f t="array" ref="P97">_xlfn.SWITCH(TRUE, N97&lt;=$Q$12, "Low", "High")</f>
        <v>High</v>
      </c>
    </row>
    <row r="98" spans="1:16" x14ac:dyDescent="0.35">
      <c r="A98">
        <v>95</v>
      </c>
      <c r="B98" s="5">
        <v>4</v>
      </c>
      <c r="C98" s="5">
        <v>4</v>
      </c>
      <c r="D98" s="5">
        <v>5</v>
      </c>
      <c r="E98" s="5">
        <v>4</v>
      </c>
      <c r="F98" s="5">
        <v>5</v>
      </c>
      <c r="G98" s="5">
        <v>5</v>
      </c>
      <c r="H98" s="5">
        <v>5</v>
      </c>
      <c r="I98" s="5">
        <v>5</v>
      </c>
      <c r="J98" s="5">
        <v>5</v>
      </c>
      <c r="K98" s="5">
        <v>5</v>
      </c>
      <c r="L98" s="5">
        <v>4</v>
      </c>
      <c r="M98" s="5">
        <v>5</v>
      </c>
      <c r="N98" s="31">
        <f t="shared" si="2"/>
        <v>4.666666666666667</v>
      </c>
      <c r="O98" s="32" t="str" cm="1">
        <f t="array" ref="O98">_xlfn.SWITCH(TRUE, N98&lt;$Q$10, "Low", N98&gt;$Q$11, "High", "Moderate")</f>
        <v>High</v>
      </c>
      <c r="P98" s="33" t="str" cm="1">
        <f t="array" ref="P98">_xlfn.SWITCH(TRUE, N98&lt;=$Q$12, "Low", "High")</f>
        <v>High</v>
      </c>
    </row>
    <row r="99" spans="1:16" x14ac:dyDescent="0.35">
      <c r="A99">
        <v>96</v>
      </c>
      <c r="B99" s="5">
        <v>5</v>
      </c>
      <c r="C99" s="5">
        <v>3</v>
      </c>
      <c r="D99" s="5">
        <v>5</v>
      </c>
      <c r="E99" s="5">
        <v>3</v>
      </c>
      <c r="F99" s="5">
        <v>5</v>
      </c>
      <c r="G99" s="5">
        <v>5</v>
      </c>
      <c r="H99" s="5">
        <v>5</v>
      </c>
      <c r="I99" s="5">
        <v>5</v>
      </c>
      <c r="J99" s="5">
        <v>4</v>
      </c>
      <c r="K99" s="5">
        <v>5</v>
      </c>
      <c r="L99" s="5">
        <v>5</v>
      </c>
      <c r="M99" s="5">
        <v>5</v>
      </c>
      <c r="N99" s="28">
        <f t="shared" si="2"/>
        <v>4.583333333333333</v>
      </c>
      <c r="O99" s="29" t="str" cm="1">
        <f t="array" ref="O99">_xlfn.SWITCH(TRUE, N99&lt;$Q$10, "Low", N99&gt;$Q$11, "High", "Moderate")</f>
        <v>High</v>
      </c>
      <c r="P99" s="30" t="str" cm="1">
        <f t="array" ref="P99">_xlfn.SWITCH(TRUE, N99&lt;=$Q$12, "Low", "High")</f>
        <v>High</v>
      </c>
    </row>
    <row r="100" spans="1:16" x14ac:dyDescent="0.35">
      <c r="A100">
        <v>97</v>
      </c>
      <c r="B100" s="5">
        <v>3</v>
      </c>
      <c r="C100" s="5">
        <v>4</v>
      </c>
      <c r="D100" s="5">
        <v>4</v>
      </c>
      <c r="E100" s="5">
        <v>3</v>
      </c>
      <c r="F100" s="5">
        <v>3</v>
      </c>
      <c r="G100" s="5">
        <v>4</v>
      </c>
      <c r="H100" s="5">
        <v>3</v>
      </c>
      <c r="I100" s="5">
        <v>3</v>
      </c>
      <c r="J100" s="5">
        <v>3</v>
      </c>
      <c r="K100" s="5">
        <v>3</v>
      </c>
      <c r="L100" s="5">
        <v>3</v>
      </c>
      <c r="M100" s="5">
        <v>4</v>
      </c>
      <c r="N100" s="31">
        <f t="shared" si="2"/>
        <v>3.3333333333333335</v>
      </c>
      <c r="O100" s="32" t="str" cm="1">
        <f t="array" ref="O100">_xlfn.SWITCH(TRUE, N100&lt;$Q$10, "Low", N100&gt;$Q$11, "High", "Moderate")</f>
        <v>Moderate</v>
      </c>
      <c r="P100" s="33" t="str" cm="1">
        <f t="array" ref="P100">_xlfn.SWITCH(TRUE, N100&lt;=$Q$12, "Low", "High")</f>
        <v>Low</v>
      </c>
    </row>
    <row r="101" spans="1:16" x14ac:dyDescent="0.35">
      <c r="A101">
        <v>98</v>
      </c>
      <c r="B101" s="5">
        <v>3</v>
      </c>
      <c r="C101" s="5">
        <v>4</v>
      </c>
      <c r="D101" s="5">
        <v>4</v>
      </c>
      <c r="E101" s="5">
        <v>4</v>
      </c>
      <c r="F101" s="5">
        <v>3</v>
      </c>
      <c r="G101" s="5">
        <v>5</v>
      </c>
      <c r="H101" s="5">
        <v>3</v>
      </c>
      <c r="I101" s="5">
        <v>4</v>
      </c>
      <c r="J101" s="5">
        <v>3</v>
      </c>
      <c r="K101" s="5">
        <v>5</v>
      </c>
      <c r="L101" s="5">
        <v>4</v>
      </c>
      <c r="M101" s="5">
        <v>3</v>
      </c>
      <c r="N101" s="28">
        <f t="shared" si="2"/>
        <v>3.75</v>
      </c>
      <c r="O101" s="29" t="str" cm="1">
        <f t="array" ref="O101">_xlfn.SWITCH(TRUE, N101&lt;$Q$10, "Low", N101&gt;$Q$11, "High", "Moderate")</f>
        <v>Moderate</v>
      </c>
      <c r="P101" s="30" t="str" cm="1">
        <f t="array" ref="P101">_xlfn.SWITCH(TRUE, N101&lt;=$Q$12, "Low", "High")</f>
        <v>High</v>
      </c>
    </row>
    <row r="102" spans="1:16" x14ac:dyDescent="0.35">
      <c r="A102">
        <v>99</v>
      </c>
      <c r="B102" s="5">
        <v>5</v>
      </c>
      <c r="C102" s="5">
        <v>4</v>
      </c>
      <c r="D102" s="5">
        <v>5</v>
      </c>
      <c r="E102" s="5">
        <v>5</v>
      </c>
      <c r="F102" s="5">
        <v>4</v>
      </c>
      <c r="G102" s="5">
        <v>5</v>
      </c>
      <c r="H102" s="5">
        <v>5</v>
      </c>
      <c r="I102" s="5">
        <v>5</v>
      </c>
      <c r="J102" s="5">
        <v>3</v>
      </c>
      <c r="K102" s="5">
        <v>5</v>
      </c>
      <c r="L102" s="5">
        <v>5</v>
      </c>
      <c r="M102" s="5">
        <v>5</v>
      </c>
      <c r="N102" s="31">
        <f t="shared" si="2"/>
        <v>4.666666666666667</v>
      </c>
      <c r="O102" s="32" t="str" cm="1">
        <f t="array" ref="O102">_xlfn.SWITCH(TRUE, N102&lt;$Q$10, "Low", N102&gt;$Q$11, "High", "Moderate")</f>
        <v>High</v>
      </c>
      <c r="P102" s="33" t="str" cm="1">
        <f t="array" ref="P102">_xlfn.SWITCH(TRUE, N102&lt;=$Q$12, "Low", "High")</f>
        <v>High</v>
      </c>
    </row>
    <row r="103" spans="1:16" x14ac:dyDescent="0.35">
      <c r="A103">
        <v>100</v>
      </c>
      <c r="B103" s="5">
        <v>5</v>
      </c>
      <c r="C103" s="5">
        <v>5</v>
      </c>
      <c r="D103" s="5">
        <v>5</v>
      </c>
      <c r="E103" s="5">
        <v>1</v>
      </c>
      <c r="F103" s="5">
        <v>5</v>
      </c>
      <c r="G103" s="5">
        <v>5</v>
      </c>
      <c r="H103" s="5">
        <v>2</v>
      </c>
      <c r="I103" s="5">
        <v>5</v>
      </c>
      <c r="J103" s="5">
        <v>4</v>
      </c>
      <c r="K103" s="5">
        <v>5</v>
      </c>
      <c r="L103" s="5">
        <v>1</v>
      </c>
      <c r="M103" s="5">
        <v>5</v>
      </c>
      <c r="N103" s="28">
        <f t="shared" si="2"/>
        <v>4</v>
      </c>
      <c r="O103" s="29" t="str" cm="1">
        <f t="array" ref="O103">_xlfn.SWITCH(TRUE, N103&lt;$Q$10, "Low", N103&gt;$Q$11, "High", "Moderate")</f>
        <v>Moderate</v>
      </c>
      <c r="P103" s="30" t="str" cm="1">
        <f t="array" ref="P103">_xlfn.SWITCH(TRUE, N103&lt;=$Q$12, "Low", "High")</f>
        <v>High</v>
      </c>
    </row>
    <row r="104" spans="1:16" x14ac:dyDescent="0.35">
      <c r="A104">
        <v>101</v>
      </c>
      <c r="B104" s="5">
        <v>2</v>
      </c>
      <c r="C104" s="5">
        <v>1</v>
      </c>
      <c r="D104" s="5">
        <v>4</v>
      </c>
      <c r="E104" s="5">
        <v>1</v>
      </c>
      <c r="F104" s="5">
        <v>2</v>
      </c>
      <c r="G104" s="5">
        <v>1</v>
      </c>
      <c r="H104" s="5">
        <v>3</v>
      </c>
      <c r="I104" s="5">
        <v>2</v>
      </c>
      <c r="J104" s="5">
        <v>3</v>
      </c>
      <c r="K104" s="5">
        <v>4</v>
      </c>
      <c r="L104" s="5">
        <v>2</v>
      </c>
      <c r="M104" s="5">
        <v>4</v>
      </c>
      <c r="N104" s="31">
        <f t="shared" si="2"/>
        <v>2.4166666666666665</v>
      </c>
      <c r="O104" s="32" t="str" cm="1">
        <f t="array" ref="O104">_xlfn.SWITCH(TRUE, N104&lt;$Q$10, "Low", N104&gt;$Q$11, "High", "Moderate")</f>
        <v>Low</v>
      </c>
      <c r="P104" s="33" t="str" cm="1">
        <f t="array" ref="P104">_xlfn.SWITCH(TRUE, N104&lt;=$Q$12, "Low", "High")</f>
        <v>Low</v>
      </c>
    </row>
    <row r="105" spans="1:16" x14ac:dyDescent="0.35">
      <c r="A105">
        <v>102</v>
      </c>
      <c r="B105" s="5">
        <v>2</v>
      </c>
      <c r="C105" s="5">
        <v>2</v>
      </c>
      <c r="D105" s="5">
        <v>5</v>
      </c>
      <c r="E105" s="5">
        <v>2</v>
      </c>
      <c r="F105" s="5">
        <v>3</v>
      </c>
      <c r="G105" s="5">
        <v>3</v>
      </c>
      <c r="H105" s="5">
        <v>2</v>
      </c>
      <c r="I105" s="5">
        <v>2</v>
      </c>
      <c r="J105" s="5">
        <v>3</v>
      </c>
      <c r="K105" s="5">
        <v>2</v>
      </c>
      <c r="L105" s="5">
        <v>2</v>
      </c>
      <c r="M105" s="5">
        <v>2</v>
      </c>
      <c r="N105" s="28">
        <f t="shared" si="2"/>
        <v>2.5</v>
      </c>
      <c r="O105" s="29" t="str" cm="1">
        <f t="array" ref="O105">_xlfn.SWITCH(TRUE, N105&lt;$Q$10, "Low", N105&gt;$Q$11, "High", "Moderate")</f>
        <v>Low</v>
      </c>
      <c r="P105" s="30" t="str" cm="1">
        <f t="array" ref="P105">_xlfn.SWITCH(TRUE, N105&lt;=$Q$12, "Low", "High")</f>
        <v>Low</v>
      </c>
    </row>
    <row r="106" spans="1:16" x14ac:dyDescent="0.35">
      <c r="A106">
        <v>103</v>
      </c>
      <c r="B106" s="5">
        <v>5</v>
      </c>
      <c r="C106" s="5">
        <v>5</v>
      </c>
      <c r="D106" s="5">
        <v>5</v>
      </c>
      <c r="E106" s="5">
        <v>5</v>
      </c>
      <c r="F106" s="5">
        <v>5</v>
      </c>
      <c r="G106" s="5">
        <v>5</v>
      </c>
      <c r="H106" s="5">
        <v>5</v>
      </c>
      <c r="I106" s="5">
        <v>5</v>
      </c>
      <c r="J106" s="5">
        <v>5</v>
      </c>
      <c r="K106" s="5">
        <v>5</v>
      </c>
      <c r="L106" s="5">
        <v>5</v>
      </c>
      <c r="M106" s="5">
        <v>5</v>
      </c>
      <c r="N106" s="31">
        <f t="shared" si="2"/>
        <v>5</v>
      </c>
      <c r="O106" s="32" t="str" cm="1">
        <f t="array" ref="O106">_xlfn.SWITCH(TRUE, N106&lt;$Q$10, "Low", N106&gt;$Q$11, "High", "Moderate")</f>
        <v>High</v>
      </c>
      <c r="P106" s="33" t="str" cm="1">
        <f t="array" ref="P106">_xlfn.SWITCH(TRUE, N106&lt;=$Q$12, "Low", "High")</f>
        <v>High</v>
      </c>
    </row>
    <row r="107" spans="1:16" x14ac:dyDescent="0.35">
      <c r="A107">
        <v>104</v>
      </c>
      <c r="B107" s="5">
        <v>4</v>
      </c>
      <c r="C107" s="5">
        <v>5</v>
      </c>
      <c r="D107" s="5">
        <v>5</v>
      </c>
      <c r="E107" s="5">
        <v>5</v>
      </c>
      <c r="F107" s="5">
        <v>4</v>
      </c>
      <c r="G107" s="5">
        <v>5</v>
      </c>
      <c r="H107" s="5">
        <v>5</v>
      </c>
      <c r="I107" s="5">
        <v>5</v>
      </c>
      <c r="J107" s="5">
        <v>4</v>
      </c>
      <c r="K107" s="5">
        <v>5</v>
      </c>
      <c r="L107" s="5">
        <v>5</v>
      </c>
      <c r="M107" s="5">
        <v>5</v>
      </c>
      <c r="N107" s="28">
        <f t="shared" si="2"/>
        <v>4.75</v>
      </c>
      <c r="O107" s="29" t="str" cm="1">
        <f t="array" ref="O107">_xlfn.SWITCH(TRUE, N107&lt;$Q$10, "Low", N107&gt;$Q$11, "High", "Moderate")</f>
        <v>High</v>
      </c>
      <c r="P107" s="30" t="str" cm="1">
        <f t="array" ref="P107">_xlfn.SWITCH(TRUE, N107&lt;=$Q$12, "Low", "High")</f>
        <v>High</v>
      </c>
    </row>
    <row r="108" spans="1:16" x14ac:dyDescent="0.35">
      <c r="A108">
        <v>105</v>
      </c>
      <c r="B108" s="5">
        <v>4</v>
      </c>
      <c r="C108" s="5">
        <v>5</v>
      </c>
      <c r="D108" s="5">
        <v>5</v>
      </c>
      <c r="E108" s="5">
        <v>2</v>
      </c>
      <c r="F108" s="5">
        <v>5</v>
      </c>
      <c r="G108" s="5">
        <v>5</v>
      </c>
      <c r="H108" s="5">
        <v>5</v>
      </c>
      <c r="I108" s="5">
        <v>5</v>
      </c>
      <c r="J108" s="5">
        <v>5</v>
      </c>
      <c r="K108" s="5">
        <v>5</v>
      </c>
      <c r="L108" s="5">
        <v>4</v>
      </c>
      <c r="M108" s="5">
        <v>4</v>
      </c>
      <c r="N108" s="34">
        <f t="shared" si="2"/>
        <v>4.5</v>
      </c>
      <c r="O108" s="35" t="str" cm="1">
        <f t="array" ref="O108">_xlfn.SWITCH(TRUE, N108&lt;$Q$10, "Low", N108&gt;$Q$11, "High", "Moderate")</f>
        <v>High</v>
      </c>
      <c r="P108" s="36" t="str" cm="1">
        <f t="array" ref="P108">_xlfn.SWITCH(TRUE, N108&lt;=$Q$12, "Low", "High")</f>
        <v>High</v>
      </c>
    </row>
    <row r="109" spans="1:16" x14ac:dyDescent="0.35">
      <c r="A109">
        <v>106</v>
      </c>
      <c r="B109" s="5">
        <v>5</v>
      </c>
      <c r="C109" s="5">
        <v>5</v>
      </c>
      <c r="D109" s="5">
        <v>5</v>
      </c>
      <c r="E109" s="5">
        <v>2</v>
      </c>
      <c r="F109" s="5">
        <v>2</v>
      </c>
      <c r="G109" s="5">
        <v>4</v>
      </c>
      <c r="H109" s="5">
        <v>4</v>
      </c>
      <c r="I109" s="5">
        <v>5</v>
      </c>
      <c r="J109" s="5">
        <v>4</v>
      </c>
      <c r="K109" s="5">
        <v>4</v>
      </c>
      <c r="L109" s="5">
        <v>4</v>
      </c>
      <c r="M109" s="5">
        <v>5</v>
      </c>
      <c r="N109" s="34">
        <f t="shared" ref="N109:N136" si="3">AVERAGE(B109:M109)</f>
        <v>4.083333333333333</v>
      </c>
      <c r="O109" s="35" t="str" cm="1">
        <f t="array" ref="O109">_xlfn.SWITCH(TRUE, N109&lt;$Q$10, "Low", N109&gt;$Q$11, "High", "Moderate")</f>
        <v>High</v>
      </c>
      <c r="P109" s="36" t="str" cm="1">
        <f t="array" ref="P109">_xlfn.SWITCH(TRUE, N109&lt;=$Q$12, "Low", "High")</f>
        <v>High</v>
      </c>
    </row>
    <row r="110" spans="1:16" x14ac:dyDescent="0.35">
      <c r="A110">
        <v>107</v>
      </c>
      <c r="B110" s="5">
        <v>3</v>
      </c>
      <c r="C110" s="5">
        <v>3</v>
      </c>
      <c r="D110" s="5">
        <v>4</v>
      </c>
      <c r="E110" s="5">
        <v>4</v>
      </c>
      <c r="F110" s="5">
        <v>4</v>
      </c>
      <c r="G110" s="5">
        <v>4</v>
      </c>
      <c r="H110" s="5">
        <v>3</v>
      </c>
      <c r="I110" s="5">
        <v>4</v>
      </c>
      <c r="J110" s="5">
        <v>4</v>
      </c>
      <c r="K110" s="5">
        <v>4</v>
      </c>
      <c r="L110" s="5">
        <v>4</v>
      </c>
      <c r="M110" s="5">
        <v>4</v>
      </c>
      <c r="N110" s="34">
        <f t="shared" si="3"/>
        <v>3.75</v>
      </c>
      <c r="O110" s="35" t="str" cm="1">
        <f t="array" ref="O110">_xlfn.SWITCH(TRUE, N110&lt;$Q$10, "Low", N110&gt;$Q$11, "High", "Moderate")</f>
        <v>Moderate</v>
      </c>
      <c r="P110" s="36" t="str" cm="1">
        <f t="array" ref="P110">_xlfn.SWITCH(TRUE, N110&lt;=$Q$12, "Low", "High")</f>
        <v>High</v>
      </c>
    </row>
    <row r="111" spans="1:16" x14ac:dyDescent="0.35">
      <c r="A111">
        <v>108</v>
      </c>
      <c r="B111" s="5">
        <v>4</v>
      </c>
      <c r="C111" s="5">
        <v>3</v>
      </c>
      <c r="D111" s="5">
        <v>5</v>
      </c>
      <c r="E111" s="5">
        <v>4</v>
      </c>
      <c r="F111" s="5">
        <v>4</v>
      </c>
      <c r="G111" s="5">
        <v>4</v>
      </c>
      <c r="H111" s="5">
        <v>4</v>
      </c>
      <c r="I111" s="5">
        <v>4</v>
      </c>
      <c r="J111" s="5">
        <v>3</v>
      </c>
      <c r="K111" s="5">
        <v>4</v>
      </c>
      <c r="L111" s="5">
        <v>3</v>
      </c>
      <c r="M111" s="5">
        <v>5</v>
      </c>
      <c r="N111" s="34">
        <f t="shared" si="3"/>
        <v>3.9166666666666665</v>
      </c>
      <c r="O111" s="35" t="str" cm="1">
        <f t="array" ref="O111">_xlfn.SWITCH(TRUE, N111&lt;$Q$10, "Low", N111&gt;$Q$11, "High", "Moderate")</f>
        <v>Moderate</v>
      </c>
      <c r="P111" s="36" t="str" cm="1">
        <f t="array" ref="P111">_xlfn.SWITCH(TRUE, N111&lt;=$Q$12, "Low", "High")</f>
        <v>High</v>
      </c>
    </row>
    <row r="112" spans="1:16" x14ac:dyDescent="0.35">
      <c r="A112">
        <v>109</v>
      </c>
      <c r="B112" s="5">
        <v>2</v>
      </c>
      <c r="C112" s="5">
        <v>5</v>
      </c>
      <c r="D112" s="5">
        <v>2</v>
      </c>
      <c r="E112" s="5">
        <v>2</v>
      </c>
      <c r="F112" s="5">
        <v>5</v>
      </c>
      <c r="G112" s="5">
        <v>2</v>
      </c>
      <c r="H112" s="5">
        <v>5</v>
      </c>
      <c r="I112" s="5">
        <v>4</v>
      </c>
      <c r="J112" s="5">
        <v>3</v>
      </c>
      <c r="K112" s="5">
        <v>3</v>
      </c>
      <c r="L112" s="5">
        <v>4</v>
      </c>
      <c r="M112" s="5">
        <v>5</v>
      </c>
      <c r="N112" s="34">
        <f t="shared" si="3"/>
        <v>3.5</v>
      </c>
      <c r="O112" s="35" t="str" cm="1">
        <f t="array" ref="O112">_xlfn.SWITCH(TRUE, N112&lt;$Q$10, "Low", N112&gt;$Q$11, "High", "Moderate")</f>
        <v>Moderate</v>
      </c>
      <c r="P112" s="36" t="str" cm="1">
        <f t="array" ref="P112">_xlfn.SWITCH(TRUE, N112&lt;=$Q$12, "Low", "High")</f>
        <v>Low</v>
      </c>
    </row>
    <row r="113" spans="1:16" x14ac:dyDescent="0.35">
      <c r="A113">
        <v>110</v>
      </c>
      <c r="B113" s="5">
        <v>3</v>
      </c>
      <c r="C113" s="5">
        <v>5</v>
      </c>
      <c r="D113" s="5">
        <v>5</v>
      </c>
      <c r="E113" s="5">
        <v>4</v>
      </c>
      <c r="F113" s="5">
        <v>4</v>
      </c>
      <c r="G113" s="5">
        <v>5</v>
      </c>
      <c r="H113" s="5">
        <v>3</v>
      </c>
      <c r="I113" s="5">
        <v>5</v>
      </c>
      <c r="J113" s="5">
        <v>3</v>
      </c>
      <c r="K113" s="5">
        <v>5</v>
      </c>
      <c r="L113" s="5">
        <v>4</v>
      </c>
      <c r="M113" s="5">
        <v>4</v>
      </c>
      <c r="N113" s="34">
        <f t="shared" si="3"/>
        <v>4.166666666666667</v>
      </c>
      <c r="O113" s="35" t="str" cm="1">
        <f t="array" ref="O113">_xlfn.SWITCH(TRUE, N113&lt;$Q$10, "Low", N113&gt;$Q$11, "High", "Moderate")</f>
        <v>High</v>
      </c>
      <c r="P113" s="36" t="str" cm="1">
        <f t="array" ref="P113">_xlfn.SWITCH(TRUE, N113&lt;=$Q$12, "Low", "High")</f>
        <v>High</v>
      </c>
    </row>
    <row r="114" spans="1:16" x14ac:dyDescent="0.35">
      <c r="A114">
        <v>111</v>
      </c>
      <c r="B114" s="5">
        <v>5</v>
      </c>
      <c r="C114" s="5">
        <v>5</v>
      </c>
      <c r="D114" s="5">
        <v>5</v>
      </c>
      <c r="E114" s="5">
        <v>4</v>
      </c>
      <c r="F114" s="5">
        <v>5</v>
      </c>
      <c r="G114" s="5">
        <v>5</v>
      </c>
      <c r="H114" s="5">
        <v>5</v>
      </c>
      <c r="I114" s="5">
        <v>5</v>
      </c>
      <c r="J114" s="5">
        <v>5</v>
      </c>
      <c r="K114" s="5">
        <v>5</v>
      </c>
      <c r="L114" s="5">
        <v>5</v>
      </c>
      <c r="M114" s="5">
        <v>5</v>
      </c>
      <c r="N114" s="34">
        <f t="shared" si="3"/>
        <v>4.916666666666667</v>
      </c>
      <c r="O114" s="35" t="str" cm="1">
        <f t="array" ref="O114">_xlfn.SWITCH(TRUE, N114&lt;$Q$10, "Low", N114&gt;$Q$11, "High", "Moderate")</f>
        <v>High</v>
      </c>
      <c r="P114" s="36" t="str" cm="1">
        <f t="array" ref="P114">_xlfn.SWITCH(TRUE, N114&lt;=$Q$12, "Low", "High")</f>
        <v>High</v>
      </c>
    </row>
    <row r="115" spans="1:16" x14ac:dyDescent="0.35">
      <c r="A115">
        <v>112</v>
      </c>
      <c r="B115" s="5">
        <v>5</v>
      </c>
      <c r="C115" s="5">
        <v>5</v>
      </c>
      <c r="D115" s="5">
        <v>5</v>
      </c>
      <c r="E115" s="5">
        <v>5</v>
      </c>
      <c r="F115" s="5">
        <v>5</v>
      </c>
      <c r="G115" s="5">
        <v>5</v>
      </c>
      <c r="H115" s="5">
        <v>5</v>
      </c>
      <c r="I115" s="5">
        <v>5</v>
      </c>
      <c r="J115" s="5">
        <v>3</v>
      </c>
      <c r="K115" s="5">
        <v>5</v>
      </c>
      <c r="L115" s="5">
        <v>5</v>
      </c>
      <c r="M115" s="5">
        <v>5</v>
      </c>
      <c r="N115" s="34">
        <f t="shared" si="3"/>
        <v>4.833333333333333</v>
      </c>
      <c r="O115" s="35" t="str" cm="1">
        <f t="array" ref="O115">_xlfn.SWITCH(TRUE, N115&lt;$Q$10, "Low", N115&gt;$Q$11, "High", "Moderate")</f>
        <v>High</v>
      </c>
      <c r="P115" s="36" t="str" cm="1">
        <f t="array" ref="P115">_xlfn.SWITCH(TRUE, N115&lt;=$Q$12, "Low", "High")</f>
        <v>High</v>
      </c>
    </row>
    <row r="116" spans="1:16" x14ac:dyDescent="0.35">
      <c r="A116">
        <v>113</v>
      </c>
      <c r="B116" s="5">
        <v>4</v>
      </c>
      <c r="C116" s="5">
        <v>4</v>
      </c>
      <c r="D116" s="5">
        <v>5</v>
      </c>
      <c r="E116" s="5">
        <v>2</v>
      </c>
      <c r="F116" s="5">
        <v>3</v>
      </c>
      <c r="G116" s="5">
        <v>4</v>
      </c>
      <c r="H116" s="5">
        <v>3</v>
      </c>
      <c r="I116" s="5">
        <v>3</v>
      </c>
      <c r="J116" s="5">
        <v>3</v>
      </c>
      <c r="K116" s="5">
        <v>5</v>
      </c>
      <c r="L116" s="5">
        <v>4</v>
      </c>
      <c r="M116" s="5">
        <v>5</v>
      </c>
      <c r="N116" s="34">
        <f t="shared" si="3"/>
        <v>3.75</v>
      </c>
      <c r="O116" s="35" t="str" cm="1">
        <f t="array" ref="O116">_xlfn.SWITCH(TRUE, N116&lt;$Q$10, "Low", N116&gt;$Q$11, "High", "Moderate")</f>
        <v>Moderate</v>
      </c>
      <c r="P116" s="36" t="str" cm="1">
        <f t="array" ref="P116">_xlfn.SWITCH(TRUE, N116&lt;=$Q$12, "Low", "High")</f>
        <v>High</v>
      </c>
    </row>
    <row r="117" spans="1:16" x14ac:dyDescent="0.35">
      <c r="A117">
        <v>114</v>
      </c>
      <c r="B117" s="5">
        <v>5</v>
      </c>
      <c r="C117" s="5">
        <v>4</v>
      </c>
      <c r="D117" s="5">
        <v>5</v>
      </c>
      <c r="E117" s="5">
        <v>5</v>
      </c>
      <c r="F117" s="5">
        <v>4</v>
      </c>
      <c r="G117" s="5">
        <v>5</v>
      </c>
      <c r="H117" s="5">
        <v>4</v>
      </c>
      <c r="I117" s="5">
        <v>5</v>
      </c>
      <c r="J117" s="5">
        <v>5</v>
      </c>
      <c r="K117" s="5">
        <v>4</v>
      </c>
      <c r="L117" s="5">
        <v>5</v>
      </c>
      <c r="M117" s="5">
        <v>4</v>
      </c>
      <c r="N117" s="34">
        <f t="shared" si="3"/>
        <v>4.583333333333333</v>
      </c>
      <c r="O117" s="35" t="str" cm="1">
        <f t="array" ref="O117">_xlfn.SWITCH(TRUE, N117&lt;$Q$10, "Low", N117&gt;$Q$11, "High", "Moderate")</f>
        <v>High</v>
      </c>
      <c r="P117" s="36" t="str" cm="1">
        <f t="array" ref="P117">_xlfn.SWITCH(TRUE, N117&lt;=$Q$12, "Low", "High")</f>
        <v>High</v>
      </c>
    </row>
    <row r="118" spans="1:16" x14ac:dyDescent="0.35">
      <c r="A118">
        <v>115</v>
      </c>
      <c r="B118" s="5">
        <v>3</v>
      </c>
      <c r="C118" s="5">
        <v>3</v>
      </c>
      <c r="D118" s="5">
        <v>5</v>
      </c>
      <c r="E118" s="5">
        <v>4</v>
      </c>
      <c r="F118" s="5">
        <v>3</v>
      </c>
      <c r="G118" s="5">
        <v>5</v>
      </c>
      <c r="H118" s="5">
        <v>5</v>
      </c>
      <c r="I118" s="5">
        <v>5</v>
      </c>
      <c r="J118" s="5">
        <v>4</v>
      </c>
      <c r="K118" s="5">
        <v>3</v>
      </c>
      <c r="L118" s="5">
        <v>4</v>
      </c>
      <c r="M118" s="5">
        <v>3</v>
      </c>
      <c r="N118" s="34">
        <f t="shared" si="3"/>
        <v>3.9166666666666665</v>
      </c>
      <c r="O118" s="35" t="str" cm="1">
        <f t="array" ref="O118">_xlfn.SWITCH(TRUE, N118&lt;$Q$10, "Low", N118&gt;$Q$11, "High", "Moderate")</f>
        <v>Moderate</v>
      </c>
      <c r="P118" s="36" t="str" cm="1">
        <f t="array" ref="P118">_xlfn.SWITCH(TRUE, N118&lt;=$Q$12, "Low", "High")</f>
        <v>High</v>
      </c>
    </row>
    <row r="119" spans="1:16" x14ac:dyDescent="0.35">
      <c r="A119">
        <v>116</v>
      </c>
      <c r="B119" s="5">
        <v>4</v>
      </c>
      <c r="C119" s="5">
        <v>1</v>
      </c>
      <c r="D119" s="5">
        <v>4</v>
      </c>
      <c r="E119" s="5">
        <v>2</v>
      </c>
      <c r="F119" s="5">
        <v>4</v>
      </c>
      <c r="G119" s="5">
        <v>3</v>
      </c>
      <c r="H119" s="5">
        <v>5</v>
      </c>
      <c r="I119" s="5">
        <v>3</v>
      </c>
      <c r="J119" s="5">
        <v>2</v>
      </c>
      <c r="K119" s="5">
        <v>5</v>
      </c>
      <c r="L119" s="5">
        <v>3</v>
      </c>
      <c r="M119" s="5">
        <v>4</v>
      </c>
      <c r="N119" s="34">
        <f t="shared" si="3"/>
        <v>3.3333333333333335</v>
      </c>
      <c r="O119" s="35" t="str" cm="1">
        <f t="array" ref="O119">_xlfn.SWITCH(TRUE, N119&lt;$Q$10, "Low", N119&gt;$Q$11, "High", "Moderate")</f>
        <v>Moderate</v>
      </c>
      <c r="P119" s="36" t="str" cm="1">
        <f t="array" ref="P119">_xlfn.SWITCH(TRUE, N119&lt;=$Q$12, "Low", "High")</f>
        <v>Low</v>
      </c>
    </row>
    <row r="120" spans="1:16" x14ac:dyDescent="0.35">
      <c r="A120">
        <v>117</v>
      </c>
      <c r="B120" s="5">
        <v>4</v>
      </c>
      <c r="C120" s="5">
        <v>3</v>
      </c>
      <c r="D120" s="5">
        <v>4</v>
      </c>
      <c r="E120" s="5">
        <v>3</v>
      </c>
      <c r="F120" s="5">
        <v>3</v>
      </c>
      <c r="G120" s="5">
        <v>4</v>
      </c>
      <c r="H120" s="5">
        <v>5</v>
      </c>
      <c r="I120" s="5">
        <v>2</v>
      </c>
      <c r="J120" s="5">
        <v>3</v>
      </c>
      <c r="K120" s="5">
        <v>4</v>
      </c>
      <c r="L120" s="5">
        <v>4</v>
      </c>
      <c r="M120" s="5">
        <v>5</v>
      </c>
      <c r="N120" s="34">
        <f t="shared" si="3"/>
        <v>3.6666666666666665</v>
      </c>
      <c r="O120" s="35" t="str" cm="1">
        <f t="array" ref="O120">_xlfn.SWITCH(TRUE, N120&lt;$Q$10, "Low", N120&gt;$Q$11, "High", "Moderate")</f>
        <v>Moderate</v>
      </c>
      <c r="P120" s="36" t="str" cm="1">
        <f t="array" ref="P120">_xlfn.SWITCH(TRUE, N120&lt;=$Q$12, "Low", "High")</f>
        <v>High</v>
      </c>
    </row>
    <row r="121" spans="1:16" x14ac:dyDescent="0.35">
      <c r="A121">
        <v>118</v>
      </c>
      <c r="B121" s="5">
        <v>3</v>
      </c>
      <c r="C121" s="5">
        <v>4</v>
      </c>
      <c r="D121" s="5">
        <v>4</v>
      </c>
      <c r="E121" s="5">
        <v>4</v>
      </c>
      <c r="F121" s="5">
        <v>3</v>
      </c>
      <c r="G121" s="5">
        <v>4</v>
      </c>
      <c r="H121" s="5">
        <v>3</v>
      </c>
      <c r="I121" s="5">
        <v>3</v>
      </c>
      <c r="J121" s="5">
        <v>4</v>
      </c>
      <c r="K121" s="5">
        <v>4</v>
      </c>
      <c r="L121" s="5">
        <v>4</v>
      </c>
      <c r="M121" s="5">
        <v>5</v>
      </c>
      <c r="N121" s="34">
        <f t="shared" si="3"/>
        <v>3.75</v>
      </c>
      <c r="O121" s="35" t="str" cm="1">
        <f t="array" ref="O121">_xlfn.SWITCH(TRUE, N121&lt;$Q$10, "Low", N121&gt;$Q$11, "High", "Moderate")</f>
        <v>Moderate</v>
      </c>
      <c r="P121" s="36" t="str" cm="1">
        <f t="array" ref="P121">_xlfn.SWITCH(TRUE, N121&lt;=$Q$12, "Low", "High")</f>
        <v>High</v>
      </c>
    </row>
    <row r="122" spans="1:16" x14ac:dyDescent="0.35">
      <c r="A122">
        <v>119</v>
      </c>
      <c r="B122" s="5">
        <v>4</v>
      </c>
      <c r="C122" s="5">
        <v>2</v>
      </c>
      <c r="D122" s="5">
        <v>3</v>
      </c>
      <c r="E122" s="5">
        <v>4</v>
      </c>
      <c r="F122" s="5">
        <v>3</v>
      </c>
      <c r="G122" s="5">
        <v>3</v>
      </c>
      <c r="H122" s="5">
        <v>4</v>
      </c>
      <c r="I122" s="5">
        <v>3</v>
      </c>
      <c r="J122" s="5">
        <v>3</v>
      </c>
      <c r="K122" s="5">
        <v>3</v>
      </c>
      <c r="L122" s="5">
        <v>4</v>
      </c>
      <c r="M122" s="5">
        <v>5</v>
      </c>
      <c r="N122" s="34">
        <f t="shared" si="3"/>
        <v>3.4166666666666665</v>
      </c>
      <c r="O122" s="35" t="str" cm="1">
        <f t="array" ref="O122">_xlfn.SWITCH(TRUE, N122&lt;$Q$10, "Low", N122&gt;$Q$11, "High", "Moderate")</f>
        <v>Moderate</v>
      </c>
      <c r="P122" s="36" t="str" cm="1">
        <f t="array" ref="P122">_xlfn.SWITCH(TRUE, N122&lt;=$Q$12, "Low", "High")</f>
        <v>Low</v>
      </c>
    </row>
    <row r="123" spans="1:16" x14ac:dyDescent="0.35">
      <c r="A123">
        <v>120</v>
      </c>
      <c r="B123" s="5">
        <v>4</v>
      </c>
      <c r="C123" s="5">
        <v>3</v>
      </c>
      <c r="D123" s="5">
        <v>2</v>
      </c>
      <c r="E123" s="5">
        <v>4</v>
      </c>
      <c r="F123" s="5">
        <v>3</v>
      </c>
      <c r="G123" s="5">
        <v>4</v>
      </c>
      <c r="H123" s="5">
        <v>3</v>
      </c>
      <c r="I123" s="5">
        <v>4</v>
      </c>
      <c r="J123" s="5">
        <v>3</v>
      </c>
      <c r="K123" s="5">
        <v>3</v>
      </c>
      <c r="L123" s="5">
        <v>4</v>
      </c>
      <c r="M123" s="5">
        <v>4</v>
      </c>
      <c r="N123" s="34">
        <f t="shared" si="3"/>
        <v>3.4166666666666665</v>
      </c>
      <c r="O123" s="35" t="str" cm="1">
        <f t="array" ref="O123">_xlfn.SWITCH(TRUE, N123&lt;$Q$10, "Low", N123&gt;$Q$11, "High", "Moderate")</f>
        <v>Moderate</v>
      </c>
      <c r="P123" s="36" t="str" cm="1">
        <f t="array" ref="P123">_xlfn.SWITCH(TRUE, N123&lt;=$Q$12, "Low", "High")</f>
        <v>Low</v>
      </c>
    </row>
    <row r="124" spans="1:16" x14ac:dyDescent="0.35">
      <c r="A124">
        <v>121</v>
      </c>
      <c r="B124" s="5">
        <v>5</v>
      </c>
      <c r="C124" s="5">
        <v>5</v>
      </c>
      <c r="D124" s="5">
        <v>4</v>
      </c>
      <c r="E124" s="5">
        <v>4</v>
      </c>
      <c r="F124" s="5">
        <v>4</v>
      </c>
      <c r="G124" s="5">
        <v>4</v>
      </c>
      <c r="H124" s="5">
        <v>4</v>
      </c>
      <c r="I124" s="5">
        <v>4</v>
      </c>
      <c r="J124" s="5">
        <v>4</v>
      </c>
      <c r="K124" s="5">
        <v>4</v>
      </c>
      <c r="L124" s="5">
        <v>4</v>
      </c>
      <c r="M124" s="5">
        <v>4</v>
      </c>
      <c r="N124" s="34">
        <f t="shared" si="3"/>
        <v>4.166666666666667</v>
      </c>
      <c r="O124" s="35" t="str" cm="1">
        <f t="array" ref="O124">_xlfn.SWITCH(TRUE, N124&lt;$Q$10, "Low", N124&gt;$Q$11, "High", "Moderate")</f>
        <v>High</v>
      </c>
      <c r="P124" s="36" t="str" cm="1">
        <f t="array" ref="P124">_xlfn.SWITCH(TRUE, N124&lt;=$Q$12, "Low", "High")</f>
        <v>High</v>
      </c>
    </row>
    <row r="125" spans="1:16" x14ac:dyDescent="0.35">
      <c r="A125">
        <v>122</v>
      </c>
      <c r="B125" s="5">
        <v>5</v>
      </c>
      <c r="C125" s="5">
        <v>3</v>
      </c>
      <c r="D125" s="5">
        <v>1</v>
      </c>
      <c r="E125" s="5">
        <v>1</v>
      </c>
      <c r="F125" s="5">
        <v>3</v>
      </c>
      <c r="G125" s="5">
        <v>1</v>
      </c>
      <c r="H125" s="5">
        <v>5</v>
      </c>
      <c r="I125" s="5">
        <v>2</v>
      </c>
      <c r="J125" s="5">
        <v>3</v>
      </c>
      <c r="K125" s="5">
        <v>2</v>
      </c>
      <c r="L125" s="5">
        <v>3</v>
      </c>
      <c r="M125" s="5">
        <v>5</v>
      </c>
      <c r="N125" s="34">
        <f t="shared" si="3"/>
        <v>2.8333333333333335</v>
      </c>
      <c r="O125" s="35" t="str" cm="1">
        <f t="array" ref="O125">_xlfn.SWITCH(TRUE, N125&lt;$Q$10, "Low", N125&gt;$Q$11, "High", "Moderate")</f>
        <v>Low</v>
      </c>
      <c r="P125" s="36" t="str" cm="1">
        <f t="array" ref="P125">_xlfn.SWITCH(TRUE, N125&lt;=$Q$12, "Low", "High")</f>
        <v>Low</v>
      </c>
    </row>
    <row r="126" spans="1:16" x14ac:dyDescent="0.35">
      <c r="A126">
        <v>123</v>
      </c>
      <c r="B126" s="5">
        <v>4</v>
      </c>
      <c r="C126" s="5">
        <v>3</v>
      </c>
      <c r="D126" s="5">
        <v>2</v>
      </c>
      <c r="E126" s="5">
        <v>2</v>
      </c>
      <c r="F126" s="5">
        <v>4</v>
      </c>
      <c r="G126" s="5">
        <v>2</v>
      </c>
      <c r="H126" s="5">
        <v>5</v>
      </c>
      <c r="I126" s="5">
        <v>5</v>
      </c>
      <c r="J126" s="5">
        <v>5</v>
      </c>
      <c r="K126" s="5">
        <v>3</v>
      </c>
      <c r="L126" s="5">
        <v>4</v>
      </c>
      <c r="M126" s="5">
        <v>4</v>
      </c>
      <c r="N126" s="34">
        <f t="shared" si="3"/>
        <v>3.5833333333333335</v>
      </c>
      <c r="O126" s="35" t="str" cm="1">
        <f t="array" ref="O126">_xlfn.SWITCH(TRUE, N126&lt;$Q$10, "Low", N126&gt;$Q$11, "High", "Moderate")</f>
        <v>Moderate</v>
      </c>
      <c r="P126" s="36" t="str" cm="1">
        <f t="array" ref="P126">_xlfn.SWITCH(TRUE, N126&lt;=$Q$12, "Low", "High")</f>
        <v>High</v>
      </c>
    </row>
    <row r="127" spans="1:16" x14ac:dyDescent="0.35">
      <c r="A127">
        <v>124</v>
      </c>
      <c r="B127" s="5">
        <v>5</v>
      </c>
      <c r="C127" s="5">
        <v>3</v>
      </c>
      <c r="D127" s="5">
        <v>4</v>
      </c>
      <c r="E127" s="5">
        <v>2</v>
      </c>
      <c r="F127" s="5">
        <v>3</v>
      </c>
      <c r="G127" s="5">
        <v>4</v>
      </c>
      <c r="H127" s="5">
        <v>5</v>
      </c>
      <c r="I127" s="5">
        <v>4</v>
      </c>
      <c r="J127" s="5">
        <v>5</v>
      </c>
      <c r="K127" s="5">
        <v>4</v>
      </c>
      <c r="L127" s="5">
        <v>5</v>
      </c>
      <c r="M127" s="5">
        <v>4</v>
      </c>
      <c r="N127" s="34">
        <f t="shared" si="3"/>
        <v>4</v>
      </c>
      <c r="O127" s="35" t="str" cm="1">
        <f t="array" ref="O127">_xlfn.SWITCH(TRUE, N127&lt;$Q$10, "Low", N127&gt;$Q$11, "High", "Moderate")</f>
        <v>Moderate</v>
      </c>
      <c r="P127" s="36" t="str" cm="1">
        <f t="array" ref="P127">_xlfn.SWITCH(TRUE, N127&lt;=$Q$12, "Low", "High")</f>
        <v>High</v>
      </c>
    </row>
    <row r="128" spans="1:16" x14ac:dyDescent="0.35">
      <c r="A128">
        <v>125</v>
      </c>
      <c r="B128" s="5">
        <v>3</v>
      </c>
      <c r="C128" s="5">
        <v>2</v>
      </c>
      <c r="D128" s="5">
        <v>2</v>
      </c>
      <c r="E128" s="5">
        <v>4</v>
      </c>
      <c r="F128" s="5">
        <v>3</v>
      </c>
      <c r="G128" s="5">
        <v>1</v>
      </c>
      <c r="H128" s="5">
        <v>2</v>
      </c>
      <c r="I128" s="5">
        <v>3</v>
      </c>
      <c r="J128" s="5">
        <v>2</v>
      </c>
      <c r="K128" s="5">
        <v>4</v>
      </c>
      <c r="L128" s="5">
        <v>2</v>
      </c>
      <c r="M128" s="5">
        <v>3</v>
      </c>
      <c r="N128" s="34">
        <f t="shared" si="3"/>
        <v>2.5833333333333335</v>
      </c>
      <c r="O128" s="35" t="str" cm="1">
        <f t="array" ref="O128">_xlfn.SWITCH(TRUE, N128&lt;$Q$10, "Low", N128&gt;$Q$11, "High", "Moderate")</f>
        <v>Low</v>
      </c>
      <c r="P128" s="36" t="str" cm="1">
        <f t="array" ref="P128">_xlfn.SWITCH(TRUE, N128&lt;=$Q$12, "Low", "High")</f>
        <v>Low</v>
      </c>
    </row>
    <row r="129" spans="1:16" x14ac:dyDescent="0.35">
      <c r="A129">
        <v>126</v>
      </c>
      <c r="B129" s="5">
        <v>3</v>
      </c>
      <c r="C129" s="5">
        <v>4</v>
      </c>
      <c r="D129" s="5">
        <v>3</v>
      </c>
      <c r="E129" s="5">
        <v>3</v>
      </c>
      <c r="F129" s="5">
        <v>4</v>
      </c>
      <c r="G129" s="5">
        <v>3</v>
      </c>
      <c r="H129" s="5">
        <v>4</v>
      </c>
      <c r="I129" s="5">
        <v>4</v>
      </c>
      <c r="J129" s="5">
        <v>3</v>
      </c>
      <c r="K129" s="5">
        <v>4</v>
      </c>
      <c r="L129" s="5">
        <v>4</v>
      </c>
      <c r="M129" s="5">
        <v>4</v>
      </c>
      <c r="N129" s="34">
        <f t="shared" si="3"/>
        <v>3.5833333333333335</v>
      </c>
      <c r="O129" s="35" t="str" cm="1">
        <f t="array" ref="O129">_xlfn.SWITCH(TRUE, N129&lt;$Q$10, "Low", N129&gt;$Q$11, "High", "Moderate")</f>
        <v>Moderate</v>
      </c>
      <c r="P129" s="36" t="str" cm="1">
        <f t="array" ref="P129">_xlfn.SWITCH(TRUE, N129&lt;=$Q$12, "Low", "High")</f>
        <v>High</v>
      </c>
    </row>
    <row r="130" spans="1:16" x14ac:dyDescent="0.35">
      <c r="A130">
        <v>127</v>
      </c>
      <c r="B130" s="5">
        <v>4</v>
      </c>
      <c r="C130" s="5">
        <v>5</v>
      </c>
      <c r="D130" s="5">
        <v>5</v>
      </c>
      <c r="E130" s="5">
        <v>3</v>
      </c>
      <c r="F130" s="5">
        <v>3</v>
      </c>
      <c r="G130" s="5">
        <v>4</v>
      </c>
      <c r="H130" s="5">
        <v>4</v>
      </c>
      <c r="I130" s="5">
        <v>4</v>
      </c>
      <c r="J130" s="5">
        <v>3</v>
      </c>
      <c r="K130" s="5">
        <v>4</v>
      </c>
      <c r="L130" s="5">
        <v>5</v>
      </c>
      <c r="M130" s="5">
        <v>4</v>
      </c>
      <c r="N130" s="34">
        <f t="shared" si="3"/>
        <v>4</v>
      </c>
      <c r="O130" s="35" t="str" cm="1">
        <f t="array" ref="O130">_xlfn.SWITCH(TRUE, N130&lt;$Q$10, "Low", N130&gt;$Q$11, "High", "Moderate")</f>
        <v>Moderate</v>
      </c>
      <c r="P130" s="36" t="str" cm="1">
        <f t="array" ref="P130">_xlfn.SWITCH(TRUE, N130&lt;=$Q$12, "Low", "High")</f>
        <v>High</v>
      </c>
    </row>
    <row r="131" spans="1:16" x14ac:dyDescent="0.35">
      <c r="A131">
        <v>128</v>
      </c>
      <c r="B131" s="5">
        <v>5</v>
      </c>
      <c r="C131" s="5">
        <v>4</v>
      </c>
      <c r="D131" s="5">
        <v>5</v>
      </c>
      <c r="E131" s="5">
        <v>4</v>
      </c>
      <c r="F131" s="5">
        <v>3</v>
      </c>
      <c r="G131" s="5">
        <v>5</v>
      </c>
      <c r="H131" s="5">
        <v>3</v>
      </c>
      <c r="I131" s="5">
        <v>5</v>
      </c>
      <c r="J131" s="5">
        <v>5</v>
      </c>
      <c r="K131" s="5">
        <v>5</v>
      </c>
      <c r="L131" s="5">
        <v>5</v>
      </c>
      <c r="M131" s="5">
        <v>4</v>
      </c>
      <c r="N131" s="34">
        <f t="shared" si="3"/>
        <v>4.416666666666667</v>
      </c>
      <c r="O131" s="35" t="str" cm="1">
        <f t="array" ref="O131">_xlfn.SWITCH(TRUE, N131&lt;$Q$10, "Low", N131&gt;$Q$11, "High", "Moderate")</f>
        <v>High</v>
      </c>
      <c r="P131" s="36" t="str" cm="1">
        <f t="array" ref="P131">_xlfn.SWITCH(TRUE, N131&lt;=$Q$12, "Low", "High")</f>
        <v>High</v>
      </c>
    </row>
    <row r="132" spans="1:16" x14ac:dyDescent="0.35">
      <c r="A132">
        <v>129</v>
      </c>
      <c r="B132" s="5">
        <v>4</v>
      </c>
      <c r="C132" s="5">
        <v>4</v>
      </c>
      <c r="D132" s="5">
        <v>3</v>
      </c>
      <c r="E132" s="5">
        <v>4</v>
      </c>
      <c r="F132" s="5">
        <v>4</v>
      </c>
      <c r="G132" s="5">
        <v>4</v>
      </c>
      <c r="H132" s="5">
        <v>3</v>
      </c>
      <c r="I132" s="5">
        <v>3</v>
      </c>
      <c r="J132" s="5">
        <v>3</v>
      </c>
      <c r="K132" s="5">
        <v>3</v>
      </c>
      <c r="L132" s="5">
        <v>4</v>
      </c>
      <c r="M132" s="5">
        <v>4</v>
      </c>
      <c r="N132" s="34">
        <f t="shared" si="3"/>
        <v>3.5833333333333335</v>
      </c>
      <c r="O132" s="35" t="str" cm="1">
        <f t="array" ref="O132">_xlfn.SWITCH(TRUE, N132&lt;$Q$10, "Low", N132&gt;$Q$11, "High", "Moderate")</f>
        <v>Moderate</v>
      </c>
      <c r="P132" s="36" t="str" cm="1">
        <f t="array" ref="P132">_xlfn.SWITCH(TRUE, N132&lt;=$Q$12, "Low", "High")</f>
        <v>High</v>
      </c>
    </row>
    <row r="133" spans="1:16" x14ac:dyDescent="0.35">
      <c r="A133">
        <v>130</v>
      </c>
      <c r="B133" s="5">
        <v>3</v>
      </c>
      <c r="C133" s="5">
        <v>3</v>
      </c>
      <c r="D133" s="5">
        <v>4</v>
      </c>
      <c r="E133" s="5">
        <v>3</v>
      </c>
      <c r="F133" s="5">
        <v>3</v>
      </c>
      <c r="G133" s="5">
        <v>4</v>
      </c>
      <c r="H133" s="5">
        <v>3</v>
      </c>
      <c r="I133" s="5">
        <v>3</v>
      </c>
      <c r="J133" s="5">
        <v>4</v>
      </c>
      <c r="K133" s="5">
        <v>3</v>
      </c>
      <c r="L133" s="5">
        <v>3</v>
      </c>
      <c r="M133" s="5">
        <v>4</v>
      </c>
      <c r="N133" s="34">
        <f t="shared" si="3"/>
        <v>3.3333333333333335</v>
      </c>
      <c r="O133" s="35" t="str" cm="1">
        <f t="array" ref="O133">_xlfn.SWITCH(TRUE, N133&lt;$Q$10, "Low", N133&gt;$Q$11, "High", "Moderate")</f>
        <v>Moderate</v>
      </c>
      <c r="P133" s="36" t="str" cm="1">
        <f t="array" ref="P133">_xlfn.SWITCH(TRUE, N133&lt;=$Q$12, "Low", "High")</f>
        <v>Low</v>
      </c>
    </row>
    <row r="134" spans="1:16" x14ac:dyDescent="0.35">
      <c r="A134">
        <v>131</v>
      </c>
      <c r="B134" s="5">
        <v>5</v>
      </c>
      <c r="C134" s="5">
        <v>5</v>
      </c>
      <c r="D134" s="5">
        <v>5</v>
      </c>
      <c r="E134" s="5">
        <v>4</v>
      </c>
      <c r="F134" s="5">
        <v>5</v>
      </c>
      <c r="G134" s="5">
        <v>5</v>
      </c>
      <c r="H134" s="5">
        <v>4</v>
      </c>
      <c r="I134" s="5">
        <v>5</v>
      </c>
      <c r="J134" s="5">
        <v>5</v>
      </c>
      <c r="K134" s="5">
        <v>5</v>
      </c>
      <c r="L134" s="5">
        <v>5</v>
      </c>
      <c r="M134" s="5">
        <v>5</v>
      </c>
      <c r="N134" s="34">
        <f t="shared" si="3"/>
        <v>4.833333333333333</v>
      </c>
      <c r="O134" s="35" t="str" cm="1">
        <f t="array" ref="O134">_xlfn.SWITCH(TRUE, N134&lt;$Q$10, "Low", N134&gt;$Q$11, "High", "Moderate")</f>
        <v>High</v>
      </c>
      <c r="P134" s="36" t="str" cm="1">
        <f t="array" ref="P134">_xlfn.SWITCH(TRUE, N134&lt;=$Q$12, "Low", "High")</f>
        <v>High</v>
      </c>
    </row>
    <row r="135" spans="1:16" x14ac:dyDescent="0.35">
      <c r="A135">
        <v>132</v>
      </c>
      <c r="B135" s="5">
        <v>2</v>
      </c>
      <c r="C135" s="5">
        <v>2</v>
      </c>
      <c r="D135" s="5">
        <v>4</v>
      </c>
      <c r="E135" s="5">
        <v>4</v>
      </c>
      <c r="F135" s="5">
        <v>3</v>
      </c>
      <c r="G135" s="5">
        <v>3</v>
      </c>
      <c r="H135" s="5">
        <v>2</v>
      </c>
      <c r="I135" s="5">
        <v>3</v>
      </c>
      <c r="J135" s="5">
        <v>3</v>
      </c>
      <c r="K135" s="5">
        <v>4</v>
      </c>
      <c r="L135" s="5">
        <v>3</v>
      </c>
      <c r="M135" s="5">
        <v>3</v>
      </c>
      <c r="N135" s="34">
        <f t="shared" si="3"/>
        <v>3</v>
      </c>
      <c r="O135" s="35" t="str" cm="1">
        <f t="array" ref="O135">_xlfn.SWITCH(TRUE, N135&lt;$Q$10, "Low", N135&gt;$Q$11, "High", "Moderate")</f>
        <v>Low</v>
      </c>
      <c r="P135" s="36" t="str" cm="1">
        <f t="array" ref="P135">_xlfn.SWITCH(TRUE, N135&lt;=$Q$12, "Low", "High")</f>
        <v>Low</v>
      </c>
    </row>
    <row r="136" spans="1:16" x14ac:dyDescent="0.35">
      <c r="A136">
        <v>133</v>
      </c>
      <c r="B136" s="5">
        <v>4</v>
      </c>
      <c r="C136" s="5">
        <v>3</v>
      </c>
      <c r="D136" s="5">
        <v>4</v>
      </c>
      <c r="E136" s="5">
        <v>1</v>
      </c>
      <c r="F136" s="5">
        <v>3</v>
      </c>
      <c r="G136" s="5">
        <v>4</v>
      </c>
      <c r="H136" s="5">
        <v>5</v>
      </c>
      <c r="I136" s="5">
        <v>2</v>
      </c>
      <c r="J136" s="5">
        <v>4</v>
      </c>
      <c r="K136" s="5">
        <v>5</v>
      </c>
      <c r="L136" s="5">
        <v>5</v>
      </c>
      <c r="M136" s="5">
        <v>2</v>
      </c>
      <c r="N136" s="34">
        <f t="shared" si="3"/>
        <v>3.5</v>
      </c>
      <c r="O136" s="35" t="str" cm="1">
        <f t="array" ref="O136">_xlfn.SWITCH(TRUE, N136&lt;$Q$10, "Low", N136&gt;$Q$11, "High", "Moderate")</f>
        <v>Moderate</v>
      </c>
      <c r="P136" s="36" t="str" cm="1">
        <f t="array" ref="P136">_xlfn.SWITCH(TRUE, N136&lt;=$Q$12, "Low", "High")</f>
        <v>Low</v>
      </c>
    </row>
  </sheetData>
  <mergeCells count="1">
    <mergeCell ref="Q9:R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559F-82E1-4D76-ABF6-B85FFBBD9340}">
  <sheetPr codeName="Worksheet______31">
    <tabColor theme="4" tint="0.39997558519241921"/>
  </sheetPr>
  <dimension ref="A1:T136"/>
  <sheetViews>
    <sheetView topLeftCell="D4" workbookViewId="0">
      <selection activeCell="O4" sqref="O4"/>
    </sheetView>
  </sheetViews>
  <sheetFormatPr defaultRowHeight="14.5" x14ac:dyDescent="0.35"/>
  <cols>
    <col min="1" max="13" width="6.26953125" customWidth="1"/>
    <col min="14" max="14" width="5.6328125" customWidth="1"/>
    <col min="15" max="15" width="18.7265625" customWidth="1"/>
    <col min="16" max="16" width="19.26953125" customWidth="1"/>
    <col min="17" max="17" width="17.81640625" customWidth="1"/>
    <col min="18" max="18" width="18.7265625" customWidth="1"/>
    <col min="19" max="19" width="9.08984375" bestFit="1" customWidth="1"/>
  </cols>
  <sheetData>
    <row r="1" spans="1:20" x14ac:dyDescent="0.35">
      <c r="A1" s="4"/>
      <c r="B1" s="5">
        <v>7</v>
      </c>
      <c r="C1" s="5">
        <v>9</v>
      </c>
      <c r="D1" s="5">
        <v>13</v>
      </c>
      <c r="E1" s="5">
        <v>18</v>
      </c>
      <c r="F1" s="5">
        <v>29</v>
      </c>
      <c r="G1" s="5">
        <v>34</v>
      </c>
      <c r="H1" s="5">
        <v>39</v>
      </c>
      <c r="I1" s="5">
        <v>44</v>
      </c>
      <c r="J1" s="5">
        <v>47</v>
      </c>
      <c r="K1" s="5">
        <v>52</v>
      </c>
      <c r="L1" s="5">
        <v>54</v>
      </c>
      <c r="M1" s="5">
        <v>58</v>
      </c>
    </row>
    <row r="2" spans="1:20" x14ac:dyDescent="0.35">
      <c r="A2" s="4"/>
      <c r="B2" s="40" t="s">
        <v>593</v>
      </c>
      <c r="C2" s="40" t="s">
        <v>593</v>
      </c>
      <c r="D2" s="40" t="s">
        <v>593</v>
      </c>
      <c r="E2" s="40" t="s">
        <v>596</v>
      </c>
      <c r="F2" s="40" t="s">
        <v>596</v>
      </c>
      <c r="G2" s="40" t="s">
        <v>596</v>
      </c>
      <c r="H2" s="40" t="s">
        <v>593</v>
      </c>
      <c r="I2" s="40" t="s">
        <v>593</v>
      </c>
      <c r="J2" s="40" t="s">
        <v>593</v>
      </c>
      <c r="K2" s="40" t="s">
        <v>596</v>
      </c>
      <c r="L2" s="40" t="s">
        <v>593</v>
      </c>
      <c r="M2" s="40" t="s">
        <v>596</v>
      </c>
    </row>
    <row r="3" spans="1:20" ht="29" x14ac:dyDescent="0.35">
      <c r="A3" s="3" t="s">
        <v>599</v>
      </c>
      <c r="B3" s="3" t="s">
        <v>728</v>
      </c>
      <c r="C3" s="3" t="s">
        <v>730</v>
      </c>
      <c r="D3" s="3" t="s">
        <v>734</v>
      </c>
      <c r="E3" s="43" t="s">
        <v>739</v>
      </c>
      <c r="F3" s="43" t="s">
        <v>747</v>
      </c>
      <c r="G3" s="43" t="s">
        <v>751</v>
      </c>
      <c r="H3" s="3" t="s">
        <v>755</v>
      </c>
      <c r="I3" s="3" t="s">
        <v>759</v>
      </c>
      <c r="J3" s="3" t="s">
        <v>762</v>
      </c>
      <c r="K3" s="43" t="s">
        <v>765</v>
      </c>
      <c r="L3" s="3" t="s">
        <v>767</v>
      </c>
      <c r="M3" s="43" t="s">
        <v>770</v>
      </c>
      <c r="N3" s="5" t="s">
        <v>710</v>
      </c>
      <c r="O3" s="22" t="s">
        <v>965</v>
      </c>
      <c r="P3" s="22" t="s">
        <v>966</v>
      </c>
      <c r="Q3" s="22" t="s">
        <v>964</v>
      </c>
      <c r="R3" s="22" t="s">
        <v>967</v>
      </c>
    </row>
    <row r="4" spans="1:20" x14ac:dyDescent="0.35">
      <c r="A4">
        <v>1</v>
      </c>
      <c r="B4" s="5">
        <v>2</v>
      </c>
      <c r="C4" s="5">
        <v>2</v>
      </c>
      <c r="D4" s="5">
        <v>3</v>
      </c>
      <c r="E4" s="5">
        <v>2</v>
      </c>
      <c r="F4" s="5">
        <v>1</v>
      </c>
      <c r="G4" s="5">
        <v>1</v>
      </c>
      <c r="H4" s="5">
        <v>2</v>
      </c>
      <c r="I4" s="5">
        <v>2</v>
      </c>
      <c r="J4" s="5">
        <v>3</v>
      </c>
      <c r="K4" s="5">
        <v>3</v>
      </c>
      <c r="L4" s="5">
        <v>5</v>
      </c>
      <c r="M4" s="5">
        <v>5</v>
      </c>
      <c r="N4" s="16">
        <f t="shared" ref="N4:N35" si="0">AVERAGE(B4:M4)</f>
        <v>2.5833333333333335</v>
      </c>
      <c r="O4" s="5" t="str" cm="1">
        <f t="array" ref="O4">_xlfn.SWITCH(TRUE, N4&lt;=$S$7, "Low", N4&gt;=$S$8, "High", "Moderate")</f>
        <v>Low</v>
      </c>
      <c r="P4" s="5" t="str" cm="1">
        <f t="array" ref="P4">_xlfn.SWITCH(TRUE, N4&gt;=3.5, "High", N4&gt;=2.5, "Moderate", "Low")</f>
        <v>Moderate</v>
      </c>
      <c r="Q4" s="5" t="str">
        <f>_xlfn.SWITCH(TRUE, N4&lt;=$S$9, "Low", "High")</f>
        <v>Low</v>
      </c>
      <c r="R4" s="5" t="str" cm="1">
        <f t="array" ref="R4">_xlfn.SWITCH(TRUE, N4&gt;=3, "High", "Low")</f>
        <v>Low</v>
      </c>
    </row>
    <row r="5" spans="1:20" x14ac:dyDescent="0.35">
      <c r="A5">
        <v>2</v>
      </c>
      <c r="B5" s="5">
        <v>3</v>
      </c>
      <c r="C5" s="5">
        <v>3</v>
      </c>
      <c r="D5" s="5">
        <v>4</v>
      </c>
      <c r="E5" s="5">
        <v>3</v>
      </c>
      <c r="F5" s="5">
        <v>4</v>
      </c>
      <c r="G5" s="5">
        <v>3</v>
      </c>
      <c r="H5" s="5">
        <v>3</v>
      </c>
      <c r="I5" s="5">
        <v>4</v>
      </c>
      <c r="J5" s="5">
        <v>4</v>
      </c>
      <c r="K5" s="5">
        <v>3</v>
      </c>
      <c r="L5" s="5">
        <v>3</v>
      </c>
      <c r="M5" s="5">
        <v>4</v>
      </c>
      <c r="N5" s="16">
        <f t="shared" si="0"/>
        <v>3.4166666666666665</v>
      </c>
      <c r="O5" s="5" t="str" cm="1">
        <f t="array" ref="O5">_xlfn.SWITCH(TRUE, N5&lt;=$S$7, "Low", N5&gt;=$S$8, "High", "Moderate")</f>
        <v>Moderate</v>
      </c>
      <c r="P5" s="5" t="str" cm="1">
        <f t="array" ref="P5">_xlfn.SWITCH(TRUE, N5&gt;=3.5, "High", N5&gt;=2.5, "Moderate", "Low")</f>
        <v>Moderate</v>
      </c>
      <c r="Q5" s="5" t="str">
        <f t="shared" ref="Q5:Q35" si="1">_xlfn.SWITCH(TRUE, N5&lt;=$S$9, "Low", "High")</f>
        <v>High</v>
      </c>
      <c r="R5" s="5" t="str" cm="1">
        <f t="array" ref="R5">_xlfn.SWITCH(TRUE, N5&gt;=3, "High", "Low")</f>
        <v>High</v>
      </c>
    </row>
    <row r="6" spans="1:20" x14ac:dyDescent="0.35">
      <c r="A6">
        <v>3</v>
      </c>
      <c r="B6" s="5">
        <v>1</v>
      </c>
      <c r="C6" s="5">
        <v>1</v>
      </c>
      <c r="D6" s="5">
        <v>1</v>
      </c>
      <c r="E6" s="5">
        <v>2</v>
      </c>
      <c r="F6" s="5">
        <v>2</v>
      </c>
      <c r="G6" s="5">
        <v>2</v>
      </c>
      <c r="H6" s="5">
        <v>1</v>
      </c>
      <c r="I6" s="5">
        <v>3</v>
      </c>
      <c r="J6" s="5">
        <v>4</v>
      </c>
      <c r="K6" s="5">
        <v>1</v>
      </c>
      <c r="L6" s="5">
        <v>1</v>
      </c>
      <c r="M6" s="5">
        <v>1</v>
      </c>
      <c r="N6" s="16">
        <f t="shared" si="0"/>
        <v>1.6666666666666667</v>
      </c>
      <c r="O6" s="5" t="str" cm="1">
        <f t="array" ref="O6">_xlfn.SWITCH(TRUE, N6&lt;=$S$7, "Low", N6&gt;=$S$8, "High", "Moderate")</f>
        <v>Low</v>
      </c>
      <c r="P6" s="5" t="str" cm="1">
        <f t="array" ref="P6">_xlfn.SWITCH(TRUE, N6&gt;=3.5, "High", N6&gt;=2.5, "Moderate", "Low")</f>
        <v>Low</v>
      </c>
      <c r="Q6" s="5" t="str">
        <f t="shared" si="1"/>
        <v>Low</v>
      </c>
      <c r="R6" s="5" t="str" cm="1">
        <f t="array" ref="R6">_xlfn.SWITCH(TRUE, N6&gt;=3, "High", "Low")</f>
        <v>Low</v>
      </c>
      <c r="S6" s="52" t="s">
        <v>709</v>
      </c>
      <c r="T6" s="52"/>
    </row>
    <row r="7" spans="1:20" x14ac:dyDescent="0.35">
      <c r="A7">
        <v>4</v>
      </c>
      <c r="B7" s="5">
        <v>3</v>
      </c>
      <c r="C7" s="5">
        <v>3</v>
      </c>
      <c r="D7" s="5">
        <v>2</v>
      </c>
      <c r="E7" s="5">
        <v>3</v>
      </c>
      <c r="F7" s="5">
        <v>2</v>
      </c>
      <c r="G7" s="5">
        <v>3</v>
      </c>
      <c r="H7" s="5">
        <v>3</v>
      </c>
      <c r="I7" s="5">
        <v>3</v>
      </c>
      <c r="J7" s="5">
        <v>3</v>
      </c>
      <c r="K7" s="5">
        <v>1</v>
      </c>
      <c r="L7" s="5">
        <v>3</v>
      </c>
      <c r="M7" s="5">
        <v>4</v>
      </c>
      <c r="N7" s="16">
        <f t="shared" si="0"/>
        <v>2.75</v>
      </c>
      <c r="O7" s="5" t="str" cm="1">
        <f t="array" ref="O7">_xlfn.SWITCH(TRUE, N7&lt;=$S$7, "Low", N7&gt;=$S$8, "High", "Moderate")</f>
        <v>Low</v>
      </c>
      <c r="P7" s="5" t="str" cm="1">
        <f t="array" ref="P7">_xlfn.SWITCH(TRUE, N7&gt;=3.5, "High", N7&gt;=2.5, "Moderate", "Low")</f>
        <v>Moderate</v>
      </c>
      <c r="Q7" s="5" t="str">
        <f t="shared" si="1"/>
        <v>Low</v>
      </c>
      <c r="R7" s="5" t="str" cm="1">
        <f t="array" ref="R7">_xlfn.SWITCH(TRUE, N7&gt;=3, "High", "Low")</f>
        <v>Low</v>
      </c>
      <c r="S7" s="19">
        <f>_xlfn.PERCENTILE.EXC($N$4:$N$136,T7)</f>
        <v>2.8888888888888888</v>
      </c>
      <c r="T7" s="20">
        <v>0.33333333333333331</v>
      </c>
    </row>
    <row r="8" spans="1:20" x14ac:dyDescent="0.35">
      <c r="A8">
        <v>5</v>
      </c>
      <c r="B8" s="5">
        <v>2</v>
      </c>
      <c r="C8" s="5">
        <v>2</v>
      </c>
      <c r="D8" s="5">
        <v>2</v>
      </c>
      <c r="E8" s="5">
        <v>4</v>
      </c>
      <c r="F8" s="5">
        <v>2</v>
      </c>
      <c r="G8" s="5">
        <v>4</v>
      </c>
      <c r="H8" s="5">
        <v>2</v>
      </c>
      <c r="I8" s="5">
        <v>3</v>
      </c>
      <c r="J8" s="5">
        <v>4</v>
      </c>
      <c r="K8" s="5">
        <v>3</v>
      </c>
      <c r="L8" s="5">
        <v>2</v>
      </c>
      <c r="M8" s="5">
        <v>5</v>
      </c>
      <c r="N8" s="16">
        <f t="shared" si="0"/>
        <v>2.9166666666666665</v>
      </c>
      <c r="O8" s="5" t="str" cm="1">
        <f t="array" ref="O8">_xlfn.SWITCH(TRUE, N8&lt;=$S$7, "Low", N8&gt;=$S$8, "High", "Moderate")</f>
        <v>Moderate</v>
      </c>
      <c r="P8" s="5" t="str" cm="1">
        <f t="array" ref="P8">_xlfn.SWITCH(TRUE, N8&gt;=3.5, "High", N8&gt;=2.5, "Moderate", "Low")</f>
        <v>Moderate</v>
      </c>
      <c r="Q8" s="5" t="str">
        <f t="shared" si="1"/>
        <v>Low</v>
      </c>
      <c r="R8" s="5" t="str" cm="1">
        <f t="array" ref="R8">_xlfn.SWITCH(TRUE, N8&gt;=3, "High", "Low")</f>
        <v>Low</v>
      </c>
      <c r="S8" s="19">
        <f>_xlfn.PERCENTILE.EXC($N$4:$N$136,T8)</f>
        <v>3.5</v>
      </c>
      <c r="T8" s="20">
        <v>0.66666666666666663</v>
      </c>
    </row>
    <row r="9" spans="1:20" x14ac:dyDescent="0.35">
      <c r="A9">
        <v>6</v>
      </c>
      <c r="B9" s="5">
        <v>2</v>
      </c>
      <c r="C9" s="5">
        <v>1</v>
      </c>
      <c r="D9" s="5">
        <v>2</v>
      </c>
      <c r="E9" s="5">
        <v>3</v>
      </c>
      <c r="F9" s="5">
        <v>2</v>
      </c>
      <c r="G9" s="5">
        <v>2</v>
      </c>
      <c r="H9" s="5">
        <v>2</v>
      </c>
      <c r="I9" s="5">
        <v>3</v>
      </c>
      <c r="J9" s="5">
        <v>3</v>
      </c>
      <c r="K9" s="5">
        <v>4</v>
      </c>
      <c r="L9" s="5">
        <v>4</v>
      </c>
      <c r="M9" s="5">
        <v>3</v>
      </c>
      <c r="N9" s="16">
        <f t="shared" si="0"/>
        <v>2.5833333333333335</v>
      </c>
      <c r="O9" s="5" t="str" cm="1">
        <f t="array" ref="O9">_xlfn.SWITCH(TRUE, N9&lt;=$S$7, "Low", N9&gt;=$S$8, "High", "Moderate")</f>
        <v>Low</v>
      </c>
      <c r="P9" s="5" t="str" cm="1">
        <f t="array" ref="P9">_xlfn.SWITCH(TRUE, N9&gt;=3.5, "High", N9&gt;=2.5, "Moderate", "Low")</f>
        <v>Moderate</v>
      </c>
      <c r="Q9" s="5" t="str">
        <f t="shared" si="1"/>
        <v>Low</v>
      </c>
      <c r="R9" s="5" t="str" cm="1">
        <f t="array" ref="R9">_xlfn.SWITCH(TRUE, N9&gt;=3, "High", "Low")</f>
        <v>Low</v>
      </c>
      <c r="S9" s="19">
        <f>_xlfn.PERCENTILE.EXC($N$4:$N$136,T9)</f>
        <v>3.1666666666666665</v>
      </c>
      <c r="T9" s="20">
        <v>0.5</v>
      </c>
    </row>
    <row r="10" spans="1:20" x14ac:dyDescent="0.35">
      <c r="A10">
        <v>7</v>
      </c>
      <c r="B10" s="5">
        <v>4</v>
      </c>
      <c r="C10" s="5">
        <v>2</v>
      </c>
      <c r="D10" s="5">
        <v>2</v>
      </c>
      <c r="E10" s="5">
        <v>3</v>
      </c>
      <c r="F10" s="5">
        <v>4</v>
      </c>
      <c r="G10" s="5">
        <v>3</v>
      </c>
      <c r="H10" s="5">
        <v>3</v>
      </c>
      <c r="I10" s="5">
        <v>3</v>
      </c>
      <c r="J10" s="5">
        <v>3</v>
      </c>
      <c r="K10" s="5">
        <v>3</v>
      </c>
      <c r="L10" s="5">
        <v>3</v>
      </c>
      <c r="M10" s="5">
        <v>5</v>
      </c>
      <c r="N10" s="16">
        <f t="shared" si="0"/>
        <v>3.1666666666666665</v>
      </c>
      <c r="O10" s="5" t="str" cm="1">
        <f t="array" ref="O10">_xlfn.SWITCH(TRUE, N10&lt;=$S$7, "Low", N10&gt;=$S$8, "High", "Moderate")</f>
        <v>Moderate</v>
      </c>
      <c r="P10" s="5" t="str" cm="1">
        <f t="array" ref="P10">_xlfn.SWITCH(TRUE, N10&gt;=3.5, "High", N10&gt;=2.5, "Moderate", "Low")</f>
        <v>Moderate</v>
      </c>
      <c r="Q10" s="5" t="str">
        <f t="shared" si="1"/>
        <v>Low</v>
      </c>
      <c r="R10" s="5" t="str" cm="1">
        <f t="array" ref="R10">_xlfn.SWITCH(TRUE, N10&gt;=3, "High", "Low")</f>
        <v>High</v>
      </c>
    </row>
    <row r="11" spans="1:20" x14ac:dyDescent="0.35">
      <c r="A11">
        <v>8</v>
      </c>
      <c r="B11" s="5">
        <v>2</v>
      </c>
      <c r="C11" s="5">
        <v>2</v>
      </c>
      <c r="D11" s="5">
        <v>2</v>
      </c>
      <c r="E11" s="5">
        <v>2</v>
      </c>
      <c r="F11" s="5">
        <v>2</v>
      </c>
      <c r="G11" s="5">
        <v>2</v>
      </c>
      <c r="H11" s="5">
        <v>4</v>
      </c>
      <c r="I11" s="5">
        <v>3</v>
      </c>
      <c r="J11" s="5">
        <v>3</v>
      </c>
      <c r="K11" s="5">
        <v>2</v>
      </c>
      <c r="L11" s="5">
        <v>2</v>
      </c>
      <c r="M11" s="5">
        <v>3</v>
      </c>
      <c r="N11" s="16">
        <f t="shared" si="0"/>
        <v>2.4166666666666665</v>
      </c>
      <c r="O11" s="5" t="str" cm="1">
        <f t="array" ref="O11">_xlfn.SWITCH(TRUE, N11&lt;=$S$7, "Low", N11&gt;=$S$8, "High", "Moderate")</f>
        <v>Low</v>
      </c>
      <c r="P11" s="5" t="str" cm="1">
        <f t="array" ref="P11">_xlfn.SWITCH(TRUE, N11&gt;=3.5, "High", N11&gt;=2.5, "Moderate", "Low")</f>
        <v>Low</v>
      </c>
      <c r="Q11" s="5" t="str">
        <f t="shared" si="1"/>
        <v>Low</v>
      </c>
      <c r="R11" s="5" t="str" cm="1">
        <f t="array" ref="R11">_xlfn.SWITCH(TRUE, N11&gt;=3, "High", "Low")</f>
        <v>Low</v>
      </c>
    </row>
    <row r="12" spans="1:20" x14ac:dyDescent="0.35">
      <c r="A12">
        <v>9</v>
      </c>
      <c r="B12" s="5">
        <v>4</v>
      </c>
      <c r="C12" s="5">
        <v>5</v>
      </c>
      <c r="D12" s="5">
        <v>5</v>
      </c>
      <c r="E12" s="5">
        <v>1</v>
      </c>
      <c r="F12" s="5">
        <v>5</v>
      </c>
      <c r="G12" s="5">
        <v>1</v>
      </c>
      <c r="H12" s="5">
        <v>4</v>
      </c>
      <c r="I12" s="5">
        <v>1</v>
      </c>
      <c r="J12" s="5">
        <v>5</v>
      </c>
      <c r="K12" s="5">
        <v>5</v>
      </c>
      <c r="L12" s="5">
        <v>5</v>
      </c>
      <c r="M12" s="5">
        <v>5</v>
      </c>
      <c r="N12" s="16">
        <f t="shared" si="0"/>
        <v>3.8333333333333335</v>
      </c>
      <c r="O12" s="5" t="str" cm="1">
        <f t="array" ref="O12">_xlfn.SWITCH(TRUE, N12&lt;=$S$7, "Low", N12&gt;=$S$8, "High", "Moderate")</f>
        <v>High</v>
      </c>
      <c r="P12" s="5" t="str" cm="1">
        <f t="array" ref="P12">_xlfn.SWITCH(TRUE, N12&gt;=3.5, "High", N12&gt;=2.5, "Moderate", "Low")</f>
        <v>High</v>
      </c>
      <c r="Q12" s="5" t="str">
        <f t="shared" si="1"/>
        <v>High</v>
      </c>
      <c r="R12" s="5" t="str" cm="1">
        <f t="array" ref="R12">_xlfn.SWITCH(TRUE, N12&gt;=3, "High", "Low")</f>
        <v>High</v>
      </c>
    </row>
    <row r="13" spans="1:20" x14ac:dyDescent="0.35">
      <c r="A13">
        <v>10</v>
      </c>
      <c r="B13" s="5">
        <v>5</v>
      </c>
      <c r="C13" s="5">
        <v>4</v>
      </c>
      <c r="D13" s="5">
        <v>4</v>
      </c>
      <c r="E13" s="5">
        <v>5</v>
      </c>
      <c r="F13" s="5">
        <v>5</v>
      </c>
      <c r="G13" s="5">
        <v>2</v>
      </c>
      <c r="H13" s="5">
        <v>5</v>
      </c>
      <c r="I13" s="5">
        <v>4</v>
      </c>
      <c r="J13" s="5">
        <v>4</v>
      </c>
      <c r="K13" s="5">
        <v>5</v>
      </c>
      <c r="L13" s="5">
        <v>3</v>
      </c>
      <c r="M13" s="5">
        <v>4</v>
      </c>
      <c r="N13" s="16">
        <f t="shared" si="0"/>
        <v>4.166666666666667</v>
      </c>
      <c r="O13" s="5" t="str" cm="1">
        <f t="array" ref="O13">_xlfn.SWITCH(TRUE, N13&lt;=$S$7, "Low", N13&gt;=$S$8, "High", "Moderate")</f>
        <v>High</v>
      </c>
      <c r="P13" s="5" t="str" cm="1">
        <f t="array" ref="P13">_xlfn.SWITCH(TRUE, N13&gt;=3.5, "High", N13&gt;=2.5, "Moderate", "Low")</f>
        <v>High</v>
      </c>
      <c r="Q13" s="5" t="str">
        <f t="shared" si="1"/>
        <v>High</v>
      </c>
      <c r="R13" s="5" t="str" cm="1">
        <f t="array" ref="R13">_xlfn.SWITCH(TRUE, N13&gt;=3, "High", "Low")</f>
        <v>High</v>
      </c>
    </row>
    <row r="14" spans="1:20" x14ac:dyDescent="0.35">
      <c r="A14">
        <v>11</v>
      </c>
      <c r="B14" s="5">
        <v>5</v>
      </c>
      <c r="C14" s="5">
        <v>4</v>
      </c>
      <c r="D14" s="5">
        <v>5</v>
      </c>
      <c r="E14" s="5">
        <v>5</v>
      </c>
      <c r="F14" s="5">
        <v>4</v>
      </c>
      <c r="G14" s="5">
        <v>5</v>
      </c>
      <c r="H14" s="5">
        <v>5</v>
      </c>
      <c r="I14" s="5">
        <v>5</v>
      </c>
      <c r="J14" s="5">
        <v>5</v>
      </c>
      <c r="K14" s="5">
        <v>5</v>
      </c>
      <c r="L14" s="5">
        <v>5</v>
      </c>
      <c r="M14" s="5">
        <v>5</v>
      </c>
      <c r="N14" s="16">
        <f t="shared" si="0"/>
        <v>4.833333333333333</v>
      </c>
      <c r="O14" s="5" t="str" cm="1">
        <f t="array" ref="O14">_xlfn.SWITCH(TRUE, N14&lt;=$S$7, "Low", N14&gt;=$S$8, "High", "Moderate")</f>
        <v>High</v>
      </c>
      <c r="P14" s="5" t="str" cm="1">
        <f t="array" ref="P14">_xlfn.SWITCH(TRUE, N14&gt;=3.5, "High", N14&gt;=2.5, "Moderate", "Low")</f>
        <v>High</v>
      </c>
      <c r="Q14" s="5" t="str">
        <f t="shared" si="1"/>
        <v>High</v>
      </c>
      <c r="R14" s="5" t="str" cm="1">
        <f t="array" ref="R14">_xlfn.SWITCH(TRUE, N14&gt;=3, "High", "Low")</f>
        <v>High</v>
      </c>
    </row>
    <row r="15" spans="1:20" x14ac:dyDescent="0.35">
      <c r="A15">
        <v>12</v>
      </c>
      <c r="B15" s="5">
        <v>4</v>
      </c>
      <c r="C15" s="5">
        <v>4</v>
      </c>
      <c r="D15" s="5">
        <v>4</v>
      </c>
      <c r="E15" s="5">
        <v>3</v>
      </c>
      <c r="F15" s="5">
        <v>5</v>
      </c>
      <c r="G15" s="5">
        <v>4</v>
      </c>
      <c r="H15" s="5">
        <v>4</v>
      </c>
      <c r="I15" s="5">
        <v>4</v>
      </c>
      <c r="J15" s="5">
        <v>4</v>
      </c>
      <c r="K15" s="5">
        <v>2</v>
      </c>
      <c r="L15" s="5">
        <v>4</v>
      </c>
      <c r="M15" s="5">
        <v>3</v>
      </c>
      <c r="N15" s="16">
        <f t="shared" si="0"/>
        <v>3.75</v>
      </c>
      <c r="O15" s="5" t="str" cm="1">
        <f t="array" ref="O15">_xlfn.SWITCH(TRUE, N15&lt;=$S$7, "Low", N15&gt;=$S$8, "High", "Moderate")</f>
        <v>High</v>
      </c>
      <c r="P15" s="5" t="str" cm="1">
        <f t="array" ref="P15">_xlfn.SWITCH(TRUE, N15&gt;=3.5, "High", N15&gt;=2.5, "Moderate", "Low")</f>
        <v>High</v>
      </c>
      <c r="Q15" s="5" t="str">
        <f t="shared" si="1"/>
        <v>High</v>
      </c>
      <c r="R15" s="5" t="str" cm="1">
        <f t="array" ref="R15">_xlfn.SWITCH(TRUE, N15&gt;=3, "High", "Low")</f>
        <v>High</v>
      </c>
    </row>
    <row r="16" spans="1:20" x14ac:dyDescent="0.35">
      <c r="A16">
        <v>13</v>
      </c>
      <c r="B16" s="5">
        <v>4</v>
      </c>
      <c r="C16" s="5">
        <v>4</v>
      </c>
      <c r="D16" s="5">
        <v>5</v>
      </c>
      <c r="E16" s="5">
        <v>4</v>
      </c>
      <c r="F16" s="5">
        <v>4</v>
      </c>
      <c r="G16" s="5">
        <v>4</v>
      </c>
      <c r="H16" s="5">
        <v>4</v>
      </c>
      <c r="I16" s="5">
        <v>3</v>
      </c>
      <c r="J16" s="5">
        <v>2</v>
      </c>
      <c r="K16" s="5">
        <v>3</v>
      </c>
      <c r="L16" s="5">
        <v>4</v>
      </c>
      <c r="M16" s="5">
        <v>4</v>
      </c>
      <c r="N16" s="16">
        <f t="shared" si="0"/>
        <v>3.75</v>
      </c>
      <c r="O16" s="5" t="str" cm="1">
        <f t="array" ref="O16">_xlfn.SWITCH(TRUE, N16&lt;=$S$7, "Low", N16&gt;=$S$8, "High", "Moderate")</f>
        <v>High</v>
      </c>
      <c r="P16" s="5" t="str" cm="1">
        <f t="array" ref="P16">_xlfn.SWITCH(TRUE, N16&gt;=3.5, "High", N16&gt;=2.5, "Moderate", "Low")</f>
        <v>High</v>
      </c>
      <c r="Q16" s="5" t="str">
        <f t="shared" si="1"/>
        <v>High</v>
      </c>
      <c r="R16" s="5" t="str" cm="1">
        <f t="array" ref="R16">_xlfn.SWITCH(TRUE, N16&gt;=3, "High", "Low")</f>
        <v>High</v>
      </c>
    </row>
    <row r="17" spans="1:18" x14ac:dyDescent="0.35">
      <c r="A17">
        <v>14</v>
      </c>
      <c r="B17" s="5">
        <v>3</v>
      </c>
      <c r="C17" s="5">
        <v>5</v>
      </c>
      <c r="D17" s="5">
        <v>4</v>
      </c>
      <c r="E17" s="5">
        <v>5</v>
      </c>
      <c r="F17" s="5">
        <v>4</v>
      </c>
      <c r="G17" s="5">
        <v>3</v>
      </c>
      <c r="H17" s="5">
        <v>4</v>
      </c>
      <c r="I17" s="5">
        <v>4</v>
      </c>
      <c r="J17" s="5">
        <v>3</v>
      </c>
      <c r="K17" s="5">
        <v>3</v>
      </c>
      <c r="L17" s="5">
        <v>4</v>
      </c>
      <c r="M17" s="5">
        <v>5</v>
      </c>
      <c r="N17" s="16">
        <f t="shared" si="0"/>
        <v>3.9166666666666665</v>
      </c>
      <c r="O17" s="5" t="str" cm="1">
        <f t="array" ref="O17">_xlfn.SWITCH(TRUE, N17&lt;=$S$7, "Low", N17&gt;=$S$8, "High", "Moderate")</f>
        <v>High</v>
      </c>
      <c r="P17" s="5" t="str" cm="1">
        <f t="array" ref="P17">_xlfn.SWITCH(TRUE, N17&gt;=3.5, "High", N17&gt;=2.5, "Moderate", "Low")</f>
        <v>High</v>
      </c>
      <c r="Q17" s="5" t="str">
        <f t="shared" si="1"/>
        <v>High</v>
      </c>
      <c r="R17" s="5" t="str" cm="1">
        <f t="array" ref="R17">_xlfn.SWITCH(TRUE, N17&gt;=3, "High", "Low")</f>
        <v>High</v>
      </c>
    </row>
    <row r="18" spans="1:18" x14ac:dyDescent="0.35">
      <c r="A18">
        <v>15</v>
      </c>
      <c r="B18" s="5">
        <v>4</v>
      </c>
      <c r="C18" s="5">
        <v>2</v>
      </c>
      <c r="D18" s="5">
        <v>4</v>
      </c>
      <c r="E18" s="5">
        <v>2</v>
      </c>
      <c r="F18" s="5">
        <v>5</v>
      </c>
      <c r="G18" s="5">
        <v>2</v>
      </c>
      <c r="H18" s="5">
        <v>4</v>
      </c>
      <c r="I18" s="5">
        <v>2</v>
      </c>
      <c r="J18" s="5">
        <v>3</v>
      </c>
      <c r="K18" s="5">
        <v>3</v>
      </c>
      <c r="L18" s="5">
        <v>4</v>
      </c>
      <c r="M18" s="5">
        <v>3</v>
      </c>
      <c r="N18" s="16">
        <f t="shared" si="0"/>
        <v>3.1666666666666665</v>
      </c>
      <c r="O18" s="5" t="str" cm="1">
        <f t="array" ref="O18">_xlfn.SWITCH(TRUE, N18&lt;=$S$7, "Low", N18&gt;=$S$8, "High", "Moderate")</f>
        <v>Moderate</v>
      </c>
      <c r="P18" s="5" t="str" cm="1">
        <f t="array" ref="P18">_xlfn.SWITCH(TRUE, N18&gt;=3.5, "High", N18&gt;=2.5, "Moderate", "Low")</f>
        <v>Moderate</v>
      </c>
      <c r="Q18" s="5" t="str">
        <f t="shared" si="1"/>
        <v>Low</v>
      </c>
      <c r="R18" s="5" t="str" cm="1">
        <f t="array" ref="R18">_xlfn.SWITCH(TRUE, N18&gt;=3, "High", "Low")</f>
        <v>High</v>
      </c>
    </row>
    <row r="19" spans="1:18" x14ac:dyDescent="0.35">
      <c r="A19">
        <v>16</v>
      </c>
      <c r="B19" s="5">
        <v>5</v>
      </c>
      <c r="C19" s="5">
        <v>1</v>
      </c>
      <c r="D19" s="5">
        <v>5</v>
      </c>
      <c r="E19" s="5">
        <v>3</v>
      </c>
      <c r="F19" s="5">
        <v>4</v>
      </c>
      <c r="G19" s="5">
        <v>5</v>
      </c>
      <c r="H19" s="5">
        <v>5</v>
      </c>
      <c r="I19" s="5">
        <v>5</v>
      </c>
      <c r="J19" s="5">
        <v>5</v>
      </c>
      <c r="K19" s="5">
        <v>2</v>
      </c>
      <c r="L19" s="5">
        <v>4</v>
      </c>
      <c r="M19" s="5">
        <v>5</v>
      </c>
      <c r="N19" s="16">
        <f t="shared" si="0"/>
        <v>4.083333333333333</v>
      </c>
      <c r="O19" s="5" t="str" cm="1">
        <f t="array" ref="O19">_xlfn.SWITCH(TRUE, N19&lt;=$S$7, "Low", N19&gt;=$S$8, "High", "Moderate")</f>
        <v>High</v>
      </c>
      <c r="P19" s="5" t="str" cm="1">
        <f t="array" ref="P19">_xlfn.SWITCH(TRUE, N19&gt;=3.5, "High", N19&gt;=2.5, "Moderate", "Low")</f>
        <v>High</v>
      </c>
      <c r="Q19" s="5" t="str">
        <f t="shared" si="1"/>
        <v>High</v>
      </c>
      <c r="R19" s="5" t="str" cm="1">
        <f t="array" ref="R19">_xlfn.SWITCH(TRUE, N19&gt;=3, "High", "Low")</f>
        <v>High</v>
      </c>
    </row>
    <row r="20" spans="1:18" x14ac:dyDescent="0.35">
      <c r="A20">
        <v>17</v>
      </c>
      <c r="B20" s="5">
        <v>4</v>
      </c>
      <c r="C20" s="5">
        <v>2</v>
      </c>
      <c r="D20" s="5">
        <v>4</v>
      </c>
      <c r="E20" s="5">
        <v>3</v>
      </c>
      <c r="F20" s="5">
        <v>3</v>
      </c>
      <c r="G20" s="5">
        <v>3</v>
      </c>
      <c r="H20" s="5">
        <v>3</v>
      </c>
      <c r="I20" s="5">
        <v>3</v>
      </c>
      <c r="J20" s="5">
        <v>4</v>
      </c>
      <c r="K20" s="5">
        <v>3</v>
      </c>
      <c r="L20" s="5">
        <v>3</v>
      </c>
      <c r="M20" s="5">
        <v>3</v>
      </c>
      <c r="N20" s="16">
        <f t="shared" si="0"/>
        <v>3.1666666666666665</v>
      </c>
      <c r="O20" s="5" t="str" cm="1">
        <f t="array" ref="O20">_xlfn.SWITCH(TRUE, N20&lt;=$S$7, "Low", N20&gt;=$S$8, "High", "Moderate")</f>
        <v>Moderate</v>
      </c>
      <c r="P20" s="5" t="str" cm="1">
        <f t="array" ref="P20">_xlfn.SWITCH(TRUE, N20&gt;=3.5, "High", N20&gt;=2.5, "Moderate", "Low")</f>
        <v>Moderate</v>
      </c>
      <c r="Q20" s="5" t="str">
        <f t="shared" si="1"/>
        <v>Low</v>
      </c>
      <c r="R20" s="5" t="str" cm="1">
        <f t="array" ref="R20">_xlfn.SWITCH(TRUE, N20&gt;=3, "High", "Low")</f>
        <v>High</v>
      </c>
    </row>
    <row r="21" spans="1:18" x14ac:dyDescent="0.35">
      <c r="A21">
        <v>18</v>
      </c>
      <c r="B21" s="5">
        <v>4</v>
      </c>
      <c r="C21" s="5">
        <v>3</v>
      </c>
      <c r="D21" s="5">
        <v>3</v>
      </c>
      <c r="E21" s="5">
        <v>3</v>
      </c>
      <c r="F21" s="5">
        <v>3</v>
      </c>
      <c r="G21" s="5">
        <v>2</v>
      </c>
      <c r="H21" s="5">
        <v>4</v>
      </c>
      <c r="I21" s="5">
        <v>3</v>
      </c>
      <c r="J21" s="5">
        <v>3</v>
      </c>
      <c r="K21" s="5">
        <v>3</v>
      </c>
      <c r="L21" s="5">
        <v>3</v>
      </c>
      <c r="M21" s="5">
        <v>3</v>
      </c>
      <c r="N21" s="16">
        <f t="shared" si="0"/>
        <v>3.0833333333333335</v>
      </c>
      <c r="O21" s="5" t="str" cm="1">
        <f t="array" ref="O21">_xlfn.SWITCH(TRUE, N21&lt;=$S$7, "Low", N21&gt;=$S$8, "High", "Moderate")</f>
        <v>Moderate</v>
      </c>
      <c r="P21" s="5" t="str" cm="1">
        <f t="array" ref="P21">_xlfn.SWITCH(TRUE, N21&gt;=3.5, "High", N21&gt;=2.5, "Moderate", "Low")</f>
        <v>Moderate</v>
      </c>
      <c r="Q21" s="5" t="str">
        <f t="shared" si="1"/>
        <v>Low</v>
      </c>
      <c r="R21" s="5" t="str" cm="1">
        <f t="array" ref="R21">_xlfn.SWITCH(TRUE, N21&gt;=3, "High", "Low")</f>
        <v>High</v>
      </c>
    </row>
    <row r="22" spans="1:18" x14ac:dyDescent="0.35">
      <c r="A22">
        <v>19</v>
      </c>
      <c r="B22" s="5">
        <v>4</v>
      </c>
      <c r="C22" s="5">
        <v>2</v>
      </c>
      <c r="D22" s="5">
        <v>3</v>
      </c>
      <c r="E22" s="5">
        <v>1</v>
      </c>
      <c r="F22" s="5">
        <v>2</v>
      </c>
      <c r="G22" s="5">
        <v>4</v>
      </c>
      <c r="H22" s="5">
        <v>2</v>
      </c>
      <c r="I22" s="5">
        <v>3</v>
      </c>
      <c r="J22" s="5">
        <v>3</v>
      </c>
      <c r="K22" s="5">
        <v>2</v>
      </c>
      <c r="L22" s="5">
        <v>3</v>
      </c>
      <c r="M22" s="5">
        <v>3</v>
      </c>
      <c r="N22" s="16">
        <f t="shared" si="0"/>
        <v>2.6666666666666665</v>
      </c>
      <c r="O22" s="5" t="str" cm="1">
        <f t="array" ref="O22">_xlfn.SWITCH(TRUE, N22&lt;=$S$7, "Low", N22&gt;=$S$8, "High", "Moderate")</f>
        <v>Low</v>
      </c>
      <c r="P22" s="5" t="str" cm="1">
        <f t="array" ref="P22">_xlfn.SWITCH(TRUE, N22&gt;=3.5, "High", N22&gt;=2.5, "Moderate", "Low")</f>
        <v>Moderate</v>
      </c>
      <c r="Q22" s="5" t="str">
        <f t="shared" si="1"/>
        <v>Low</v>
      </c>
      <c r="R22" s="5" t="str" cm="1">
        <f t="array" ref="R22">_xlfn.SWITCH(TRUE, N22&gt;=3, "High", "Low")</f>
        <v>Low</v>
      </c>
    </row>
    <row r="23" spans="1:18" x14ac:dyDescent="0.35">
      <c r="A23">
        <v>20</v>
      </c>
      <c r="B23" s="5">
        <v>2</v>
      </c>
      <c r="C23" s="5">
        <v>1</v>
      </c>
      <c r="D23" s="5">
        <v>1</v>
      </c>
      <c r="E23" s="5">
        <v>1</v>
      </c>
      <c r="F23" s="5">
        <v>1</v>
      </c>
      <c r="G23" s="5">
        <v>1</v>
      </c>
      <c r="H23" s="5">
        <v>2</v>
      </c>
      <c r="I23" s="5">
        <v>1</v>
      </c>
      <c r="J23" s="5">
        <v>3</v>
      </c>
      <c r="K23" s="5">
        <v>5</v>
      </c>
      <c r="L23" s="5">
        <v>1</v>
      </c>
      <c r="M23" s="5">
        <v>1</v>
      </c>
      <c r="N23" s="16">
        <f t="shared" si="0"/>
        <v>1.6666666666666667</v>
      </c>
      <c r="O23" s="5" t="str" cm="1">
        <f t="array" ref="O23">_xlfn.SWITCH(TRUE, N23&lt;=$S$7, "Low", N23&gt;=$S$8, "High", "Moderate")</f>
        <v>Low</v>
      </c>
      <c r="P23" s="5" t="str" cm="1">
        <f t="array" ref="P23">_xlfn.SWITCH(TRUE, N23&gt;=3.5, "High", N23&gt;=2.5, "Moderate", "Low")</f>
        <v>Low</v>
      </c>
      <c r="Q23" s="5" t="str">
        <f t="shared" si="1"/>
        <v>Low</v>
      </c>
      <c r="R23" s="5" t="str" cm="1">
        <f t="array" ref="R23">_xlfn.SWITCH(TRUE, N23&gt;=3, "High", "Low")</f>
        <v>Low</v>
      </c>
    </row>
    <row r="24" spans="1:18" x14ac:dyDescent="0.35">
      <c r="A24">
        <v>21</v>
      </c>
      <c r="B24" s="5">
        <v>3</v>
      </c>
      <c r="C24" s="5">
        <v>1</v>
      </c>
      <c r="D24" s="5">
        <v>2</v>
      </c>
      <c r="E24" s="5">
        <v>3</v>
      </c>
      <c r="F24" s="5">
        <v>4</v>
      </c>
      <c r="G24" s="5">
        <v>3</v>
      </c>
      <c r="H24" s="5">
        <v>2</v>
      </c>
      <c r="I24" s="5">
        <v>1</v>
      </c>
      <c r="J24" s="5">
        <v>2</v>
      </c>
      <c r="K24" s="5">
        <v>1</v>
      </c>
      <c r="L24" s="5">
        <v>4</v>
      </c>
      <c r="M24" s="5">
        <v>2</v>
      </c>
      <c r="N24" s="16">
        <f t="shared" si="0"/>
        <v>2.3333333333333335</v>
      </c>
      <c r="O24" s="5" t="str" cm="1">
        <f t="array" ref="O24">_xlfn.SWITCH(TRUE, N24&lt;=$S$7, "Low", N24&gt;=$S$8, "High", "Moderate")</f>
        <v>Low</v>
      </c>
      <c r="P24" s="5" t="str" cm="1">
        <f t="array" ref="P24">_xlfn.SWITCH(TRUE, N24&gt;=3.5, "High", N24&gt;=2.5, "Moderate", "Low")</f>
        <v>Low</v>
      </c>
      <c r="Q24" s="5" t="str">
        <f t="shared" si="1"/>
        <v>Low</v>
      </c>
      <c r="R24" s="5" t="str" cm="1">
        <f t="array" ref="R24">_xlfn.SWITCH(TRUE, N24&gt;=3, "High", "Low")</f>
        <v>Low</v>
      </c>
    </row>
    <row r="25" spans="1:18" x14ac:dyDescent="0.35">
      <c r="A25">
        <v>22</v>
      </c>
      <c r="B25" s="5">
        <v>3</v>
      </c>
      <c r="C25" s="5">
        <v>2</v>
      </c>
      <c r="D25" s="5">
        <v>4</v>
      </c>
      <c r="E25" s="5">
        <v>4</v>
      </c>
      <c r="F25" s="5">
        <v>4</v>
      </c>
      <c r="G25" s="5">
        <v>4</v>
      </c>
      <c r="H25" s="5">
        <v>2</v>
      </c>
      <c r="I25" s="5">
        <v>4</v>
      </c>
      <c r="J25" s="5">
        <v>3</v>
      </c>
      <c r="K25" s="5">
        <v>4</v>
      </c>
      <c r="L25" s="5">
        <v>3</v>
      </c>
      <c r="M25" s="5">
        <v>5</v>
      </c>
      <c r="N25" s="16">
        <f t="shared" si="0"/>
        <v>3.5</v>
      </c>
      <c r="O25" s="5" t="str" cm="1">
        <f t="array" ref="O25">_xlfn.SWITCH(TRUE, N25&lt;=$S$7, "Low", N25&gt;=$S$8, "High", "Moderate")</f>
        <v>High</v>
      </c>
      <c r="P25" s="5" t="str" cm="1">
        <f t="array" ref="P25">_xlfn.SWITCH(TRUE, N25&gt;=3.5, "High", N25&gt;=2.5, "Moderate", "Low")</f>
        <v>High</v>
      </c>
      <c r="Q25" s="5" t="str">
        <f t="shared" si="1"/>
        <v>High</v>
      </c>
      <c r="R25" s="5" t="str" cm="1">
        <f t="array" ref="R25">_xlfn.SWITCH(TRUE, N25&gt;=3, "High", "Low")</f>
        <v>High</v>
      </c>
    </row>
    <row r="26" spans="1:18" x14ac:dyDescent="0.35">
      <c r="A26">
        <v>23</v>
      </c>
      <c r="B26" s="5">
        <v>3</v>
      </c>
      <c r="C26" s="5">
        <v>3</v>
      </c>
      <c r="D26" s="5">
        <v>3</v>
      </c>
      <c r="E26" s="5">
        <v>3</v>
      </c>
      <c r="F26" s="5">
        <v>3</v>
      </c>
      <c r="G26" s="5">
        <v>2</v>
      </c>
      <c r="H26" s="5">
        <v>3</v>
      </c>
      <c r="I26" s="5">
        <v>3</v>
      </c>
      <c r="J26" s="5">
        <v>3</v>
      </c>
      <c r="K26" s="5">
        <v>2</v>
      </c>
      <c r="L26" s="5">
        <v>3</v>
      </c>
      <c r="M26" s="5">
        <v>3</v>
      </c>
      <c r="N26" s="16">
        <f t="shared" si="0"/>
        <v>2.8333333333333335</v>
      </c>
      <c r="O26" s="5" t="str" cm="1">
        <f t="array" ref="O26">_xlfn.SWITCH(TRUE, N26&lt;=$S$7, "Low", N26&gt;=$S$8, "High", "Moderate")</f>
        <v>Low</v>
      </c>
      <c r="P26" s="5" t="str" cm="1">
        <f t="array" ref="P26">_xlfn.SWITCH(TRUE, N26&gt;=3.5, "High", N26&gt;=2.5, "Moderate", "Low")</f>
        <v>Moderate</v>
      </c>
      <c r="Q26" s="5" t="str">
        <f t="shared" si="1"/>
        <v>Low</v>
      </c>
      <c r="R26" s="5" t="str" cm="1">
        <f t="array" ref="R26">_xlfn.SWITCH(TRUE, N26&gt;=3, "High", "Low")</f>
        <v>Low</v>
      </c>
    </row>
    <row r="27" spans="1:18" x14ac:dyDescent="0.35">
      <c r="A27">
        <v>24</v>
      </c>
      <c r="B27" s="5">
        <v>3</v>
      </c>
      <c r="C27" s="5">
        <v>1</v>
      </c>
      <c r="D27" s="5">
        <v>2</v>
      </c>
      <c r="E27" s="5">
        <v>2</v>
      </c>
      <c r="F27" s="5">
        <v>2</v>
      </c>
      <c r="G27" s="5">
        <v>2</v>
      </c>
      <c r="H27" s="5">
        <v>2</v>
      </c>
      <c r="I27" s="5">
        <v>3</v>
      </c>
      <c r="J27" s="5">
        <v>2</v>
      </c>
      <c r="K27" s="5">
        <v>1</v>
      </c>
      <c r="L27" s="5">
        <v>2</v>
      </c>
      <c r="M27" s="5">
        <v>2</v>
      </c>
      <c r="N27" s="16">
        <f t="shared" si="0"/>
        <v>2</v>
      </c>
      <c r="O27" s="5" t="str" cm="1">
        <f t="array" ref="O27">_xlfn.SWITCH(TRUE, N27&lt;=$S$7, "Low", N27&gt;=$S$8, "High", "Moderate")</f>
        <v>Low</v>
      </c>
      <c r="P27" s="5" t="str" cm="1">
        <f t="array" ref="P27">_xlfn.SWITCH(TRUE, N27&gt;=3.5, "High", N27&gt;=2.5, "Moderate", "Low")</f>
        <v>Low</v>
      </c>
      <c r="Q27" s="5" t="str">
        <f t="shared" si="1"/>
        <v>Low</v>
      </c>
      <c r="R27" s="5" t="str" cm="1">
        <f t="array" ref="R27">_xlfn.SWITCH(TRUE, N27&gt;=3, "High", "Low")</f>
        <v>Low</v>
      </c>
    </row>
    <row r="28" spans="1:18" x14ac:dyDescent="0.35">
      <c r="A28">
        <v>25</v>
      </c>
      <c r="B28" s="5">
        <v>5</v>
      </c>
      <c r="C28" s="5">
        <v>5</v>
      </c>
      <c r="D28" s="5">
        <v>5</v>
      </c>
      <c r="E28" s="5">
        <v>5</v>
      </c>
      <c r="F28" s="5">
        <v>5</v>
      </c>
      <c r="G28" s="5">
        <v>5</v>
      </c>
      <c r="H28" s="5">
        <v>5</v>
      </c>
      <c r="I28" s="5">
        <v>5</v>
      </c>
      <c r="J28" s="5">
        <v>5</v>
      </c>
      <c r="K28" s="5">
        <v>4</v>
      </c>
      <c r="L28" s="5">
        <v>5</v>
      </c>
      <c r="M28" s="5">
        <v>5</v>
      </c>
      <c r="N28" s="16">
        <f t="shared" si="0"/>
        <v>4.916666666666667</v>
      </c>
      <c r="O28" s="5" t="str" cm="1">
        <f t="array" ref="O28">_xlfn.SWITCH(TRUE, N28&lt;=$S$7, "Low", N28&gt;=$S$8, "High", "Moderate")</f>
        <v>High</v>
      </c>
      <c r="P28" s="5" t="str" cm="1">
        <f t="array" ref="P28">_xlfn.SWITCH(TRUE, N28&gt;=3.5, "High", N28&gt;=2.5, "Moderate", "Low")</f>
        <v>High</v>
      </c>
      <c r="Q28" s="5" t="str">
        <f t="shared" si="1"/>
        <v>High</v>
      </c>
      <c r="R28" s="5" t="str" cm="1">
        <f t="array" ref="R28">_xlfn.SWITCH(TRUE, N28&gt;=3, "High", "Low")</f>
        <v>High</v>
      </c>
    </row>
    <row r="29" spans="1:18" x14ac:dyDescent="0.35">
      <c r="A29">
        <v>26</v>
      </c>
      <c r="B29" s="5">
        <v>1</v>
      </c>
      <c r="C29" s="5">
        <v>1</v>
      </c>
      <c r="D29" s="5">
        <v>1</v>
      </c>
      <c r="E29" s="5">
        <v>1</v>
      </c>
      <c r="F29" s="5">
        <v>1</v>
      </c>
      <c r="G29" s="5">
        <v>1</v>
      </c>
      <c r="H29" s="5">
        <v>1</v>
      </c>
      <c r="I29" s="5">
        <v>1</v>
      </c>
      <c r="J29" s="5">
        <v>1</v>
      </c>
      <c r="K29" s="5">
        <v>1</v>
      </c>
      <c r="L29" s="5">
        <v>1</v>
      </c>
      <c r="M29" s="5">
        <v>1</v>
      </c>
      <c r="N29" s="16">
        <f t="shared" si="0"/>
        <v>1</v>
      </c>
      <c r="O29" s="5" t="str" cm="1">
        <f t="array" ref="O29">_xlfn.SWITCH(TRUE, N29&lt;=$S$7, "Low", N29&gt;=$S$8, "High", "Moderate")</f>
        <v>Low</v>
      </c>
      <c r="P29" s="5" t="str" cm="1">
        <f t="array" ref="P29">_xlfn.SWITCH(TRUE, N29&gt;=3.5, "High", N29&gt;=2.5, "Moderate", "Low")</f>
        <v>Low</v>
      </c>
      <c r="Q29" s="5" t="str">
        <f t="shared" si="1"/>
        <v>Low</v>
      </c>
      <c r="R29" s="5" t="str" cm="1">
        <f t="array" ref="R29">_xlfn.SWITCH(TRUE, N29&gt;=3, "High", "Low")</f>
        <v>Low</v>
      </c>
    </row>
    <row r="30" spans="1:18" x14ac:dyDescent="0.35">
      <c r="A30">
        <v>27</v>
      </c>
      <c r="B30" s="5">
        <v>5</v>
      </c>
      <c r="C30" s="5">
        <v>3</v>
      </c>
      <c r="D30" s="5">
        <v>4</v>
      </c>
      <c r="E30" s="5">
        <v>4</v>
      </c>
      <c r="F30" s="5">
        <v>3</v>
      </c>
      <c r="G30" s="5">
        <v>2</v>
      </c>
      <c r="H30" s="5">
        <v>5</v>
      </c>
      <c r="I30" s="5">
        <v>5</v>
      </c>
      <c r="J30" s="5">
        <v>5</v>
      </c>
      <c r="K30" s="5">
        <v>4</v>
      </c>
      <c r="L30" s="5">
        <v>3</v>
      </c>
      <c r="M30" s="5">
        <v>4</v>
      </c>
      <c r="N30" s="16">
        <f t="shared" si="0"/>
        <v>3.9166666666666665</v>
      </c>
      <c r="O30" s="5" t="str" cm="1">
        <f t="array" ref="O30">_xlfn.SWITCH(TRUE, N30&lt;=$S$7, "Low", N30&gt;=$S$8, "High", "Moderate")</f>
        <v>High</v>
      </c>
      <c r="P30" s="5" t="str" cm="1">
        <f t="array" ref="P30">_xlfn.SWITCH(TRUE, N30&gt;=3.5, "High", N30&gt;=2.5, "Moderate", "Low")</f>
        <v>High</v>
      </c>
      <c r="Q30" s="5" t="str">
        <f t="shared" si="1"/>
        <v>High</v>
      </c>
      <c r="R30" s="5" t="str" cm="1">
        <f t="array" ref="R30">_xlfn.SWITCH(TRUE, N30&gt;=3, "High", "Low")</f>
        <v>High</v>
      </c>
    </row>
    <row r="31" spans="1:18" x14ac:dyDescent="0.35">
      <c r="A31">
        <v>28</v>
      </c>
      <c r="B31" s="5">
        <v>5</v>
      </c>
      <c r="C31" s="5">
        <v>4</v>
      </c>
      <c r="D31" s="5">
        <v>5</v>
      </c>
      <c r="E31" s="5">
        <v>5</v>
      </c>
      <c r="F31" s="5">
        <v>4</v>
      </c>
      <c r="G31" s="5">
        <v>5</v>
      </c>
      <c r="H31" s="5">
        <v>5</v>
      </c>
      <c r="I31" s="5">
        <v>5</v>
      </c>
      <c r="J31" s="5">
        <v>5</v>
      </c>
      <c r="K31" s="5">
        <v>3</v>
      </c>
      <c r="L31" s="5">
        <v>5</v>
      </c>
      <c r="M31" s="5">
        <v>5</v>
      </c>
      <c r="N31" s="16">
        <f t="shared" si="0"/>
        <v>4.666666666666667</v>
      </c>
      <c r="O31" s="5" t="str" cm="1">
        <f t="array" ref="O31">_xlfn.SWITCH(TRUE, N31&lt;=$S$7, "Low", N31&gt;=$S$8, "High", "Moderate")</f>
        <v>High</v>
      </c>
      <c r="P31" s="5" t="str" cm="1">
        <f t="array" ref="P31">_xlfn.SWITCH(TRUE, N31&gt;=3.5, "High", N31&gt;=2.5, "Moderate", "Low")</f>
        <v>High</v>
      </c>
      <c r="Q31" s="5" t="str">
        <f t="shared" si="1"/>
        <v>High</v>
      </c>
      <c r="R31" s="5" t="str" cm="1">
        <f t="array" ref="R31">_xlfn.SWITCH(TRUE, N31&gt;=3, "High", "Low")</f>
        <v>High</v>
      </c>
    </row>
    <row r="32" spans="1:18" x14ac:dyDescent="0.35">
      <c r="A32">
        <v>29</v>
      </c>
      <c r="B32" s="5">
        <v>2</v>
      </c>
      <c r="C32" s="5">
        <v>2</v>
      </c>
      <c r="D32" s="5">
        <v>2</v>
      </c>
      <c r="E32" s="5">
        <v>3</v>
      </c>
      <c r="F32" s="5">
        <v>3</v>
      </c>
      <c r="G32" s="5">
        <v>2</v>
      </c>
      <c r="H32" s="5">
        <v>4</v>
      </c>
      <c r="I32" s="5">
        <v>2</v>
      </c>
      <c r="J32" s="5">
        <v>3</v>
      </c>
      <c r="K32" s="5">
        <v>3</v>
      </c>
      <c r="L32" s="5">
        <v>2</v>
      </c>
      <c r="M32" s="5">
        <v>3</v>
      </c>
      <c r="N32" s="16">
        <f t="shared" si="0"/>
        <v>2.5833333333333335</v>
      </c>
      <c r="O32" s="5" t="str" cm="1">
        <f t="array" ref="O32">_xlfn.SWITCH(TRUE, N32&lt;=$S$7, "Low", N32&gt;=$S$8, "High", "Moderate")</f>
        <v>Low</v>
      </c>
      <c r="P32" s="5" t="str" cm="1">
        <f t="array" ref="P32">_xlfn.SWITCH(TRUE, N32&gt;=3.5, "High", N32&gt;=2.5, "Moderate", "Low")</f>
        <v>Moderate</v>
      </c>
      <c r="Q32" s="5" t="str">
        <f t="shared" si="1"/>
        <v>Low</v>
      </c>
      <c r="R32" s="5" t="str" cm="1">
        <f t="array" ref="R32">_xlfn.SWITCH(TRUE, N32&gt;=3, "High", "Low")</f>
        <v>Low</v>
      </c>
    </row>
    <row r="33" spans="1:18" x14ac:dyDescent="0.35">
      <c r="A33">
        <v>30</v>
      </c>
      <c r="B33" s="5">
        <v>3</v>
      </c>
      <c r="C33" s="5">
        <v>2</v>
      </c>
      <c r="D33" s="5">
        <v>3</v>
      </c>
      <c r="E33" s="5">
        <v>3</v>
      </c>
      <c r="F33" s="5">
        <v>4</v>
      </c>
      <c r="G33" s="5">
        <v>4</v>
      </c>
      <c r="H33" s="5">
        <v>3</v>
      </c>
      <c r="I33" s="5">
        <v>4</v>
      </c>
      <c r="J33" s="5">
        <v>4</v>
      </c>
      <c r="K33" s="5">
        <v>3</v>
      </c>
      <c r="L33" s="5">
        <v>1</v>
      </c>
      <c r="M33" s="5">
        <v>5</v>
      </c>
      <c r="N33" s="16">
        <f t="shared" si="0"/>
        <v>3.25</v>
      </c>
      <c r="O33" s="5" t="str" cm="1">
        <f t="array" ref="O33">_xlfn.SWITCH(TRUE, N33&lt;=$S$7, "Low", N33&gt;=$S$8, "High", "Moderate")</f>
        <v>Moderate</v>
      </c>
      <c r="P33" s="5" t="str" cm="1">
        <f t="array" ref="P33">_xlfn.SWITCH(TRUE, N33&gt;=3.5, "High", N33&gt;=2.5, "Moderate", "Low")</f>
        <v>Moderate</v>
      </c>
      <c r="Q33" s="5" t="str">
        <f t="shared" si="1"/>
        <v>High</v>
      </c>
      <c r="R33" s="5" t="str" cm="1">
        <f t="array" ref="R33">_xlfn.SWITCH(TRUE, N33&gt;=3, "High", "Low")</f>
        <v>High</v>
      </c>
    </row>
    <row r="34" spans="1:18" x14ac:dyDescent="0.35">
      <c r="A34">
        <v>31</v>
      </c>
      <c r="B34" s="5">
        <v>5</v>
      </c>
      <c r="C34" s="5">
        <v>2</v>
      </c>
      <c r="D34" s="5">
        <v>3</v>
      </c>
      <c r="E34" s="5">
        <v>3</v>
      </c>
      <c r="F34" s="5">
        <v>3</v>
      </c>
      <c r="G34" s="5">
        <v>3</v>
      </c>
      <c r="H34" s="5">
        <v>3</v>
      </c>
      <c r="I34" s="5">
        <v>3</v>
      </c>
      <c r="J34" s="5">
        <v>3</v>
      </c>
      <c r="K34" s="5">
        <v>2</v>
      </c>
      <c r="L34" s="5">
        <v>3</v>
      </c>
      <c r="M34" s="5">
        <v>3</v>
      </c>
      <c r="N34" s="16">
        <f t="shared" si="0"/>
        <v>3</v>
      </c>
      <c r="O34" s="5" t="str" cm="1">
        <f t="array" ref="O34">_xlfn.SWITCH(TRUE, N34&lt;=$S$7, "Low", N34&gt;=$S$8, "High", "Moderate")</f>
        <v>Moderate</v>
      </c>
      <c r="P34" s="5" t="str" cm="1">
        <f t="array" ref="P34">_xlfn.SWITCH(TRUE, N34&gt;=3.5, "High", N34&gt;=2.5, "Moderate", "Low")</f>
        <v>Moderate</v>
      </c>
      <c r="Q34" s="5" t="str">
        <f t="shared" si="1"/>
        <v>Low</v>
      </c>
      <c r="R34" s="5" t="str" cm="1">
        <f t="array" ref="R34">_xlfn.SWITCH(TRUE, N34&gt;=3, "High", "Low")</f>
        <v>High</v>
      </c>
    </row>
    <row r="35" spans="1:18" x14ac:dyDescent="0.35">
      <c r="A35">
        <v>32</v>
      </c>
      <c r="B35" s="5">
        <v>4</v>
      </c>
      <c r="C35" s="5">
        <v>3</v>
      </c>
      <c r="D35" s="5">
        <v>3</v>
      </c>
      <c r="E35" s="5">
        <v>4</v>
      </c>
      <c r="F35" s="5">
        <v>2</v>
      </c>
      <c r="G35" s="5">
        <v>2</v>
      </c>
      <c r="H35" s="5">
        <v>2</v>
      </c>
      <c r="I35" s="5">
        <v>2</v>
      </c>
      <c r="J35" s="5">
        <v>3</v>
      </c>
      <c r="K35" s="5">
        <v>1</v>
      </c>
      <c r="L35" s="5">
        <v>3</v>
      </c>
      <c r="M35" s="5">
        <v>2</v>
      </c>
      <c r="N35" s="16">
        <f t="shared" si="0"/>
        <v>2.5833333333333335</v>
      </c>
      <c r="O35" s="5" t="str" cm="1">
        <f t="array" ref="O35">_xlfn.SWITCH(TRUE, N35&lt;=$S$7, "Low", N35&gt;=$S$8, "High", "Moderate")</f>
        <v>Low</v>
      </c>
      <c r="P35" s="5" t="str" cm="1">
        <f t="array" ref="P35">_xlfn.SWITCH(TRUE, N35&gt;=3.5, "High", N35&gt;=2.5, "Moderate", "Low")</f>
        <v>Moderate</v>
      </c>
      <c r="Q35" s="5" t="str">
        <f t="shared" si="1"/>
        <v>Low</v>
      </c>
      <c r="R35" s="5" t="str" cm="1">
        <f t="array" ref="R35">_xlfn.SWITCH(TRUE, N35&gt;=3, "High", "Low")</f>
        <v>Low</v>
      </c>
    </row>
    <row r="36" spans="1:18" x14ac:dyDescent="0.35">
      <c r="A36">
        <v>33</v>
      </c>
      <c r="B36" s="5">
        <v>2</v>
      </c>
      <c r="C36" s="5">
        <v>2</v>
      </c>
      <c r="D36" s="5">
        <v>4</v>
      </c>
      <c r="E36" s="5">
        <v>1</v>
      </c>
      <c r="F36" s="5">
        <v>1</v>
      </c>
      <c r="G36" s="5">
        <v>2</v>
      </c>
      <c r="H36" s="5">
        <v>3</v>
      </c>
      <c r="I36" s="5">
        <v>2</v>
      </c>
      <c r="J36" s="5">
        <v>4</v>
      </c>
      <c r="K36" s="5">
        <v>1</v>
      </c>
      <c r="L36" s="5">
        <v>2</v>
      </c>
      <c r="M36" s="5">
        <v>2</v>
      </c>
      <c r="N36" s="16">
        <f t="shared" ref="N36:N67" si="2">AVERAGE(B36:M36)</f>
        <v>2.1666666666666665</v>
      </c>
      <c r="O36" s="5" t="str" cm="1">
        <f t="array" ref="O36">_xlfn.SWITCH(TRUE, N36&lt;=$S$7, "Low", N36&gt;=$S$8, "High", "Moderate")</f>
        <v>Low</v>
      </c>
      <c r="P36" s="5" t="str" cm="1">
        <f t="array" ref="P36">_xlfn.SWITCH(TRUE, N36&gt;=3.5, "High", N36&gt;=2.5, "Moderate", "Low")</f>
        <v>Low</v>
      </c>
      <c r="Q36" s="5" t="str">
        <f t="shared" ref="Q36:Q67" si="3">_xlfn.SWITCH(TRUE, N36&lt;=$S$9, "Low", "High")</f>
        <v>Low</v>
      </c>
      <c r="R36" s="5" t="str" cm="1">
        <f t="array" ref="R36">_xlfn.SWITCH(TRUE, N36&gt;=3, "High", "Low")</f>
        <v>Low</v>
      </c>
    </row>
    <row r="37" spans="1:18" x14ac:dyDescent="0.35">
      <c r="A37">
        <v>34</v>
      </c>
      <c r="B37" s="5">
        <v>3</v>
      </c>
      <c r="C37" s="5">
        <v>3</v>
      </c>
      <c r="D37" s="5">
        <v>3</v>
      </c>
      <c r="E37" s="5">
        <v>3</v>
      </c>
      <c r="F37" s="5">
        <v>2</v>
      </c>
      <c r="G37" s="5">
        <v>4</v>
      </c>
      <c r="H37" s="5">
        <v>4</v>
      </c>
      <c r="I37" s="5">
        <v>3</v>
      </c>
      <c r="J37" s="5">
        <v>3</v>
      </c>
      <c r="K37" s="5">
        <v>2</v>
      </c>
      <c r="L37" s="5">
        <v>4</v>
      </c>
      <c r="M37" s="5">
        <v>3</v>
      </c>
      <c r="N37" s="16">
        <f t="shared" si="2"/>
        <v>3.0833333333333335</v>
      </c>
      <c r="O37" s="5" t="str" cm="1">
        <f t="array" ref="O37">_xlfn.SWITCH(TRUE, N37&lt;=$S$7, "Low", N37&gt;=$S$8, "High", "Moderate")</f>
        <v>Moderate</v>
      </c>
      <c r="P37" s="5" t="str" cm="1">
        <f t="array" ref="P37">_xlfn.SWITCH(TRUE, N37&gt;=3.5, "High", N37&gt;=2.5, "Moderate", "Low")</f>
        <v>Moderate</v>
      </c>
      <c r="Q37" s="5" t="str">
        <f t="shared" si="3"/>
        <v>Low</v>
      </c>
      <c r="R37" s="5" t="str" cm="1">
        <f t="array" ref="R37">_xlfn.SWITCH(TRUE, N37&gt;=3, "High", "Low")</f>
        <v>High</v>
      </c>
    </row>
    <row r="38" spans="1:18" x14ac:dyDescent="0.35">
      <c r="A38">
        <v>35</v>
      </c>
      <c r="B38" s="5">
        <v>5</v>
      </c>
      <c r="C38" s="5">
        <v>3</v>
      </c>
      <c r="D38" s="5">
        <v>5</v>
      </c>
      <c r="E38" s="5">
        <v>3</v>
      </c>
      <c r="F38" s="5">
        <v>5</v>
      </c>
      <c r="G38" s="5">
        <v>3</v>
      </c>
      <c r="H38" s="5">
        <v>4</v>
      </c>
      <c r="I38" s="5">
        <v>2</v>
      </c>
      <c r="J38" s="5">
        <v>5</v>
      </c>
      <c r="K38" s="5">
        <v>2</v>
      </c>
      <c r="L38" s="5">
        <v>5</v>
      </c>
      <c r="M38" s="5">
        <v>2</v>
      </c>
      <c r="N38" s="16">
        <f t="shared" si="2"/>
        <v>3.6666666666666665</v>
      </c>
      <c r="O38" s="5" t="str" cm="1">
        <f t="array" ref="O38">_xlfn.SWITCH(TRUE, N38&lt;=$S$7, "Low", N38&gt;=$S$8, "High", "Moderate")</f>
        <v>High</v>
      </c>
      <c r="P38" s="5" t="str" cm="1">
        <f t="array" ref="P38">_xlfn.SWITCH(TRUE, N38&gt;=3.5, "High", N38&gt;=2.5, "Moderate", "Low")</f>
        <v>High</v>
      </c>
      <c r="Q38" s="5" t="str">
        <f t="shared" si="3"/>
        <v>High</v>
      </c>
      <c r="R38" s="5" t="str" cm="1">
        <f t="array" ref="R38">_xlfn.SWITCH(TRUE, N38&gt;=3, "High", "Low")</f>
        <v>High</v>
      </c>
    </row>
    <row r="39" spans="1:18" x14ac:dyDescent="0.35">
      <c r="A39">
        <v>36</v>
      </c>
      <c r="B39" s="5">
        <v>4</v>
      </c>
      <c r="C39" s="5">
        <v>4</v>
      </c>
      <c r="D39" s="5">
        <v>5</v>
      </c>
      <c r="E39" s="5">
        <v>3</v>
      </c>
      <c r="F39" s="5">
        <v>3</v>
      </c>
      <c r="G39" s="5">
        <v>4</v>
      </c>
      <c r="H39" s="5">
        <v>4</v>
      </c>
      <c r="I39" s="5">
        <v>4</v>
      </c>
      <c r="J39" s="5">
        <v>4</v>
      </c>
      <c r="K39" s="5">
        <v>3</v>
      </c>
      <c r="L39" s="5">
        <v>3</v>
      </c>
      <c r="M39" s="5">
        <v>4</v>
      </c>
      <c r="N39" s="16">
        <f t="shared" si="2"/>
        <v>3.75</v>
      </c>
      <c r="O39" s="5" t="str" cm="1">
        <f t="array" ref="O39">_xlfn.SWITCH(TRUE, N39&lt;=$S$7, "Low", N39&gt;=$S$8, "High", "Moderate")</f>
        <v>High</v>
      </c>
      <c r="P39" s="5" t="str" cm="1">
        <f t="array" ref="P39">_xlfn.SWITCH(TRUE, N39&gt;=3.5, "High", N39&gt;=2.5, "Moderate", "Low")</f>
        <v>High</v>
      </c>
      <c r="Q39" s="5" t="str">
        <f t="shared" si="3"/>
        <v>High</v>
      </c>
      <c r="R39" s="5" t="str" cm="1">
        <f t="array" ref="R39">_xlfn.SWITCH(TRUE, N39&gt;=3, "High", "Low")</f>
        <v>High</v>
      </c>
    </row>
    <row r="40" spans="1:18" x14ac:dyDescent="0.35">
      <c r="A40">
        <v>37</v>
      </c>
      <c r="B40" s="5">
        <v>3</v>
      </c>
      <c r="C40" s="5">
        <v>3</v>
      </c>
      <c r="D40" s="5">
        <v>4</v>
      </c>
      <c r="E40" s="5">
        <v>3</v>
      </c>
      <c r="F40" s="5">
        <v>3</v>
      </c>
      <c r="G40" s="5">
        <v>3</v>
      </c>
      <c r="H40" s="5">
        <v>3</v>
      </c>
      <c r="I40" s="5">
        <v>4</v>
      </c>
      <c r="J40" s="5">
        <v>5</v>
      </c>
      <c r="K40" s="5">
        <v>3</v>
      </c>
      <c r="L40" s="5">
        <v>3</v>
      </c>
      <c r="M40" s="5">
        <v>3</v>
      </c>
      <c r="N40" s="16">
        <f t="shared" si="2"/>
        <v>3.3333333333333335</v>
      </c>
      <c r="O40" s="5" t="str" cm="1">
        <f t="array" ref="O40">_xlfn.SWITCH(TRUE, N40&lt;=$S$7, "Low", N40&gt;=$S$8, "High", "Moderate")</f>
        <v>Moderate</v>
      </c>
      <c r="P40" s="5" t="str" cm="1">
        <f t="array" ref="P40">_xlfn.SWITCH(TRUE, N40&gt;=3.5, "High", N40&gt;=2.5, "Moderate", "Low")</f>
        <v>Moderate</v>
      </c>
      <c r="Q40" s="5" t="str">
        <f t="shared" si="3"/>
        <v>High</v>
      </c>
      <c r="R40" s="5" t="str" cm="1">
        <f t="array" ref="R40">_xlfn.SWITCH(TRUE, N40&gt;=3, "High", "Low")</f>
        <v>High</v>
      </c>
    </row>
    <row r="41" spans="1:18" x14ac:dyDescent="0.35">
      <c r="A41">
        <v>38</v>
      </c>
      <c r="B41" s="5">
        <v>3</v>
      </c>
      <c r="C41" s="5">
        <v>2</v>
      </c>
      <c r="D41" s="5">
        <v>4</v>
      </c>
      <c r="E41" s="5">
        <v>1</v>
      </c>
      <c r="F41" s="5">
        <v>2</v>
      </c>
      <c r="G41" s="5">
        <v>1</v>
      </c>
      <c r="H41" s="5">
        <v>2</v>
      </c>
      <c r="I41" s="5">
        <v>2</v>
      </c>
      <c r="J41" s="5">
        <v>5</v>
      </c>
      <c r="K41" s="5">
        <v>1</v>
      </c>
      <c r="L41" s="5">
        <v>3</v>
      </c>
      <c r="M41" s="5">
        <v>4</v>
      </c>
      <c r="N41" s="16">
        <f t="shared" si="2"/>
        <v>2.5</v>
      </c>
      <c r="O41" s="5" t="str" cm="1">
        <f t="array" ref="O41">_xlfn.SWITCH(TRUE, N41&lt;=$S$7, "Low", N41&gt;=$S$8, "High", "Moderate")</f>
        <v>Low</v>
      </c>
      <c r="P41" s="5" t="str" cm="1">
        <f t="array" ref="P41">_xlfn.SWITCH(TRUE, N41&gt;=3.5, "High", N41&gt;=2.5, "Moderate", "Low")</f>
        <v>Moderate</v>
      </c>
      <c r="Q41" s="5" t="str">
        <f t="shared" si="3"/>
        <v>Low</v>
      </c>
      <c r="R41" s="5" t="str" cm="1">
        <f t="array" ref="R41">_xlfn.SWITCH(TRUE, N41&gt;=3, "High", "Low")</f>
        <v>Low</v>
      </c>
    </row>
    <row r="42" spans="1:18" x14ac:dyDescent="0.35">
      <c r="A42">
        <v>39</v>
      </c>
      <c r="B42" s="5">
        <v>4</v>
      </c>
      <c r="C42" s="5">
        <v>3</v>
      </c>
      <c r="D42" s="5">
        <v>4</v>
      </c>
      <c r="E42" s="5">
        <v>4</v>
      </c>
      <c r="F42" s="5">
        <v>1</v>
      </c>
      <c r="G42" s="5">
        <v>3</v>
      </c>
      <c r="H42" s="5">
        <v>4</v>
      </c>
      <c r="I42" s="5">
        <v>4</v>
      </c>
      <c r="J42" s="5">
        <v>4</v>
      </c>
      <c r="K42" s="5">
        <v>2</v>
      </c>
      <c r="L42" s="5">
        <v>4</v>
      </c>
      <c r="M42" s="5">
        <v>2</v>
      </c>
      <c r="N42" s="16">
        <f t="shared" si="2"/>
        <v>3.25</v>
      </c>
      <c r="O42" s="5" t="str" cm="1">
        <f t="array" ref="O42">_xlfn.SWITCH(TRUE, N42&lt;=$S$7, "Low", N42&gt;=$S$8, "High", "Moderate")</f>
        <v>Moderate</v>
      </c>
      <c r="P42" s="5" t="str" cm="1">
        <f t="array" ref="P42">_xlfn.SWITCH(TRUE, N42&gt;=3.5, "High", N42&gt;=2.5, "Moderate", "Low")</f>
        <v>Moderate</v>
      </c>
      <c r="Q42" s="5" t="str">
        <f t="shared" si="3"/>
        <v>High</v>
      </c>
      <c r="R42" s="5" t="str" cm="1">
        <f t="array" ref="R42">_xlfn.SWITCH(TRUE, N42&gt;=3, "High", "Low")</f>
        <v>High</v>
      </c>
    </row>
    <row r="43" spans="1:18" x14ac:dyDescent="0.35">
      <c r="A43">
        <v>40</v>
      </c>
      <c r="B43" s="5">
        <v>5</v>
      </c>
      <c r="C43" s="5">
        <v>2</v>
      </c>
      <c r="D43" s="5">
        <v>4</v>
      </c>
      <c r="E43" s="5">
        <v>4</v>
      </c>
      <c r="F43" s="5">
        <v>3</v>
      </c>
      <c r="G43" s="5">
        <v>4</v>
      </c>
      <c r="H43" s="5">
        <v>3</v>
      </c>
      <c r="I43" s="5">
        <v>3</v>
      </c>
      <c r="J43" s="5">
        <v>2</v>
      </c>
      <c r="K43" s="5">
        <v>3</v>
      </c>
      <c r="L43" s="5">
        <v>3</v>
      </c>
      <c r="M43" s="5">
        <v>2</v>
      </c>
      <c r="N43" s="16">
        <f t="shared" si="2"/>
        <v>3.1666666666666665</v>
      </c>
      <c r="O43" s="5" t="str" cm="1">
        <f t="array" ref="O43">_xlfn.SWITCH(TRUE, N43&lt;=$S$7, "Low", N43&gt;=$S$8, "High", "Moderate")</f>
        <v>Moderate</v>
      </c>
      <c r="P43" s="5" t="str" cm="1">
        <f t="array" ref="P43">_xlfn.SWITCH(TRUE, N43&gt;=3.5, "High", N43&gt;=2.5, "Moderate", "Low")</f>
        <v>Moderate</v>
      </c>
      <c r="Q43" s="5" t="str">
        <f t="shared" si="3"/>
        <v>Low</v>
      </c>
      <c r="R43" s="5" t="str" cm="1">
        <f t="array" ref="R43">_xlfn.SWITCH(TRUE, N43&gt;=3, "High", "Low")</f>
        <v>High</v>
      </c>
    </row>
    <row r="44" spans="1:18" x14ac:dyDescent="0.35">
      <c r="A44">
        <v>41</v>
      </c>
      <c r="B44" s="5">
        <v>4</v>
      </c>
      <c r="C44" s="5">
        <v>3</v>
      </c>
      <c r="D44" s="5">
        <v>3</v>
      </c>
      <c r="E44" s="5">
        <v>2</v>
      </c>
      <c r="F44" s="5">
        <v>1</v>
      </c>
      <c r="G44" s="5">
        <v>2</v>
      </c>
      <c r="H44" s="5">
        <v>4</v>
      </c>
      <c r="I44" s="5">
        <v>3</v>
      </c>
      <c r="J44" s="5">
        <v>4</v>
      </c>
      <c r="K44" s="5">
        <v>2</v>
      </c>
      <c r="L44" s="5">
        <v>3</v>
      </c>
      <c r="M44" s="5">
        <v>3</v>
      </c>
      <c r="N44" s="16">
        <f t="shared" si="2"/>
        <v>2.8333333333333335</v>
      </c>
      <c r="O44" s="5" t="str" cm="1">
        <f t="array" ref="O44">_xlfn.SWITCH(TRUE, N44&lt;=$S$7, "Low", N44&gt;=$S$8, "High", "Moderate")</f>
        <v>Low</v>
      </c>
      <c r="P44" s="5" t="str" cm="1">
        <f t="array" ref="P44">_xlfn.SWITCH(TRUE, N44&gt;=3.5, "High", N44&gt;=2.5, "Moderate", "Low")</f>
        <v>Moderate</v>
      </c>
      <c r="Q44" s="5" t="str">
        <f t="shared" si="3"/>
        <v>Low</v>
      </c>
      <c r="R44" s="5" t="str" cm="1">
        <f t="array" ref="R44">_xlfn.SWITCH(TRUE, N44&gt;=3, "High", "Low")</f>
        <v>Low</v>
      </c>
    </row>
    <row r="45" spans="1:18" x14ac:dyDescent="0.35">
      <c r="A45">
        <v>42</v>
      </c>
      <c r="B45" s="5">
        <v>5</v>
      </c>
      <c r="C45" s="5">
        <v>4</v>
      </c>
      <c r="D45" s="5">
        <v>5</v>
      </c>
      <c r="E45" s="5">
        <v>4</v>
      </c>
      <c r="F45" s="5">
        <v>4</v>
      </c>
      <c r="G45" s="5">
        <v>4</v>
      </c>
      <c r="H45" s="5">
        <v>4</v>
      </c>
      <c r="I45" s="5">
        <v>4</v>
      </c>
      <c r="J45" s="5">
        <v>4</v>
      </c>
      <c r="K45" s="5">
        <v>4</v>
      </c>
      <c r="L45" s="5">
        <v>4</v>
      </c>
      <c r="M45" s="5">
        <v>4</v>
      </c>
      <c r="N45" s="16">
        <f t="shared" si="2"/>
        <v>4.166666666666667</v>
      </c>
      <c r="O45" s="5" t="str" cm="1">
        <f t="array" ref="O45">_xlfn.SWITCH(TRUE, N45&lt;=$S$7, "Low", N45&gt;=$S$8, "High", "Moderate")</f>
        <v>High</v>
      </c>
      <c r="P45" s="5" t="str" cm="1">
        <f t="array" ref="P45">_xlfn.SWITCH(TRUE, N45&gt;=3.5, "High", N45&gt;=2.5, "Moderate", "Low")</f>
        <v>High</v>
      </c>
      <c r="Q45" s="5" t="str">
        <f t="shared" si="3"/>
        <v>High</v>
      </c>
      <c r="R45" s="5" t="str" cm="1">
        <f t="array" ref="R45">_xlfn.SWITCH(TRUE, N45&gt;=3, "High", "Low")</f>
        <v>High</v>
      </c>
    </row>
    <row r="46" spans="1:18" x14ac:dyDescent="0.35">
      <c r="A46">
        <v>43</v>
      </c>
      <c r="B46" s="5">
        <v>1</v>
      </c>
      <c r="C46" s="5">
        <v>1</v>
      </c>
      <c r="D46" s="5">
        <v>1</v>
      </c>
      <c r="E46" s="5">
        <v>2</v>
      </c>
      <c r="F46" s="5">
        <v>2</v>
      </c>
      <c r="G46" s="5">
        <v>1</v>
      </c>
      <c r="H46" s="5">
        <v>1</v>
      </c>
      <c r="I46" s="5">
        <v>1</v>
      </c>
      <c r="J46" s="5">
        <v>1</v>
      </c>
      <c r="K46" s="5">
        <v>2</v>
      </c>
      <c r="L46" s="5">
        <v>1</v>
      </c>
      <c r="M46" s="5">
        <v>2</v>
      </c>
      <c r="N46" s="16">
        <f t="shared" si="2"/>
        <v>1.3333333333333333</v>
      </c>
      <c r="O46" s="5" t="str" cm="1">
        <f t="array" ref="O46">_xlfn.SWITCH(TRUE, N46&lt;=$S$7, "Low", N46&gt;=$S$8, "High", "Moderate")</f>
        <v>Low</v>
      </c>
      <c r="P46" s="5" t="str" cm="1">
        <f t="array" ref="P46">_xlfn.SWITCH(TRUE, N46&gt;=3.5, "High", N46&gt;=2.5, "Moderate", "Low")</f>
        <v>Low</v>
      </c>
      <c r="Q46" s="5" t="str">
        <f t="shared" si="3"/>
        <v>Low</v>
      </c>
      <c r="R46" s="5" t="str" cm="1">
        <f t="array" ref="R46">_xlfn.SWITCH(TRUE, N46&gt;=3, "High", "Low")</f>
        <v>Low</v>
      </c>
    </row>
    <row r="47" spans="1:18" x14ac:dyDescent="0.35">
      <c r="A47">
        <v>44</v>
      </c>
      <c r="B47" s="5">
        <v>5</v>
      </c>
      <c r="C47" s="5">
        <v>3</v>
      </c>
      <c r="D47" s="5">
        <v>4</v>
      </c>
      <c r="E47" s="5">
        <v>3</v>
      </c>
      <c r="F47" s="5">
        <v>3</v>
      </c>
      <c r="G47" s="5">
        <v>3</v>
      </c>
      <c r="H47" s="5">
        <v>3</v>
      </c>
      <c r="I47" s="5">
        <v>4</v>
      </c>
      <c r="J47" s="5">
        <v>3</v>
      </c>
      <c r="K47" s="5">
        <v>4</v>
      </c>
      <c r="L47" s="5">
        <v>4</v>
      </c>
      <c r="M47" s="5">
        <v>4</v>
      </c>
      <c r="N47" s="16">
        <f t="shared" si="2"/>
        <v>3.5833333333333335</v>
      </c>
      <c r="O47" s="5" t="str" cm="1">
        <f t="array" ref="O47">_xlfn.SWITCH(TRUE, N47&lt;=$S$7, "Low", N47&gt;=$S$8, "High", "Moderate")</f>
        <v>High</v>
      </c>
      <c r="P47" s="5" t="str" cm="1">
        <f t="array" ref="P47">_xlfn.SWITCH(TRUE, N47&gt;=3.5, "High", N47&gt;=2.5, "Moderate", "Low")</f>
        <v>High</v>
      </c>
      <c r="Q47" s="5" t="str">
        <f t="shared" si="3"/>
        <v>High</v>
      </c>
      <c r="R47" s="5" t="str" cm="1">
        <f t="array" ref="R47">_xlfn.SWITCH(TRUE, N47&gt;=3, "High", "Low")</f>
        <v>High</v>
      </c>
    </row>
    <row r="48" spans="1:18" x14ac:dyDescent="0.35">
      <c r="A48">
        <v>45</v>
      </c>
      <c r="B48" s="5">
        <v>4</v>
      </c>
      <c r="C48" s="5">
        <v>4</v>
      </c>
      <c r="D48" s="5">
        <v>5</v>
      </c>
      <c r="E48" s="5">
        <v>5</v>
      </c>
      <c r="F48" s="5">
        <v>5</v>
      </c>
      <c r="G48" s="5">
        <v>5</v>
      </c>
      <c r="H48" s="5">
        <v>5</v>
      </c>
      <c r="I48" s="5">
        <v>4</v>
      </c>
      <c r="J48" s="5">
        <v>5</v>
      </c>
      <c r="K48" s="5">
        <v>4</v>
      </c>
      <c r="L48" s="5">
        <v>5</v>
      </c>
      <c r="M48" s="5">
        <v>5</v>
      </c>
      <c r="N48" s="16">
        <f t="shared" si="2"/>
        <v>4.666666666666667</v>
      </c>
      <c r="O48" s="5" t="str" cm="1">
        <f t="array" ref="O48">_xlfn.SWITCH(TRUE, N48&lt;=$S$7, "Low", N48&gt;=$S$8, "High", "Moderate")</f>
        <v>High</v>
      </c>
      <c r="P48" s="5" t="str" cm="1">
        <f t="array" ref="P48">_xlfn.SWITCH(TRUE, N48&gt;=3.5, "High", N48&gt;=2.5, "Moderate", "Low")</f>
        <v>High</v>
      </c>
      <c r="Q48" s="5" t="str">
        <f t="shared" si="3"/>
        <v>High</v>
      </c>
      <c r="R48" s="5" t="str" cm="1">
        <f t="array" ref="R48">_xlfn.SWITCH(TRUE, N48&gt;=3, "High", "Low")</f>
        <v>High</v>
      </c>
    </row>
    <row r="49" spans="1:18" x14ac:dyDescent="0.35">
      <c r="A49">
        <v>46</v>
      </c>
      <c r="B49" s="5">
        <v>3</v>
      </c>
      <c r="C49" s="5">
        <v>2</v>
      </c>
      <c r="D49" s="5">
        <v>5</v>
      </c>
      <c r="E49" s="5">
        <v>3</v>
      </c>
      <c r="F49" s="5">
        <v>2</v>
      </c>
      <c r="G49" s="5">
        <v>1</v>
      </c>
      <c r="H49" s="5">
        <v>3</v>
      </c>
      <c r="I49" s="5">
        <v>5</v>
      </c>
      <c r="J49" s="5">
        <v>2</v>
      </c>
      <c r="K49" s="5">
        <v>1</v>
      </c>
      <c r="L49" s="5">
        <v>1</v>
      </c>
      <c r="M49" s="5">
        <v>1</v>
      </c>
      <c r="N49" s="16">
        <f t="shared" si="2"/>
        <v>2.4166666666666665</v>
      </c>
      <c r="O49" s="5" t="str" cm="1">
        <f t="array" ref="O49">_xlfn.SWITCH(TRUE, N49&lt;=$S$7, "Low", N49&gt;=$S$8, "High", "Moderate")</f>
        <v>Low</v>
      </c>
      <c r="P49" s="5" t="str" cm="1">
        <f t="array" ref="P49">_xlfn.SWITCH(TRUE, N49&gt;=3.5, "High", N49&gt;=2.5, "Moderate", "Low")</f>
        <v>Low</v>
      </c>
      <c r="Q49" s="5" t="str">
        <f t="shared" si="3"/>
        <v>Low</v>
      </c>
      <c r="R49" s="5" t="str" cm="1">
        <f t="array" ref="R49">_xlfn.SWITCH(TRUE, N49&gt;=3, "High", "Low")</f>
        <v>Low</v>
      </c>
    </row>
    <row r="50" spans="1:18" x14ac:dyDescent="0.35">
      <c r="A50">
        <v>47</v>
      </c>
      <c r="B50" s="5">
        <v>5</v>
      </c>
      <c r="C50" s="5">
        <v>3</v>
      </c>
      <c r="D50" s="5">
        <v>3</v>
      </c>
      <c r="E50" s="5">
        <v>3</v>
      </c>
      <c r="F50" s="5">
        <v>4</v>
      </c>
      <c r="G50" s="5">
        <v>4</v>
      </c>
      <c r="H50" s="5">
        <v>3</v>
      </c>
      <c r="I50" s="5">
        <v>3</v>
      </c>
      <c r="J50" s="5">
        <v>2</v>
      </c>
      <c r="K50" s="5">
        <v>3</v>
      </c>
      <c r="L50" s="5">
        <v>3</v>
      </c>
      <c r="M50" s="5">
        <v>4</v>
      </c>
      <c r="N50" s="16">
        <f t="shared" si="2"/>
        <v>3.3333333333333335</v>
      </c>
      <c r="O50" s="5" t="str" cm="1">
        <f t="array" ref="O50">_xlfn.SWITCH(TRUE, N50&lt;=$S$7, "Low", N50&gt;=$S$8, "High", "Moderate")</f>
        <v>Moderate</v>
      </c>
      <c r="P50" s="5" t="str" cm="1">
        <f t="array" ref="P50">_xlfn.SWITCH(TRUE, N50&gt;=3.5, "High", N50&gt;=2.5, "Moderate", "Low")</f>
        <v>Moderate</v>
      </c>
      <c r="Q50" s="5" t="str">
        <f t="shared" si="3"/>
        <v>High</v>
      </c>
      <c r="R50" s="5" t="str" cm="1">
        <f t="array" ref="R50">_xlfn.SWITCH(TRUE, N50&gt;=3, "High", "Low")</f>
        <v>High</v>
      </c>
    </row>
    <row r="51" spans="1:18" x14ac:dyDescent="0.35">
      <c r="A51">
        <v>48</v>
      </c>
      <c r="B51" s="5">
        <v>3</v>
      </c>
      <c r="C51" s="5">
        <v>1</v>
      </c>
      <c r="D51" s="5">
        <v>3</v>
      </c>
      <c r="E51" s="5">
        <v>2</v>
      </c>
      <c r="F51" s="5">
        <v>2</v>
      </c>
      <c r="G51" s="5">
        <v>2</v>
      </c>
      <c r="H51" s="5">
        <v>3</v>
      </c>
      <c r="I51" s="5">
        <v>2</v>
      </c>
      <c r="J51" s="5">
        <v>4</v>
      </c>
      <c r="K51" s="5">
        <v>2</v>
      </c>
      <c r="L51" s="5">
        <v>2</v>
      </c>
      <c r="M51" s="5">
        <v>3</v>
      </c>
      <c r="N51" s="16">
        <f t="shared" si="2"/>
        <v>2.4166666666666665</v>
      </c>
      <c r="O51" s="5" t="str" cm="1">
        <f t="array" ref="O51">_xlfn.SWITCH(TRUE, N51&lt;=$S$7, "Low", N51&gt;=$S$8, "High", "Moderate")</f>
        <v>Low</v>
      </c>
      <c r="P51" s="5" t="str" cm="1">
        <f t="array" ref="P51">_xlfn.SWITCH(TRUE, N51&gt;=3.5, "High", N51&gt;=2.5, "Moderate", "Low")</f>
        <v>Low</v>
      </c>
      <c r="Q51" s="5" t="str">
        <f t="shared" si="3"/>
        <v>Low</v>
      </c>
      <c r="R51" s="5" t="str" cm="1">
        <f t="array" ref="R51">_xlfn.SWITCH(TRUE, N51&gt;=3, "High", "Low")</f>
        <v>Low</v>
      </c>
    </row>
    <row r="52" spans="1:18" x14ac:dyDescent="0.35">
      <c r="A52">
        <v>49</v>
      </c>
      <c r="B52" s="5">
        <v>3</v>
      </c>
      <c r="C52" s="5">
        <v>5</v>
      </c>
      <c r="D52" s="5">
        <v>3</v>
      </c>
      <c r="E52" s="5">
        <v>3</v>
      </c>
      <c r="F52" s="5">
        <v>3</v>
      </c>
      <c r="G52" s="5">
        <v>4</v>
      </c>
      <c r="H52" s="5">
        <v>3</v>
      </c>
      <c r="I52" s="5">
        <v>3</v>
      </c>
      <c r="J52" s="5">
        <v>2</v>
      </c>
      <c r="K52" s="5">
        <v>3</v>
      </c>
      <c r="L52" s="5">
        <v>3</v>
      </c>
      <c r="M52" s="5">
        <v>3</v>
      </c>
      <c r="N52" s="16">
        <f t="shared" si="2"/>
        <v>3.1666666666666665</v>
      </c>
      <c r="O52" s="5" t="str" cm="1">
        <f t="array" ref="O52">_xlfn.SWITCH(TRUE, N52&lt;=$S$7, "Low", N52&gt;=$S$8, "High", "Moderate")</f>
        <v>Moderate</v>
      </c>
      <c r="P52" s="5" t="str" cm="1">
        <f t="array" ref="P52">_xlfn.SWITCH(TRUE, N52&gt;=3.5, "High", N52&gt;=2.5, "Moderate", "Low")</f>
        <v>Moderate</v>
      </c>
      <c r="Q52" s="5" t="str">
        <f t="shared" si="3"/>
        <v>Low</v>
      </c>
      <c r="R52" s="5" t="str" cm="1">
        <f t="array" ref="R52">_xlfn.SWITCH(TRUE, N52&gt;=3, "High", "Low")</f>
        <v>High</v>
      </c>
    </row>
    <row r="53" spans="1:18" x14ac:dyDescent="0.35">
      <c r="A53">
        <v>50</v>
      </c>
      <c r="B53" s="5">
        <v>2</v>
      </c>
      <c r="C53" s="5">
        <v>1</v>
      </c>
      <c r="D53" s="5">
        <v>3</v>
      </c>
      <c r="E53" s="5">
        <v>3</v>
      </c>
      <c r="F53" s="5">
        <v>3</v>
      </c>
      <c r="G53" s="5">
        <v>3</v>
      </c>
      <c r="H53" s="5">
        <v>2</v>
      </c>
      <c r="I53" s="5">
        <v>3</v>
      </c>
      <c r="J53" s="5">
        <v>3</v>
      </c>
      <c r="K53" s="5">
        <v>3</v>
      </c>
      <c r="L53" s="5">
        <v>2</v>
      </c>
      <c r="M53" s="5">
        <v>3</v>
      </c>
      <c r="N53" s="16">
        <f t="shared" si="2"/>
        <v>2.5833333333333335</v>
      </c>
      <c r="O53" s="5" t="str" cm="1">
        <f t="array" ref="O53">_xlfn.SWITCH(TRUE, N53&lt;=$S$7, "Low", N53&gt;=$S$8, "High", "Moderate")</f>
        <v>Low</v>
      </c>
      <c r="P53" s="5" t="str" cm="1">
        <f t="array" ref="P53">_xlfn.SWITCH(TRUE, N53&gt;=3.5, "High", N53&gt;=2.5, "Moderate", "Low")</f>
        <v>Moderate</v>
      </c>
      <c r="Q53" s="5" t="str">
        <f t="shared" si="3"/>
        <v>Low</v>
      </c>
      <c r="R53" s="5" t="str" cm="1">
        <f t="array" ref="R53">_xlfn.SWITCH(TRUE, N53&gt;=3, "High", "Low")</f>
        <v>Low</v>
      </c>
    </row>
    <row r="54" spans="1:18" x14ac:dyDescent="0.35">
      <c r="A54">
        <v>51</v>
      </c>
      <c r="B54" s="5">
        <v>4</v>
      </c>
      <c r="C54" s="5">
        <v>3</v>
      </c>
      <c r="D54" s="5">
        <v>5</v>
      </c>
      <c r="E54" s="5">
        <v>3</v>
      </c>
      <c r="F54" s="5">
        <v>4</v>
      </c>
      <c r="G54" s="5">
        <v>3</v>
      </c>
      <c r="H54" s="5">
        <v>4</v>
      </c>
      <c r="I54" s="5">
        <v>4</v>
      </c>
      <c r="J54" s="5">
        <v>3</v>
      </c>
      <c r="K54" s="5">
        <v>3</v>
      </c>
      <c r="L54" s="5">
        <v>2</v>
      </c>
      <c r="M54" s="5">
        <v>4</v>
      </c>
      <c r="N54" s="16">
        <f t="shared" si="2"/>
        <v>3.5</v>
      </c>
      <c r="O54" s="5" t="str" cm="1">
        <f t="array" ref="O54">_xlfn.SWITCH(TRUE, N54&lt;=$S$7, "Low", N54&gt;=$S$8, "High", "Moderate")</f>
        <v>High</v>
      </c>
      <c r="P54" s="5" t="str" cm="1">
        <f t="array" ref="P54">_xlfn.SWITCH(TRUE, N54&gt;=3.5, "High", N54&gt;=2.5, "Moderate", "Low")</f>
        <v>High</v>
      </c>
      <c r="Q54" s="5" t="str">
        <f t="shared" si="3"/>
        <v>High</v>
      </c>
      <c r="R54" s="5" t="str" cm="1">
        <f t="array" ref="R54">_xlfn.SWITCH(TRUE, N54&gt;=3, "High", "Low")</f>
        <v>High</v>
      </c>
    </row>
    <row r="55" spans="1:18" x14ac:dyDescent="0.35">
      <c r="A55">
        <v>52</v>
      </c>
      <c r="B55" s="5">
        <v>5</v>
      </c>
      <c r="C55" s="5">
        <v>1</v>
      </c>
      <c r="D55" s="5">
        <v>2</v>
      </c>
      <c r="E55" s="5">
        <v>1</v>
      </c>
      <c r="F55" s="5">
        <v>3</v>
      </c>
      <c r="G55" s="5">
        <v>1</v>
      </c>
      <c r="H55" s="5">
        <v>3</v>
      </c>
      <c r="I55" s="5">
        <v>2</v>
      </c>
      <c r="J55" s="5">
        <v>2</v>
      </c>
      <c r="K55" s="5">
        <v>1</v>
      </c>
      <c r="L55" s="5">
        <v>2</v>
      </c>
      <c r="M55" s="5">
        <v>4</v>
      </c>
      <c r="N55" s="16">
        <f t="shared" si="2"/>
        <v>2.25</v>
      </c>
      <c r="O55" s="5" t="str" cm="1">
        <f t="array" ref="O55">_xlfn.SWITCH(TRUE, N55&lt;=$S$7, "Low", N55&gt;=$S$8, "High", "Moderate")</f>
        <v>Low</v>
      </c>
      <c r="P55" s="5" t="str" cm="1">
        <f t="array" ref="P55">_xlfn.SWITCH(TRUE, N55&gt;=3.5, "High", N55&gt;=2.5, "Moderate", "Low")</f>
        <v>Low</v>
      </c>
      <c r="Q55" s="5" t="str">
        <f t="shared" si="3"/>
        <v>Low</v>
      </c>
      <c r="R55" s="5" t="str" cm="1">
        <f t="array" ref="R55">_xlfn.SWITCH(TRUE, N55&gt;=3, "High", "Low")</f>
        <v>Low</v>
      </c>
    </row>
    <row r="56" spans="1:18" x14ac:dyDescent="0.35">
      <c r="A56">
        <v>53</v>
      </c>
      <c r="B56" s="5">
        <v>2</v>
      </c>
      <c r="C56" s="5">
        <v>1</v>
      </c>
      <c r="D56" s="5">
        <v>2</v>
      </c>
      <c r="E56" s="5">
        <v>4</v>
      </c>
      <c r="F56" s="5">
        <v>4</v>
      </c>
      <c r="G56" s="5">
        <v>4</v>
      </c>
      <c r="H56" s="5">
        <v>2</v>
      </c>
      <c r="I56" s="5">
        <v>3</v>
      </c>
      <c r="J56" s="5">
        <v>3</v>
      </c>
      <c r="K56" s="5">
        <v>3</v>
      </c>
      <c r="L56" s="5">
        <v>2</v>
      </c>
      <c r="M56" s="5">
        <v>5</v>
      </c>
      <c r="N56" s="16">
        <f t="shared" si="2"/>
        <v>2.9166666666666665</v>
      </c>
      <c r="O56" s="5" t="str" cm="1">
        <f t="array" ref="O56">_xlfn.SWITCH(TRUE, N56&lt;=$S$7, "Low", N56&gt;=$S$8, "High", "Moderate")</f>
        <v>Moderate</v>
      </c>
      <c r="P56" s="5" t="str" cm="1">
        <f t="array" ref="P56">_xlfn.SWITCH(TRUE, N56&gt;=3.5, "High", N56&gt;=2.5, "Moderate", "Low")</f>
        <v>Moderate</v>
      </c>
      <c r="Q56" s="5" t="str">
        <f t="shared" si="3"/>
        <v>Low</v>
      </c>
      <c r="R56" s="5" t="str" cm="1">
        <f t="array" ref="R56">_xlfn.SWITCH(TRUE, N56&gt;=3, "High", "Low")</f>
        <v>Low</v>
      </c>
    </row>
    <row r="57" spans="1:18" x14ac:dyDescent="0.35">
      <c r="A57">
        <v>54</v>
      </c>
      <c r="B57" s="5">
        <v>4</v>
      </c>
      <c r="C57" s="5">
        <v>3</v>
      </c>
      <c r="D57" s="5">
        <v>4</v>
      </c>
      <c r="E57" s="5">
        <v>3</v>
      </c>
      <c r="F57" s="5">
        <v>3</v>
      </c>
      <c r="G57" s="5">
        <v>3</v>
      </c>
      <c r="H57" s="5">
        <v>4</v>
      </c>
      <c r="I57" s="5">
        <v>4</v>
      </c>
      <c r="J57" s="5">
        <v>4</v>
      </c>
      <c r="K57" s="5">
        <v>2</v>
      </c>
      <c r="L57" s="5">
        <v>4</v>
      </c>
      <c r="M57" s="5">
        <v>4</v>
      </c>
      <c r="N57" s="16">
        <f t="shared" si="2"/>
        <v>3.5</v>
      </c>
      <c r="O57" s="5" t="str" cm="1">
        <f t="array" ref="O57">_xlfn.SWITCH(TRUE, N57&lt;=$S$7, "Low", N57&gt;=$S$8, "High", "Moderate")</f>
        <v>High</v>
      </c>
      <c r="P57" s="5" t="str" cm="1">
        <f t="array" ref="P57">_xlfn.SWITCH(TRUE, N57&gt;=3.5, "High", N57&gt;=2.5, "Moderate", "Low")</f>
        <v>High</v>
      </c>
      <c r="Q57" s="5" t="str">
        <f t="shared" si="3"/>
        <v>High</v>
      </c>
      <c r="R57" s="5" t="str" cm="1">
        <f t="array" ref="R57">_xlfn.SWITCH(TRUE, N57&gt;=3, "High", "Low")</f>
        <v>High</v>
      </c>
    </row>
    <row r="58" spans="1:18" x14ac:dyDescent="0.35">
      <c r="A58">
        <v>55</v>
      </c>
      <c r="B58" s="5">
        <v>2</v>
      </c>
      <c r="C58" s="5">
        <v>1</v>
      </c>
      <c r="D58" s="5">
        <v>2</v>
      </c>
      <c r="E58" s="5">
        <v>2</v>
      </c>
      <c r="F58" s="5">
        <v>2</v>
      </c>
      <c r="G58" s="5">
        <v>2</v>
      </c>
      <c r="H58" s="5">
        <v>1</v>
      </c>
      <c r="I58" s="5">
        <v>1</v>
      </c>
      <c r="J58" s="5">
        <v>2</v>
      </c>
      <c r="K58" s="5">
        <v>2</v>
      </c>
      <c r="L58" s="5">
        <v>2</v>
      </c>
      <c r="M58" s="5">
        <v>2</v>
      </c>
      <c r="N58" s="16">
        <f t="shared" si="2"/>
        <v>1.75</v>
      </c>
      <c r="O58" s="5" t="str" cm="1">
        <f t="array" ref="O58">_xlfn.SWITCH(TRUE, N58&lt;=$S$7, "Low", N58&gt;=$S$8, "High", "Moderate")</f>
        <v>Low</v>
      </c>
      <c r="P58" s="5" t="str" cm="1">
        <f t="array" ref="P58">_xlfn.SWITCH(TRUE, N58&gt;=3.5, "High", N58&gt;=2.5, "Moderate", "Low")</f>
        <v>Low</v>
      </c>
      <c r="Q58" s="5" t="str">
        <f t="shared" si="3"/>
        <v>Low</v>
      </c>
      <c r="R58" s="5" t="str" cm="1">
        <f t="array" ref="R58">_xlfn.SWITCH(TRUE, N58&gt;=3, "High", "Low")</f>
        <v>Low</v>
      </c>
    </row>
    <row r="59" spans="1:18" x14ac:dyDescent="0.35">
      <c r="A59">
        <v>56</v>
      </c>
      <c r="B59" s="5">
        <v>4</v>
      </c>
      <c r="C59" s="5">
        <v>3</v>
      </c>
      <c r="D59" s="5">
        <v>4</v>
      </c>
      <c r="E59" s="5">
        <v>3</v>
      </c>
      <c r="F59" s="5">
        <v>5</v>
      </c>
      <c r="G59" s="5">
        <v>2</v>
      </c>
      <c r="H59" s="5">
        <v>2</v>
      </c>
      <c r="I59" s="5">
        <v>3</v>
      </c>
      <c r="J59" s="5">
        <v>3</v>
      </c>
      <c r="K59" s="5">
        <v>1</v>
      </c>
      <c r="L59" s="5">
        <v>3</v>
      </c>
      <c r="M59" s="5">
        <v>3</v>
      </c>
      <c r="N59" s="16">
        <f t="shared" si="2"/>
        <v>3</v>
      </c>
      <c r="O59" s="5" t="str" cm="1">
        <f t="array" ref="O59">_xlfn.SWITCH(TRUE, N59&lt;=$S$7, "Low", N59&gt;=$S$8, "High", "Moderate")</f>
        <v>Moderate</v>
      </c>
      <c r="P59" s="5" t="str" cm="1">
        <f t="array" ref="P59">_xlfn.SWITCH(TRUE, N59&gt;=3.5, "High", N59&gt;=2.5, "Moderate", "Low")</f>
        <v>Moderate</v>
      </c>
      <c r="Q59" s="5" t="str">
        <f t="shared" si="3"/>
        <v>Low</v>
      </c>
      <c r="R59" s="5" t="str" cm="1">
        <f t="array" ref="R59">_xlfn.SWITCH(TRUE, N59&gt;=3, "High", "Low")</f>
        <v>High</v>
      </c>
    </row>
    <row r="60" spans="1:18" x14ac:dyDescent="0.35">
      <c r="A60">
        <v>57</v>
      </c>
      <c r="B60" s="5">
        <v>5</v>
      </c>
      <c r="C60" s="5">
        <v>4</v>
      </c>
      <c r="D60" s="5">
        <v>5</v>
      </c>
      <c r="E60" s="5">
        <v>1</v>
      </c>
      <c r="F60" s="5">
        <v>2</v>
      </c>
      <c r="G60" s="5">
        <v>1</v>
      </c>
      <c r="H60" s="5">
        <v>5</v>
      </c>
      <c r="I60" s="5">
        <v>3</v>
      </c>
      <c r="J60" s="5">
        <v>5</v>
      </c>
      <c r="K60" s="5">
        <v>1</v>
      </c>
      <c r="L60" s="5">
        <v>5</v>
      </c>
      <c r="M60" s="5">
        <v>1</v>
      </c>
      <c r="N60" s="16">
        <f t="shared" si="2"/>
        <v>3.1666666666666665</v>
      </c>
      <c r="O60" s="5" t="str" cm="1">
        <f t="array" ref="O60">_xlfn.SWITCH(TRUE, N60&lt;=$S$7, "Low", N60&gt;=$S$8, "High", "Moderate")</f>
        <v>Moderate</v>
      </c>
      <c r="P60" s="5" t="str" cm="1">
        <f t="array" ref="P60">_xlfn.SWITCH(TRUE, N60&gt;=3.5, "High", N60&gt;=2.5, "Moderate", "Low")</f>
        <v>Moderate</v>
      </c>
      <c r="Q60" s="5" t="str">
        <f t="shared" si="3"/>
        <v>Low</v>
      </c>
      <c r="R60" s="5" t="str" cm="1">
        <f t="array" ref="R60">_xlfn.SWITCH(TRUE, N60&gt;=3, "High", "Low")</f>
        <v>High</v>
      </c>
    </row>
    <row r="61" spans="1:18" x14ac:dyDescent="0.35">
      <c r="A61">
        <v>58</v>
      </c>
      <c r="B61" s="5">
        <v>3</v>
      </c>
      <c r="C61" s="5">
        <v>2</v>
      </c>
      <c r="D61" s="5">
        <v>3</v>
      </c>
      <c r="E61" s="5">
        <v>2</v>
      </c>
      <c r="F61" s="5">
        <v>2</v>
      </c>
      <c r="G61" s="5">
        <v>2</v>
      </c>
      <c r="H61" s="5">
        <v>2</v>
      </c>
      <c r="I61" s="5">
        <v>2</v>
      </c>
      <c r="J61" s="5">
        <v>2</v>
      </c>
      <c r="K61" s="5">
        <v>1</v>
      </c>
      <c r="L61" s="5">
        <v>2</v>
      </c>
      <c r="M61" s="5">
        <v>2</v>
      </c>
      <c r="N61" s="16">
        <f t="shared" si="2"/>
        <v>2.0833333333333335</v>
      </c>
      <c r="O61" s="5" t="str" cm="1">
        <f t="array" ref="O61">_xlfn.SWITCH(TRUE, N61&lt;=$S$7, "Low", N61&gt;=$S$8, "High", "Moderate")</f>
        <v>Low</v>
      </c>
      <c r="P61" s="5" t="str" cm="1">
        <f t="array" ref="P61">_xlfn.SWITCH(TRUE, N61&gt;=3.5, "High", N61&gt;=2.5, "Moderate", "Low")</f>
        <v>Low</v>
      </c>
      <c r="Q61" s="5" t="str">
        <f t="shared" si="3"/>
        <v>Low</v>
      </c>
      <c r="R61" s="5" t="str" cm="1">
        <f t="array" ref="R61">_xlfn.SWITCH(TRUE, N61&gt;=3, "High", "Low")</f>
        <v>Low</v>
      </c>
    </row>
    <row r="62" spans="1:18" x14ac:dyDescent="0.35">
      <c r="A62">
        <v>59</v>
      </c>
      <c r="B62" s="5">
        <v>5</v>
      </c>
      <c r="C62" s="5">
        <v>2</v>
      </c>
      <c r="D62" s="5">
        <v>5</v>
      </c>
      <c r="E62" s="5">
        <v>2</v>
      </c>
      <c r="F62" s="5">
        <v>5</v>
      </c>
      <c r="G62" s="5">
        <v>5</v>
      </c>
      <c r="H62" s="5">
        <v>4</v>
      </c>
      <c r="I62" s="5">
        <v>5</v>
      </c>
      <c r="J62" s="5">
        <v>5</v>
      </c>
      <c r="K62" s="5">
        <v>1</v>
      </c>
      <c r="L62" s="5">
        <v>5</v>
      </c>
      <c r="M62" s="5">
        <v>5</v>
      </c>
      <c r="N62" s="16">
        <f t="shared" si="2"/>
        <v>4.083333333333333</v>
      </c>
      <c r="O62" s="5" t="str" cm="1">
        <f t="array" ref="O62">_xlfn.SWITCH(TRUE, N62&lt;=$S$7, "Low", N62&gt;=$S$8, "High", "Moderate")</f>
        <v>High</v>
      </c>
      <c r="P62" s="5" t="str" cm="1">
        <f t="array" ref="P62">_xlfn.SWITCH(TRUE, N62&gt;=3.5, "High", N62&gt;=2.5, "Moderate", "Low")</f>
        <v>High</v>
      </c>
      <c r="Q62" s="5" t="str">
        <f t="shared" si="3"/>
        <v>High</v>
      </c>
      <c r="R62" s="5" t="str" cm="1">
        <f t="array" ref="R62">_xlfn.SWITCH(TRUE, N62&gt;=3, "High", "Low")</f>
        <v>High</v>
      </c>
    </row>
    <row r="63" spans="1:18" x14ac:dyDescent="0.35">
      <c r="A63">
        <v>60</v>
      </c>
      <c r="B63" s="5">
        <v>2</v>
      </c>
      <c r="C63" s="5">
        <v>2</v>
      </c>
      <c r="D63" s="5">
        <v>2</v>
      </c>
      <c r="E63" s="5">
        <v>2</v>
      </c>
      <c r="F63" s="5">
        <v>2</v>
      </c>
      <c r="G63" s="5">
        <v>2</v>
      </c>
      <c r="H63" s="5">
        <v>2</v>
      </c>
      <c r="I63" s="5">
        <v>2</v>
      </c>
      <c r="J63" s="5">
        <v>4</v>
      </c>
      <c r="K63" s="5">
        <v>2</v>
      </c>
      <c r="L63" s="5">
        <v>1</v>
      </c>
      <c r="M63" s="5">
        <v>3</v>
      </c>
      <c r="N63" s="16">
        <f t="shared" si="2"/>
        <v>2.1666666666666665</v>
      </c>
      <c r="O63" s="5" t="str" cm="1">
        <f t="array" ref="O63">_xlfn.SWITCH(TRUE, N63&lt;=$S$7, "Low", N63&gt;=$S$8, "High", "Moderate")</f>
        <v>Low</v>
      </c>
      <c r="P63" s="5" t="str" cm="1">
        <f t="array" ref="P63">_xlfn.SWITCH(TRUE, N63&gt;=3.5, "High", N63&gt;=2.5, "Moderate", "Low")</f>
        <v>Low</v>
      </c>
      <c r="Q63" s="5" t="str">
        <f t="shared" si="3"/>
        <v>Low</v>
      </c>
      <c r="R63" s="5" t="str" cm="1">
        <f t="array" ref="R63">_xlfn.SWITCH(TRUE, N63&gt;=3, "High", "Low")</f>
        <v>Low</v>
      </c>
    </row>
    <row r="64" spans="1:18" x14ac:dyDescent="0.35">
      <c r="A64">
        <v>61</v>
      </c>
      <c r="B64" s="5">
        <v>5</v>
      </c>
      <c r="C64" s="5">
        <v>3</v>
      </c>
      <c r="D64" s="5">
        <v>4</v>
      </c>
      <c r="E64" s="5">
        <v>4</v>
      </c>
      <c r="F64" s="5">
        <v>5</v>
      </c>
      <c r="G64" s="5">
        <v>5</v>
      </c>
      <c r="H64" s="5">
        <v>5</v>
      </c>
      <c r="I64" s="5">
        <v>4</v>
      </c>
      <c r="J64" s="5">
        <v>3</v>
      </c>
      <c r="K64" s="5">
        <v>4</v>
      </c>
      <c r="L64" s="5">
        <v>3</v>
      </c>
      <c r="M64" s="5">
        <v>5</v>
      </c>
      <c r="N64" s="16">
        <f t="shared" si="2"/>
        <v>4.166666666666667</v>
      </c>
      <c r="O64" s="5" t="str" cm="1">
        <f t="array" ref="O64">_xlfn.SWITCH(TRUE, N64&lt;=$S$7, "Low", N64&gt;=$S$8, "High", "Moderate")</f>
        <v>High</v>
      </c>
      <c r="P64" s="5" t="str" cm="1">
        <f t="array" ref="P64">_xlfn.SWITCH(TRUE, N64&gt;=3.5, "High", N64&gt;=2.5, "Moderate", "Low")</f>
        <v>High</v>
      </c>
      <c r="Q64" s="5" t="str">
        <f t="shared" si="3"/>
        <v>High</v>
      </c>
      <c r="R64" s="5" t="str" cm="1">
        <f t="array" ref="R64">_xlfn.SWITCH(TRUE, N64&gt;=3, "High", "Low")</f>
        <v>High</v>
      </c>
    </row>
    <row r="65" spans="1:18" x14ac:dyDescent="0.35">
      <c r="A65">
        <v>62</v>
      </c>
      <c r="B65" s="5">
        <v>4</v>
      </c>
      <c r="C65" s="5">
        <v>4</v>
      </c>
      <c r="D65" s="5">
        <v>4</v>
      </c>
      <c r="E65" s="5">
        <v>5</v>
      </c>
      <c r="F65" s="5">
        <v>2</v>
      </c>
      <c r="G65" s="5">
        <v>1</v>
      </c>
      <c r="H65" s="5">
        <v>1</v>
      </c>
      <c r="I65" s="5">
        <v>4</v>
      </c>
      <c r="J65" s="5">
        <v>3</v>
      </c>
      <c r="K65" s="5">
        <v>2</v>
      </c>
      <c r="L65" s="5">
        <v>5</v>
      </c>
      <c r="M65" s="5">
        <v>2</v>
      </c>
      <c r="N65" s="16">
        <f t="shared" si="2"/>
        <v>3.0833333333333335</v>
      </c>
      <c r="O65" s="5" t="str" cm="1">
        <f t="array" ref="O65">_xlfn.SWITCH(TRUE, N65&lt;=$S$7, "Low", N65&gt;=$S$8, "High", "Moderate")</f>
        <v>Moderate</v>
      </c>
      <c r="P65" s="5" t="str" cm="1">
        <f t="array" ref="P65">_xlfn.SWITCH(TRUE, N65&gt;=3.5, "High", N65&gt;=2.5, "Moderate", "Low")</f>
        <v>Moderate</v>
      </c>
      <c r="Q65" s="5" t="str">
        <f t="shared" si="3"/>
        <v>Low</v>
      </c>
      <c r="R65" s="5" t="str" cm="1">
        <f t="array" ref="R65">_xlfn.SWITCH(TRUE, N65&gt;=3, "High", "Low")</f>
        <v>High</v>
      </c>
    </row>
    <row r="66" spans="1:18" x14ac:dyDescent="0.35">
      <c r="A66">
        <v>63</v>
      </c>
      <c r="B66" s="5">
        <v>2</v>
      </c>
      <c r="C66" s="5">
        <v>1</v>
      </c>
      <c r="D66" s="5">
        <v>2</v>
      </c>
      <c r="E66" s="5">
        <v>1</v>
      </c>
      <c r="F66" s="5">
        <v>2</v>
      </c>
      <c r="G66" s="5">
        <v>2</v>
      </c>
      <c r="H66" s="5">
        <v>2</v>
      </c>
      <c r="I66" s="5">
        <v>2</v>
      </c>
      <c r="J66" s="5">
        <v>2</v>
      </c>
      <c r="K66" s="5">
        <v>2</v>
      </c>
      <c r="L66" s="5">
        <v>2</v>
      </c>
      <c r="M66" s="5">
        <v>1</v>
      </c>
      <c r="N66" s="16">
        <f t="shared" si="2"/>
        <v>1.75</v>
      </c>
      <c r="O66" s="5" t="str" cm="1">
        <f t="array" ref="O66">_xlfn.SWITCH(TRUE, N66&lt;=$S$7, "Low", N66&gt;=$S$8, "High", "Moderate")</f>
        <v>Low</v>
      </c>
      <c r="P66" s="5" t="str" cm="1">
        <f t="array" ref="P66">_xlfn.SWITCH(TRUE, N66&gt;=3.5, "High", N66&gt;=2.5, "Moderate", "Low")</f>
        <v>Low</v>
      </c>
      <c r="Q66" s="5" t="str">
        <f t="shared" si="3"/>
        <v>Low</v>
      </c>
      <c r="R66" s="5" t="str" cm="1">
        <f t="array" ref="R66">_xlfn.SWITCH(TRUE, N66&gt;=3, "High", "Low")</f>
        <v>Low</v>
      </c>
    </row>
    <row r="67" spans="1:18" x14ac:dyDescent="0.35">
      <c r="A67">
        <v>64</v>
      </c>
      <c r="B67" s="5">
        <v>4</v>
      </c>
      <c r="C67" s="5">
        <v>4</v>
      </c>
      <c r="D67" s="5">
        <v>5</v>
      </c>
      <c r="E67" s="5">
        <v>2</v>
      </c>
      <c r="F67" s="5">
        <v>4</v>
      </c>
      <c r="G67" s="5">
        <v>3</v>
      </c>
      <c r="H67" s="5">
        <v>3</v>
      </c>
      <c r="I67" s="5">
        <v>4</v>
      </c>
      <c r="J67" s="5">
        <v>3</v>
      </c>
      <c r="K67" s="5">
        <v>2</v>
      </c>
      <c r="L67" s="5">
        <v>5</v>
      </c>
      <c r="M67" s="5">
        <v>2</v>
      </c>
      <c r="N67" s="16">
        <f t="shared" si="2"/>
        <v>3.4166666666666665</v>
      </c>
      <c r="O67" s="5" t="str" cm="1">
        <f t="array" ref="O67">_xlfn.SWITCH(TRUE, N67&lt;=$S$7, "Low", N67&gt;=$S$8, "High", "Moderate")</f>
        <v>Moderate</v>
      </c>
      <c r="P67" s="5" t="str" cm="1">
        <f t="array" ref="P67">_xlfn.SWITCH(TRUE, N67&gt;=3.5, "High", N67&gt;=2.5, "Moderate", "Low")</f>
        <v>Moderate</v>
      </c>
      <c r="Q67" s="5" t="str">
        <f t="shared" si="3"/>
        <v>High</v>
      </c>
      <c r="R67" s="5" t="str" cm="1">
        <f t="array" ref="R67">_xlfn.SWITCH(TRUE, N67&gt;=3, "High", "Low")</f>
        <v>High</v>
      </c>
    </row>
    <row r="68" spans="1:18" x14ac:dyDescent="0.35">
      <c r="A68">
        <v>65</v>
      </c>
      <c r="B68" s="5">
        <v>5</v>
      </c>
      <c r="C68" s="5">
        <v>3</v>
      </c>
      <c r="D68" s="5">
        <v>5</v>
      </c>
      <c r="E68" s="5">
        <v>3</v>
      </c>
      <c r="F68" s="5">
        <v>3</v>
      </c>
      <c r="G68" s="5">
        <v>3</v>
      </c>
      <c r="H68" s="5">
        <v>3</v>
      </c>
      <c r="I68" s="5">
        <v>3</v>
      </c>
      <c r="J68" s="5">
        <v>3</v>
      </c>
      <c r="K68" s="5">
        <v>3</v>
      </c>
      <c r="L68" s="5">
        <v>3</v>
      </c>
      <c r="M68" s="5">
        <v>4</v>
      </c>
      <c r="N68" s="16">
        <f t="shared" ref="N68:N99" si="4">AVERAGE(B68:M68)</f>
        <v>3.4166666666666665</v>
      </c>
      <c r="O68" s="5" t="str" cm="1">
        <f t="array" ref="O68">_xlfn.SWITCH(TRUE, N68&lt;=$S$7, "Low", N68&gt;=$S$8, "High", "Moderate")</f>
        <v>Moderate</v>
      </c>
      <c r="P68" s="5" t="str" cm="1">
        <f t="array" ref="P68">_xlfn.SWITCH(TRUE, N68&gt;=3.5, "High", N68&gt;=2.5, "Moderate", "Low")</f>
        <v>Moderate</v>
      </c>
      <c r="Q68" s="5" t="str">
        <f t="shared" ref="Q68:Q99" si="5">_xlfn.SWITCH(TRUE, N68&lt;=$S$9, "Low", "High")</f>
        <v>High</v>
      </c>
      <c r="R68" s="5" t="str" cm="1">
        <f t="array" ref="R68">_xlfn.SWITCH(TRUE, N68&gt;=3, "High", "Low")</f>
        <v>High</v>
      </c>
    </row>
    <row r="69" spans="1:18" x14ac:dyDescent="0.35">
      <c r="A69">
        <v>66</v>
      </c>
      <c r="B69" s="5">
        <v>5</v>
      </c>
      <c r="C69" s="5">
        <v>4</v>
      </c>
      <c r="D69" s="5">
        <v>4</v>
      </c>
      <c r="E69" s="5">
        <v>5</v>
      </c>
      <c r="F69" s="5">
        <v>4</v>
      </c>
      <c r="G69" s="5">
        <v>3</v>
      </c>
      <c r="H69" s="5">
        <v>4</v>
      </c>
      <c r="I69" s="5">
        <v>5</v>
      </c>
      <c r="J69" s="5">
        <v>4</v>
      </c>
      <c r="K69" s="5">
        <v>3</v>
      </c>
      <c r="L69" s="5">
        <v>4</v>
      </c>
      <c r="M69" s="5">
        <v>5</v>
      </c>
      <c r="N69" s="16">
        <f t="shared" si="4"/>
        <v>4.166666666666667</v>
      </c>
      <c r="O69" s="5" t="str" cm="1">
        <f t="array" ref="O69">_xlfn.SWITCH(TRUE, N69&lt;=$S$7, "Low", N69&gt;=$S$8, "High", "Moderate")</f>
        <v>High</v>
      </c>
      <c r="P69" s="5" t="str" cm="1">
        <f t="array" ref="P69">_xlfn.SWITCH(TRUE, N69&gt;=3.5, "High", N69&gt;=2.5, "Moderate", "Low")</f>
        <v>High</v>
      </c>
      <c r="Q69" s="5" t="str">
        <f t="shared" si="5"/>
        <v>High</v>
      </c>
      <c r="R69" s="5" t="str" cm="1">
        <f t="array" ref="R69">_xlfn.SWITCH(TRUE, N69&gt;=3, "High", "Low")</f>
        <v>High</v>
      </c>
    </row>
    <row r="70" spans="1:18" x14ac:dyDescent="0.35">
      <c r="A70">
        <v>67</v>
      </c>
      <c r="B70" s="5">
        <v>5</v>
      </c>
      <c r="C70" s="5">
        <v>1</v>
      </c>
      <c r="D70" s="5">
        <v>4</v>
      </c>
      <c r="E70" s="5">
        <v>2</v>
      </c>
      <c r="F70" s="5">
        <v>4</v>
      </c>
      <c r="G70" s="5">
        <v>2</v>
      </c>
      <c r="H70" s="5">
        <v>1</v>
      </c>
      <c r="I70" s="5">
        <v>1</v>
      </c>
      <c r="J70" s="5">
        <v>2</v>
      </c>
      <c r="K70" s="5">
        <v>1</v>
      </c>
      <c r="L70" s="5">
        <v>2</v>
      </c>
      <c r="M70" s="5">
        <v>1</v>
      </c>
      <c r="N70" s="16">
        <f t="shared" si="4"/>
        <v>2.1666666666666665</v>
      </c>
      <c r="O70" s="5" t="str" cm="1">
        <f t="array" ref="O70">_xlfn.SWITCH(TRUE, N70&lt;=$S$7, "Low", N70&gt;=$S$8, "High", "Moderate")</f>
        <v>Low</v>
      </c>
      <c r="P70" s="5" t="str" cm="1">
        <f t="array" ref="P70">_xlfn.SWITCH(TRUE, N70&gt;=3.5, "High", N70&gt;=2.5, "Moderate", "Low")</f>
        <v>Low</v>
      </c>
      <c r="Q70" s="5" t="str">
        <f t="shared" si="5"/>
        <v>Low</v>
      </c>
      <c r="R70" s="5" t="str" cm="1">
        <f t="array" ref="R70">_xlfn.SWITCH(TRUE, N70&gt;=3, "High", "Low")</f>
        <v>Low</v>
      </c>
    </row>
    <row r="71" spans="1:18" x14ac:dyDescent="0.35">
      <c r="A71">
        <v>68</v>
      </c>
      <c r="B71" s="5">
        <v>3</v>
      </c>
      <c r="C71" s="5">
        <v>1</v>
      </c>
      <c r="D71" s="5">
        <v>2</v>
      </c>
      <c r="E71" s="5">
        <v>3</v>
      </c>
      <c r="F71" s="5">
        <v>3</v>
      </c>
      <c r="G71" s="5">
        <v>3</v>
      </c>
      <c r="H71" s="5">
        <v>2</v>
      </c>
      <c r="I71" s="5">
        <v>2</v>
      </c>
      <c r="J71" s="5">
        <v>2</v>
      </c>
      <c r="K71" s="5">
        <v>3</v>
      </c>
      <c r="L71" s="5">
        <v>1</v>
      </c>
      <c r="M71" s="5">
        <v>3</v>
      </c>
      <c r="N71" s="16">
        <f t="shared" si="4"/>
        <v>2.3333333333333335</v>
      </c>
      <c r="O71" s="5" t="str" cm="1">
        <f t="array" ref="O71">_xlfn.SWITCH(TRUE, N71&lt;=$S$7, "Low", N71&gt;=$S$8, "High", "Moderate")</f>
        <v>Low</v>
      </c>
      <c r="P71" s="5" t="str" cm="1">
        <f t="array" ref="P71">_xlfn.SWITCH(TRUE, N71&gt;=3.5, "High", N71&gt;=2.5, "Moderate", "Low")</f>
        <v>Low</v>
      </c>
      <c r="Q71" s="5" t="str">
        <f t="shared" si="5"/>
        <v>Low</v>
      </c>
      <c r="R71" s="5" t="str" cm="1">
        <f t="array" ref="R71">_xlfn.SWITCH(TRUE, N71&gt;=3, "High", "Low")</f>
        <v>Low</v>
      </c>
    </row>
    <row r="72" spans="1:18" x14ac:dyDescent="0.35">
      <c r="A72">
        <v>69</v>
      </c>
      <c r="B72" s="5">
        <v>3</v>
      </c>
      <c r="C72" s="5">
        <v>2</v>
      </c>
      <c r="D72" s="5">
        <v>3</v>
      </c>
      <c r="E72" s="5">
        <v>3</v>
      </c>
      <c r="F72" s="5">
        <v>3</v>
      </c>
      <c r="G72" s="5">
        <v>3</v>
      </c>
      <c r="H72" s="5">
        <v>3</v>
      </c>
      <c r="I72" s="5">
        <v>3</v>
      </c>
      <c r="J72" s="5">
        <v>3</v>
      </c>
      <c r="K72" s="5">
        <v>2</v>
      </c>
      <c r="L72" s="5">
        <v>2</v>
      </c>
      <c r="M72" s="5">
        <v>4</v>
      </c>
      <c r="N72" s="16">
        <f t="shared" si="4"/>
        <v>2.8333333333333335</v>
      </c>
      <c r="O72" s="5" t="str" cm="1">
        <f t="array" ref="O72">_xlfn.SWITCH(TRUE, N72&lt;=$S$7, "Low", N72&gt;=$S$8, "High", "Moderate")</f>
        <v>Low</v>
      </c>
      <c r="P72" s="5" t="str" cm="1">
        <f t="array" ref="P72">_xlfn.SWITCH(TRUE, N72&gt;=3.5, "High", N72&gt;=2.5, "Moderate", "Low")</f>
        <v>Moderate</v>
      </c>
      <c r="Q72" s="5" t="str">
        <f t="shared" si="5"/>
        <v>Low</v>
      </c>
      <c r="R72" s="5" t="str" cm="1">
        <f t="array" ref="R72">_xlfn.SWITCH(TRUE, N72&gt;=3, "High", "Low")</f>
        <v>Low</v>
      </c>
    </row>
    <row r="73" spans="1:18" x14ac:dyDescent="0.35">
      <c r="A73">
        <v>70</v>
      </c>
      <c r="B73" s="5">
        <v>5</v>
      </c>
      <c r="C73" s="5">
        <v>2</v>
      </c>
      <c r="D73" s="5">
        <v>5</v>
      </c>
      <c r="E73" s="5">
        <v>1</v>
      </c>
      <c r="F73" s="5">
        <v>2</v>
      </c>
      <c r="G73" s="5">
        <v>1</v>
      </c>
      <c r="H73" s="5">
        <v>5</v>
      </c>
      <c r="I73" s="5">
        <v>3</v>
      </c>
      <c r="J73" s="5">
        <v>5</v>
      </c>
      <c r="K73" s="5">
        <v>5</v>
      </c>
      <c r="L73" s="5">
        <v>5</v>
      </c>
      <c r="M73" s="5">
        <v>1</v>
      </c>
      <c r="N73" s="16">
        <f t="shared" si="4"/>
        <v>3.3333333333333335</v>
      </c>
      <c r="O73" s="5" t="str" cm="1">
        <f t="array" ref="O73">_xlfn.SWITCH(TRUE, N73&lt;=$S$7, "Low", N73&gt;=$S$8, "High", "Moderate")</f>
        <v>Moderate</v>
      </c>
      <c r="P73" s="5" t="str" cm="1">
        <f t="array" ref="P73">_xlfn.SWITCH(TRUE, N73&gt;=3.5, "High", N73&gt;=2.5, "Moderate", "Low")</f>
        <v>Moderate</v>
      </c>
      <c r="Q73" s="5" t="str">
        <f t="shared" si="5"/>
        <v>High</v>
      </c>
      <c r="R73" s="5" t="str" cm="1">
        <f t="array" ref="R73">_xlfn.SWITCH(TRUE, N73&gt;=3, "High", "Low")</f>
        <v>High</v>
      </c>
    </row>
    <row r="74" spans="1:18" x14ac:dyDescent="0.35">
      <c r="A74">
        <v>71</v>
      </c>
      <c r="B74" s="5">
        <v>5</v>
      </c>
      <c r="C74" s="5">
        <v>3</v>
      </c>
      <c r="D74" s="5">
        <v>4</v>
      </c>
      <c r="E74" s="5">
        <v>3</v>
      </c>
      <c r="F74" s="5">
        <v>3</v>
      </c>
      <c r="G74" s="5">
        <v>5</v>
      </c>
      <c r="H74" s="5">
        <v>4</v>
      </c>
      <c r="I74" s="5">
        <v>4</v>
      </c>
      <c r="J74" s="5">
        <v>3</v>
      </c>
      <c r="K74" s="5">
        <v>2</v>
      </c>
      <c r="L74" s="5">
        <v>4</v>
      </c>
      <c r="M74" s="5">
        <v>4</v>
      </c>
      <c r="N74" s="16">
        <f t="shared" si="4"/>
        <v>3.6666666666666665</v>
      </c>
      <c r="O74" s="5" t="str" cm="1">
        <f t="array" ref="O74">_xlfn.SWITCH(TRUE, N74&lt;=$S$7, "Low", N74&gt;=$S$8, "High", "Moderate")</f>
        <v>High</v>
      </c>
      <c r="P74" s="5" t="str" cm="1">
        <f t="array" ref="P74">_xlfn.SWITCH(TRUE, N74&gt;=3.5, "High", N74&gt;=2.5, "Moderate", "Low")</f>
        <v>High</v>
      </c>
      <c r="Q74" s="5" t="str">
        <f t="shared" si="5"/>
        <v>High</v>
      </c>
      <c r="R74" s="5" t="str" cm="1">
        <f t="array" ref="R74">_xlfn.SWITCH(TRUE, N74&gt;=3, "High", "Low")</f>
        <v>High</v>
      </c>
    </row>
    <row r="75" spans="1:18" x14ac:dyDescent="0.35">
      <c r="A75">
        <v>72</v>
      </c>
      <c r="B75" s="5">
        <v>2</v>
      </c>
      <c r="C75" s="5">
        <v>3</v>
      </c>
      <c r="D75" s="5">
        <v>4</v>
      </c>
      <c r="E75" s="5">
        <v>1</v>
      </c>
      <c r="F75" s="5">
        <v>3</v>
      </c>
      <c r="G75" s="5">
        <v>2</v>
      </c>
      <c r="H75" s="5">
        <v>3</v>
      </c>
      <c r="I75" s="5">
        <v>3</v>
      </c>
      <c r="J75" s="5">
        <v>4</v>
      </c>
      <c r="K75" s="5">
        <v>4</v>
      </c>
      <c r="L75" s="5">
        <v>4</v>
      </c>
      <c r="M75" s="5">
        <v>3</v>
      </c>
      <c r="N75" s="16">
        <f t="shared" si="4"/>
        <v>3</v>
      </c>
      <c r="O75" s="5" t="str" cm="1">
        <f t="array" ref="O75">_xlfn.SWITCH(TRUE, N75&lt;=$S$7, "Low", N75&gt;=$S$8, "High", "Moderate")</f>
        <v>Moderate</v>
      </c>
      <c r="P75" s="5" t="str" cm="1">
        <f t="array" ref="P75">_xlfn.SWITCH(TRUE, N75&gt;=3.5, "High", N75&gt;=2.5, "Moderate", "Low")</f>
        <v>Moderate</v>
      </c>
      <c r="Q75" s="5" t="str">
        <f t="shared" si="5"/>
        <v>Low</v>
      </c>
      <c r="R75" s="5" t="str" cm="1">
        <f t="array" ref="R75">_xlfn.SWITCH(TRUE, N75&gt;=3, "High", "Low")</f>
        <v>High</v>
      </c>
    </row>
    <row r="76" spans="1:18" x14ac:dyDescent="0.35">
      <c r="A76">
        <v>73</v>
      </c>
      <c r="B76" s="5">
        <v>3</v>
      </c>
      <c r="C76" s="5">
        <v>4</v>
      </c>
      <c r="D76" s="5">
        <v>4</v>
      </c>
      <c r="E76" s="5">
        <v>3</v>
      </c>
      <c r="F76" s="5">
        <v>4</v>
      </c>
      <c r="G76" s="5">
        <v>2</v>
      </c>
      <c r="H76" s="5">
        <v>4</v>
      </c>
      <c r="I76" s="5">
        <v>2</v>
      </c>
      <c r="J76" s="5">
        <v>5</v>
      </c>
      <c r="K76" s="5">
        <v>1</v>
      </c>
      <c r="L76" s="5">
        <v>2</v>
      </c>
      <c r="M76" s="5">
        <v>4</v>
      </c>
      <c r="N76" s="16">
        <f t="shared" si="4"/>
        <v>3.1666666666666665</v>
      </c>
      <c r="O76" s="5" t="str" cm="1">
        <f t="array" ref="O76">_xlfn.SWITCH(TRUE, N76&lt;=$S$7, "Low", N76&gt;=$S$8, "High", "Moderate")</f>
        <v>Moderate</v>
      </c>
      <c r="P76" s="5" t="str" cm="1">
        <f t="array" ref="P76">_xlfn.SWITCH(TRUE, N76&gt;=3.5, "High", N76&gt;=2.5, "Moderate", "Low")</f>
        <v>Moderate</v>
      </c>
      <c r="Q76" s="5" t="str">
        <f t="shared" si="5"/>
        <v>Low</v>
      </c>
      <c r="R76" s="5" t="str" cm="1">
        <f t="array" ref="R76">_xlfn.SWITCH(TRUE, N76&gt;=3, "High", "Low")</f>
        <v>High</v>
      </c>
    </row>
    <row r="77" spans="1:18" x14ac:dyDescent="0.35">
      <c r="A77">
        <v>74</v>
      </c>
      <c r="B77" s="5">
        <v>4</v>
      </c>
      <c r="C77" s="5">
        <v>3</v>
      </c>
      <c r="D77" s="5">
        <v>4</v>
      </c>
      <c r="E77" s="5">
        <v>5</v>
      </c>
      <c r="F77" s="5">
        <v>4</v>
      </c>
      <c r="G77" s="5">
        <v>4</v>
      </c>
      <c r="H77" s="5">
        <v>4</v>
      </c>
      <c r="I77" s="5">
        <v>3</v>
      </c>
      <c r="J77" s="5">
        <v>2</v>
      </c>
      <c r="K77" s="5">
        <v>1</v>
      </c>
      <c r="L77" s="5">
        <v>4</v>
      </c>
      <c r="M77" s="5">
        <v>2</v>
      </c>
      <c r="N77" s="16">
        <f t="shared" si="4"/>
        <v>3.3333333333333335</v>
      </c>
      <c r="O77" s="5" t="str" cm="1">
        <f t="array" ref="O77">_xlfn.SWITCH(TRUE, N77&lt;=$S$7, "Low", N77&gt;=$S$8, "High", "Moderate")</f>
        <v>Moderate</v>
      </c>
      <c r="P77" s="5" t="str" cm="1">
        <f t="array" ref="P77">_xlfn.SWITCH(TRUE, N77&gt;=3.5, "High", N77&gt;=2.5, "Moderate", "Low")</f>
        <v>Moderate</v>
      </c>
      <c r="Q77" s="5" t="str">
        <f t="shared" si="5"/>
        <v>High</v>
      </c>
      <c r="R77" s="5" t="str" cm="1">
        <f t="array" ref="R77">_xlfn.SWITCH(TRUE, N77&gt;=3, "High", "Low")</f>
        <v>High</v>
      </c>
    </row>
    <row r="78" spans="1:18" x14ac:dyDescent="0.35">
      <c r="A78">
        <v>75</v>
      </c>
      <c r="B78" s="5">
        <v>2</v>
      </c>
      <c r="C78" s="5">
        <v>2</v>
      </c>
      <c r="D78" s="5">
        <v>2</v>
      </c>
      <c r="E78" s="5">
        <v>2</v>
      </c>
      <c r="F78" s="5">
        <v>2</v>
      </c>
      <c r="G78" s="5">
        <v>2</v>
      </c>
      <c r="H78" s="5">
        <v>2</v>
      </c>
      <c r="I78" s="5">
        <v>2</v>
      </c>
      <c r="J78" s="5">
        <v>2</v>
      </c>
      <c r="K78" s="5">
        <v>2</v>
      </c>
      <c r="L78" s="5">
        <v>2</v>
      </c>
      <c r="M78" s="5">
        <v>2</v>
      </c>
      <c r="N78" s="16">
        <f t="shared" si="4"/>
        <v>2</v>
      </c>
      <c r="O78" s="5" t="str" cm="1">
        <f t="array" ref="O78">_xlfn.SWITCH(TRUE, N78&lt;=$S$7, "Low", N78&gt;=$S$8, "High", "Moderate")</f>
        <v>Low</v>
      </c>
      <c r="P78" s="5" t="str" cm="1">
        <f t="array" ref="P78">_xlfn.SWITCH(TRUE, N78&gt;=3.5, "High", N78&gt;=2.5, "Moderate", "Low")</f>
        <v>Low</v>
      </c>
      <c r="Q78" s="5" t="str">
        <f t="shared" si="5"/>
        <v>Low</v>
      </c>
      <c r="R78" s="5" t="str" cm="1">
        <f t="array" ref="R78">_xlfn.SWITCH(TRUE, N78&gt;=3, "High", "Low")</f>
        <v>Low</v>
      </c>
    </row>
    <row r="79" spans="1:18" x14ac:dyDescent="0.35">
      <c r="A79">
        <v>76</v>
      </c>
      <c r="B79" s="5">
        <v>2</v>
      </c>
      <c r="C79" s="5">
        <v>1</v>
      </c>
      <c r="D79" s="5">
        <v>3</v>
      </c>
      <c r="E79" s="5">
        <v>1</v>
      </c>
      <c r="F79" s="5">
        <v>1</v>
      </c>
      <c r="G79" s="5">
        <v>1</v>
      </c>
      <c r="H79" s="5">
        <v>1</v>
      </c>
      <c r="I79" s="5">
        <v>1</v>
      </c>
      <c r="J79" s="5">
        <v>3</v>
      </c>
      <c r="K79" s="5">
        <v>1</v>
      </c>
      <c r="L79" s="5">
        <v>1</v>
      </c>
      <c r="M79" s="5">
        <v>3</v>
      </c>
      <c r="N79" s="16">
        <f t="shared" si="4"/>
        <v>1.5833333333333333</v>
      </c>
      <c r="O79" s="5" t="str" cm="1">
        <f t="array" ref="O79">_xlfn.SWITCH(TRUE, N79&lt;=$S$7, "Low", N79&gt;=$S$8, "High", "Moderate")</f>
        <v>Low</v>
      </c>
      <c r="P79" s="5" t="str" cm="1">
        <f t="array" ref="P79">_xlfn.SWITCH(TRUE, N79&gt;=3.5, "High", N79&gt;=2.5, "Moderate", "Low")</f>
        <v>Low</v>
      </c>
      <c r="Q79" s="5" t="str">
        <f t="shared" si="5"/>
        <v>Low</v>
      </c>
      <c r="R79" s="5" t="str" cm="1">
        <f t="array" ref="R79">_xlfn.SWITCH(TRUE, N79&gt;=3, "High", "Low")</f>
        <v>Low</v>
      </c>
    </row>
    <row r="80" spans="1:18" x14ac:dyDescent="0.35">
      <c r="A80">
        <v>77</v>
      </c>
      <c r="B80" s="5">
        <v>1</v>
      </c>
      <c r="C80" s="5">
        <v>1</v>
      </c>
      <c r="D80" s="5">
        <v>1</v>
      </c>
      <c r="E80" s="5">
        <v>1</v>
      </c>
      <c r="F80" s="5">
        <v>1</v>
      </c>
      <c r="G80" s="5">
        <v>1</v>
      </c>
      <c r="H80" s="5">
        <v>1</v>
      </c>
      <c r="I80" s="5">
        <v>1</v>
      </c>
      <c r="J80" s="5">
        <v>1</v>
      </c>
      <c r="K80" s="5">
        <v>1</v>
      </c>
      <c r="L80" s="5">
        <v>4</v>
      </c>
      <c r="M80" s="5">
        <v>1</v>
      </c>
      <c r="N80" s="16">
        <f t="shared" si="4"/>
        <v>1.25</v>
      </c>
      <c r="O80" s="5" t="str" cm="1">
        <f t="array" ref="O80">_xlfn.SWITCH(TRUE, N80&lt;=$S$7, "Low", N80&gt;=$S$8, "High", "Moderate")</f>
        <v>Low</v>
      </c>
      <c r="P80" s="5" t="str" cm="1">
        <f t="array" ref="P80">_xlfn.SWITCH(TRUE, N80&gt;=3.5, "High", N80&gt;=2.5, "Moderate", "Low")</f>
        <v>Low</v>
      </c>
      <c r="Q80" s="5" t="str">
        <f t="shared" si="5"/>
        <v>Low</v>
      </c>
      <c r="R80" s="5" t="str" cm="1">
        <f t="array" ref="R80">_xlfn.SWITCH(TRUE, N80&gt;=3, "High", "Low")</f>
        <v>Low</v>
      </c>
    </row>
    <row r="81" spans="1:18" x14ac:dyDescent="0.35">
      <c r="A81">
        <v>78</v>
      </c>
      <c r="B81" s="5">
        <v>3</v>
      </c>
      <c r="C81" s="5">
        <v>2</v>
      </c>
      <c r="D81" s="5">
        <v>3</v>
      </c>
      <c r="E81" s="5">
        <v>2</v>
      </c>
      <c r="F81" s="5">
        <v>2</v>
      </c>
      <c r="G81" s="5">
        <v>2</v>
      </c>
      <c r="H81" s="5">
        <v>4</v>
      </c>
      <c r="I81" s="5">
        <v>4</v>
      </c>
      <c r="J81" s="5">
        <v>4</v>
      </c>
      <c r="K81" s="5">
        <v>2</v>
      </c>
      <c r="L81" s="5">
        <v>4</v>
      </c>
      <c r="M81" s="5">
        <v>3</v>
      </c>
      <c r="N81" s="16">
        <f t="shared" si="4"/>
        <v>2.9166666666666665</v>
      </c>
      <c r="O81" s="5" t="str" cm="1">
        <f t="array" ref="O81">_xlfn.SWITCH(TRUE, N81&lt;=$S$7, "Low", N81&gt;=$S$8, "High", "Moderate")</f>
        <v>Moderate</v>
      </c>
      <c r="P81" s="5" t="str" cm="1">
        <f t="array" ref="P81">_xlfn.SWITCH(TRUE, N81&gt;=3.5, "High", N81&gt;=2.5, "Moderate", "Low")</f>
        <v>Moderate</v>
      </c>
      <c r="Q81" s="5" t="str">
        <f t="shared" si="5"/>
        <v>Low</v>
      </c>
      <c r="R81" s="5" t="str" cm="1">
        <f t="array" ref="R81">_xlfn.SWITCH(TRUE, N81&gt;=3, "High", "Low")</f>
        <v>Low</v>
      </c>
    </row>
    <row r="82" spans="1:18" x14ac:dyDescent="0.35">
      <c r="A82">
        <v>79</v>
      </c>
      <c r="B82" s="5">
        <v>5</v>
      </c>
      <c r="C82" s="5">
        <v>5</v>
      </c>
      <c r="D82" s="5">
        <v>4</v>
      </c>
      <c r="E82" s="5">
        <v>5</v>
      </c>
      <c r="F82" s="5">
        <v>4</v>
      </c>
      <c r="G82" s="5">
        <v>5</v>
      </c>
      <c r="H82" s="5">
        <v>5</v>
      </c>
      <c r="I82" s="5">
        <v>5</v>
      </c>
      <c r="J82" s="5">
        <v>5</v>
      </c>
      <c r="K82" s="5">
        <v>5</v>
      </c>
      <c r="L82" s="5">
        <v>5</v>
      </c>
      <c r="M82" s="5">
        <v>5</v>
      </c>
      <c r="N82" s="16">
        <f t="shared" si="4"/>
        <v>4.833333333333333</v>
      </c>
      <c r="O82" s="5" t="str" cm="1">
        <f t="array" ref="O82">_xlfn.SWITCH(TRUE, N82&lt;=$S$7, "Low", N82&gt;=$S$8, "High", "Moderate")</f>
        <v>High</v>
      </c>
      <c r="P82" s="5" t="str" cm="1">
        <f t="array" ref="P82">_xlfn.SWITCH(TRUE, N82&gt;=3.5, "High", N82&gt;=2.5, "Moderate", "Low")</f>
        <v>High</v>
      </c>
      <c r="Q82" s="5" t="str">
        <f t="shared" si="5"/>
        <v>High</v>
      </c>
      <c r="R82" s="5" t="str" cm="1">
        <f t="array" ref="R82">_xlfn.SWITCH(TRUE, N82&gt;=3, "High", "Low")</f>
        <v>High</v>
      </c>
    </row>
    <row r="83" spans="1:18" x14ac:dyDescent="0.35">
      <c r="A83">
        <v>80</v>
      </c>
      <c r="B83" s="5">
        <v>5</v>
      </c>
      <c r="C83" s="5">
        <v>1</v>
      </c>
      <c r="D83" s="5">
        <v>4</v>
      </c>
      <c r="E83" s="5">
        <v>1</v>
      </c>
      <c r="F83" s="5">
        <v>3</v>
      </c>
      <c r="G83" s="5">
        <v>2</v>
      </c>
      <c r="H83" s="5">
        <v>4</v>
      </c>
      <c r="I83" s="5">
        <v>2</v>
      </c>
      <c r="J83" s="5">
        <v>3</v>
      </c>
      <c r="K83" s="5">
        <v>2</v>
      </c>
      <c r="L83" s="5">
        <v>2</v>
      </c>
      <c r="M83" s="5">
        <v>2</v>
      </c>
      <c r="N83" s="16">
        <f t="shared" si="4"/>
        <v>2.5833333333333335</v>
      </c>
      <c r="O83" s="5" t="str" cm="1">
        <f t="array" ref="O83">_xlfn.SWITCH(TRUE, N83&lt;=$S$7, "Low", N83&gt;=$S$8, "High", "Moderate")</f>
        <v>Low</v>
      </c>
      <c r="P83" s="5" t="str" cm="1">
        <f t="array" ref="P83">_xlfn.SWITCH(TRUE, N83&gt;=3.5, "High", N83&gt;=2.5, "Moderate", "Low")</f>
        <v>Moderate</v>
      </c>
      <c r="Q83" s="5" t="str">
        <f t="shared" si="5"/>
        <v>Low</v>
      </c>
      <c r="R83" s="5" t="str" cm="1">
        <f t="array" ref="R83">_xlfn.SWITCH(TRUE, N83&gt;=3, "High", "Low")</f>
        <v>Low</v>
      </c>
    </row>
    <row r="84" spans="1:18" x14ac:dyDescent="0.35">
      <c r="A84">
        <v>81</v>
      </c>
      <c r="B84" s="5">
        <v>4</v>
      </c>
      <c r="C84" s="5">
        <v>1</v>
      </c>
      <c r="D84" s="5">
        <v>4</v>
      </c>
      <c r="E84" s="5">
        <v>2</v>
      </c>
      <c r="F84" s="5">
        <v>4</v>
      </c>
      <c r="G84" s="5">
        <v>4</v>
      </c>
      <c r="H84" s="5">
        <v>4</v>
      </c>
      <c r="I84" s="5">
        <v>3</v>
      </c>
      <c r="J84" s="5">
        <v>4</v>
      </c>
      <c r="K84" s="5">
        <v>1</v>
      </c>
      <c r="L84" s="5">
        <v>4</v>
      </c>
      <c r="M84" s="5">
        <v>3</v>
      </c>
      <c r="N84" s="16">
        <f t="shared" si="4"/>
        <v>3.1666666666666665</v>
      </c>
      <c r="O84" s="5" t="str" cm="1">
        <f t="array" ref="O84">_xlfn.SWITCH(TRUE, N84&lt;=$S$7, "Low", N84&gt;=$S$8, "High", "Moderate")</f>
        <v>Moderate</v>
      </c>
      <c r="P84" s="5" t="str" cm="1">
        <f t="array" ref="P84">_xlfn.SWITCH(TRUE, N84&gt;=3.5, "High", N84&gt;=2.5, "Moderate", "Low")</f>
        <v>Moderate</v>
      </c>
      <c r="Q84" s="5" t="str">
        <f t="shared" si="5"/>
        <v>Low</v>
      </c>
      <c r="R84" s="5" t="str" cm="1">
        <f t="array" ref="R84">_xlfn.SWITCH(TRUE, N84&gt;=3, "High", "Low")</f>
        <v>High</v>
      </c>
    </row>
    <row r="85" spans="1:18" x14ac:dyDescent="0.35">
      <c r="A85">
        <v>82</v>
      </c>
      <c r="B85" s="5">
        <v>4</v>
      </c>
      <c r="C85" s="5">
        <v>2</v>
      </c>
      <c r="D85" s="5">
        <v>4</v>
      </c>
      <c r="E85" s="5">
        <v>2</v>
      </c>
      <c r="F85" s="5">
        <v>4</v>
      </c>
      <c r="G85" s="5">
        <v>2</v>
      </c>
      <c r="H85" s="5">
        <v>3</v>
      </c>
      <c r="I85" s="5">
        <v>2</v>
      </c>
      <c r="J85" s="5">
        <v>3</v>
      </c>
      <c r="K85" s="5">
        <v>5</v>
      </c>
      <c r="L85" s="5">
        <v>2</v>
      </c>
      <c r="M85" s="5">
        <v>3</v>
      </c>
      <c r="N85" s="16">
        <f t="shared" si="4"/>
        <v>3</v>
      </c>
      <c r="O85" s="5" t="str" cm="1">
        <f t="array" ref="O85">_xlfn.SWITCH(TRUE, N85&lt;=$S$7, "Low", N85&gt;=$S$8, "High", "Moderate")</f>
        <v>Moderate</v>
      </c>
      <c r="P85" s="5" t="str" cm="1">
        <f t="array" ref="P85">_xlfn.SWITCH(TRUE, N85&gt;=3.5, "High", N85&gt;=2.5, "Moderate", "Low")</f>
        <v>Moderate</v>
      </c>
      <c r="Q85" s="5" t="str">
        <f t="shared" si="5"/>
        <v>Low</v>
      </c>
      <c r="R85" s="5" t="str" cm="1">
        <f t="array" ref="R85">_xlfn.SWITCH(TRUE, N85&gt;=3, "High", "Low")</f>
        <v>High</v>
      </c>
    </row>
    <row r="86" spans="1:18" x14ac:dyDescent="0.35">
      <c r="A86">
        <v>83</v>
      </c>
      <c r="B86" s="5">
        <v>5</v>
      </c>
      <c r="C86" s="5">
        <v>2</v>
      </c>
      <c r="D86" s="5">
        <v>5</v>
      </c>
      <c r="E86" s="5">
        <v>3</v>
      </c>
      <c r="F86" s="5">
        <v>3</v>
      </c>
      <c r="G86" s="5">
        <v>3</v>
      </c>
      <c r="H86" s="5">
        <v>4</v>
      </c>
      <c r="I86" s="5">
        <v>3</v>
      </c>
      <c r="J86" s="5">
        <v>4</v>
      </c>
      <c r="K86" s="5">
        <v>3</v>
      </c>
      <c r="L86" s="5">
        <v>3</v>
      </c>
      <c r="M86" s="5">
        <v>5</v>
      </c>
      <c r="N86" s="16">
        <f t="shared" si="4"/>
        <v>3.5833333333333335</v>
      </c>
      <c r="O86" s="5" t="str" cm="1">
        <f t="array" ref="O86">_xlfn.SWITCH(TRUE, N86&lt;=$S$7, "Low", N86&gt;=$S$8, "High", "Moderate")</f>
        <v>High</v>
      </c>
      <c r="P86" s="5" t="str" cm="1">
        <f t="array" ref="P86">_xlfn.SWITCH(TRUE, N86&gt;=3.5, "High", N86&gt;=2.5, "Moderate", "Low")</f>
        <v>High</v>
      </c>
      <c r="Q86" s="5" t="str">
        <f t="shared" si="5"/>
        <v>High</v>
      </c>
      <c r="R86" s="5" t="str" cm="1">
        <f t="array" ref="R86">_xlfn.SWITCH(TRUE, N86&gt;=3, "High", "Low")</f>
        <v>High</v>
      </c>
    </row>
    <row r="87" spans="1:18" x14ac:dyDescent="0.35">
      <c r="A87">
        <v>84</v>
      </c>
      <c r="B87" s="5">
        <v>3</v>
      </c>
      <c r="C87" s="5">
        <v>2</v>
      </c>
      <c r="D87" s="5">
        <v>3</v>
      </c>
      <c r="E87" s="5">
        <v>3</v>
      </c>
      <c r="F87" s="5">
        <v>3</v>
      </c>
      <c r="G87" s="5">
        <v>3</v>
      </c>
      <c r="H87" s="5">
        <v>4</v>
      </c>
      <c r="I87" s="5">
        <v>3</v>
      </c>
      <c r="J87" s="5">
        <v>2</v>
      </c>
      <c r="K87" s="5">
        <v>4</v>
      </c>
      <c r="L87" s="5">
        <v>3</v>
      </c>
      <c r="M87" s="5">
        <v>2</v>
      </c>
      <c r="N87" s="16">
        <f t="shared" si="4"/>
        <v>2.9166666666666665</v>
      </c>
      <c r="O87" s="5" t="str" cm="1">
        <f t="array" ref="O87">_xlfn.SWITCH(TRUE, N87&lt;=$S$7, "Low", N87&gt;=$S$8, "High", "Moderate")</f>
        <v>Moderate</v>
      </c>
      <c r="P87" s="5" t="str" cm="1">
        <f t="array" ref="P87">_xlfn.SWITCH(TRUE, N87&gt;=3.5, "High", N87&gt;=2.5, "Moderate", "Low")</f>
        <v>Moderate</v>
      </c>
      <c r="Q87" s="5" t="str">
        <f t="shared" si="5"/>
        <v>Low</v>
      </c>
      <c r="R87" s="5" t="str" cm="1">
        <f t="array" ref="R87">_xlfn.SWITCH(TRUE, N87&gt;=3, "High", "Low")</f>
        <v>Low</v>
      </c>
    </row>
    <row r="88" spans="1:18" x14ac:dyDescent="0.35">
      <c r="A88">
        <v>85</v>
      </c>
      <c r="B88" s="5">
        <v>3</v>
      </c>
      <c r="C88" s="5">
        <v>3</v>
      </c>
      <c r="D88" s="5">
        <v>4</v>
      </c>
      <c r="E88" s="5">
        <v>3</v>
      </c>
      <c r="F88" s="5">
        <v>4</v>
      </c>
      <c r="G88" s="5">
        <v>3</v>
      </c>
      <c r="H88" s="5">
        <v>3</v>
      </c>
      <c r="I88" s="5">
        <v>3</v>
      </c>
      <c r="J88" s="5">
        <v>4</v>
      </c>
      <c r="K88" s="5">
        <v>4</v>
      </c>
      <c r="L88" s="5">
        <v>3</v>
      </c>
      <c r="M88" s="5">
        <v>5</v>
      </c>
      <c r="N88" s="16">
        <f t="shared" si="4"/>
        <v>3.5</v>
      </c>
      <c r="O88" s="5" t="str" cm="1">
        <f t="array" ref="O88">_xlfn.SWITCH(TRUE, N88&lt;=$S$7, "Low", N88&gt;=$S$8, "High", "Moderate")</f>
        <v>High</v>
      </c>
      <c r="P88" s="5" t="str" cm="1">
        <f t="array" ref="P88">_xlfn.SWITCH(TRUE, N88&gt;=3.5, "High", N88&gt;=2.5, "Moderate", "Low")</f>
        <v>High</v>
      </c>
      <c r="Q88" s="5" t="str">
        <f t="shared" si="5"/>
        <v>High</v>
      </c>
      <c r="R88" s="5" t="str" cm="1">
        <f t="array" ref="R88">_xlfn.SWITCH(TRUE, N88&gt;=3, "High", "Low")</f>
        <v>High</v>
      </c>
    </row>
    <row r="89" spans="1:18" x14ac:dyDescent="0.35">
      <c r="A89">
        <v>86</v>
      </c>
      <c r="B89" s="5">
        <v>5</v>
      </c>
      <c r="C89" s="5">
        <v>5</v>
      </c>
      <c r="D89" s="5">
        <v>5</v>
      </c>
      <c r="E89" s="5">
        <v>5</v>
      </c>
      <c r="F89" s="5">
        <v>5</v>
      </c>
      <c r="G89" s="5">
        <v>2</v>
      </c>
      <c r="H89" s="5">
        <v>5</v>
      </c>
      <c r="I89" s="5">
        <v>3</v>
      </c>
      <c r="J89" s="5">
        <v>5</v>
      </c>
      <c r="K89" s="5">
        <v>5</v>
      </c>
      <c r="L89" s="5">
        <v>5</v>
      </c>
      <c r="M89" s="5">
        <v>5</v>
      </c>
      <c r="N89" s="16">
        <f t="shared" si="4"/>
        <v>4.583333333333333</v>
      </c>
      <c r="O89" s="5" t="str" cm="1">
        <f t="array" ref="O89">_xlfn.SWITCH(TRUE, N89&lt;=$S$7, "Low", N89&gt;=$S$8, "High", "Moderate")</f>
        <v>High</v>
      </c>
      <c r="P89" s="5" t="str" cm="1">
        <f t="array" ref="P89">_xlfn.SWITCH(TRUE, N89&gt;=3.5, "High", N89&gt;=2.5, "Moderate", "Low")</f>
        <v>High</v>
      </c>
      <c r="Q89" s="5" t="str">
        <f t="shared" si="5"/>
        <v>High</v>
      </c>
      <c r="R89" s="5" t="str" cm="1">
        <f t="array" ref="R89">_xlfn.SWITCH(TRUE, N89&gt;=3, "High", "Low")</f>
        <v>High</v>
      </c>
    </row>
    <row r="90" spans="1:18" x14ac:dyDescent="0.35">
      <c r="A90">
        <v>87</v>
      </c>
      <c r="B90" s="5">
        <v>4</v>
      </c>
      <c r="C90" s="5">
        <v>5</v>
      </c>
      <c r="D90" s="5">
        <v>3</v>
      </c>
      <c r="E90" s="5">
        <v>4</v>
      </c>
      <c r="F90" s="5">
        <v>4</v>
      </c>
      <c r="G90" s="5">
        <v>2</v>
      </c>
      <c r="H90" s="5">
        <v>5</v>
      </c>
      <c r="I90" s="5">
        <v>3</v>
      </c>
      <c r="J90" s="5">
        <v>2</v>
      </c>
      <c r="K90" s="5">
        <v>1</v>
      </c>
      <c r="L90" s="5">
        <v>2</v>
      </c>
      <c r="M90" s="5">
        <v>5</v>
      </c>
      <c r="N90" s="16">
        <f t="shared" si="4"/>
        <v>3.3333333333333335</v>
      </c>
      <c r="O90" s="5" t="str" cm="1">
        <f t="array" ref="O90">_xlfn.SWITCH(TRUE, N90&lt;=$S$7, "Low", N90&gt;=$S$8, "High", "Moderate")</f>
        <v>Moderate</v>
      </c>
      <c r="P90" s="5" t="str" cm="1">
        <f t="array" ref="P90">_xlfn.SWITCH(TRUE, N90&gt;=3.5, "High", N90&gt;=2.5, "Moderate", "Low")</f>
        <v>Moderate</v>
      </c>
      <c r="Q90" s="5" t="str">
        <f t="shared" si="5"/>
        <v>High</v>
      </c>
      <c r="R90" s="5" t="str" cm="1">
        <f t="array" ref="R90">_xlfn.SWITCH(TRUE, N90&gt;=3, "High", "Low")</f>
        <v>High</v>
      </c>
    </row>
    <row r="91" spans="1:18" x14ac:dyDescent="0.35">
      <c r="A91">
        <v>88</v>
      </c>
      <c r="B91" s="5">
        <v>3</v>
      </c>
      <c r="C91" s="5">
        <v>3</v>
      </c>
      <c r="D91" s="5">
        <v>3</v>
      </c>
      <c r="E91" s="5">
        <v>3</v>
      </c>
      <c r="F91" s="5">
        <v>3</v>
      </c>
      <c r="G91" s="5">
        <v>3</v>
      </c>
      <c r="H91" s="5">
        <v>2</v>
      </c>
      <c r="I91" s="5">
        <v>3</v>
      </c>
      <c r="J91" s="5">
        <v>3</v>
      </c>
      <c r="K91" s="5">
        <v>2</v>
      </c>
      <c r="L91" s="5">
        <v>3</v>
      </c>
      <c r="M91" s="5">
        <v>3</v>
      </c>
      <c r="N91" s="16">
        <f t="shared" si="4"/>
        <v>2.8333333333333335</v>
      </c>
      <c r="O91" s="5" t="str" cm="1">
        <f t="array" ref="O91">_xlfn.SWITCH(TRUE, N91&lt;=$S$7, "Low", N91&gt;=$S$8, "High", "Moderate")</f>
        <v>Low</v>
      </c>
      <c r="P91" s="5" t="str" cm="1">
        <f t="array" ref="P91">_xlfn.SWITCH(TRUE, N91&gt;=3.5, "High", N91&gt;=2.5, "Moderate", "Low")</f>
        <v>Moderate</v>
      </c>
      <c r="Q91" s="5" t="str">
        <f t="shared" si="5"/>
        <v>Low</v>
      </c>
      <c r="R91" s="5" t="str" cm="1">
        <f t="array" ref="R91">_xlfn.SWITCH(TRUE, N91&gt;=3, "High", "Low")</f>
        <v>Low</v>
      </c>
    </row>
    <row r="92" spans="1:18" x14ac:dyDescent="0.35">
      <c r="A92">
        <v>89</v>
      </c>
      <c r="B92" s="5">
        <v>4</v>
      </c>
      <c r="C92" s="5">
        <v>3</v>
      </c>
      <c r="D92" s="5">
        <v>3</v>
      </c>
      <c r="E92" s="5">
        <v>4</v>
      </c>
      <c r="F92" s="5">
        <v>5</v>
      </c>
      <c r="G92" s="5">
        <v>4</v>
      </c>
      <c r="H92" s="5">
        <v>3</v>
      </c>
      <c r="I92" s="5">
        <v>3</v>
      </c>
      <c r="J92" s="5">
        <v>3</v>
      </c>
      <c r="K92" s="5">
        <v>3</v>
      </c>
      <c r="L92" s="5">
        <v>3</v>
      </c>
      <c r="M92" s="5">
        <v>4</v>
      </c>
      <c r="N92" s="16">
        <f t="shared" si="4"/>
        <v>3.5</v>
      </c>
      <c r="O92" s="5" t="str" cm="1">
        <f t="array" ref="O92">_xlfn.SWITCH(TRUE, N92&lt;=$S$7, "Low", N92&gt;=$S$8, "High", "Moderate")</f>
        <v>High</v>
      </c>
      <c r="P92" s="5" t="str" cm="1">
        <f t="array" ref="P92">_xlfn.SWITCH(TRUE, N92&gt;=3.5, "High", N92&gt;=2.5, "Moderate", "Low")</f>
        <v>High</v>
      </c>
      <c r="Q92" s="5" t="str">
        <f t="shared" si="5"/>
        <v>High</v>
      </c>
      <c r="R92" s="5" t="str" cm="1">
        <f t="array" ref="R92">_xlfn.SWITCH(TRUE, N92&gt;=3, "High", "Low")</f>
        <v>High</v>
      </c>
    </row>
    <row r="93" spans="1:18" x14ac:dyDescent="0.35">
      <c r="A93">
        <v>90</v>
      </c>
      <c r="B93" s="5">
        <v>1</v>
      </c>
      <c r="C93" s="5">
        <v>5</v>
      </c>
      <c r="D93" s="5">
        <v>4</v>
      </c>
      <c r="E93" s="5">
        <v>5</v>
      </c>
      <c r="F93" s="5">
        <v>3</v>
      </c>
      <c r="G93" s="5">
        <v>5</v>
      </c>
      <c r="H93" s="5">
        <v>4</v>
      </c>
      <c r="I93" s="5">
        <v>2</v>
      </c>
      <c r="J93" s="5">
        <v>3</v>
      </c>
      <c r="K93" s="5">
        <v>2</v>
      </c>
      <c r="L93" s="5">
        <v>3</v>
      </c>
      <c r="M93" s="5">
        <v>5</v>
      </c>
      <c r="N93" s="16">
        <f t="shared" si="4"/>
        <v>3.5</v>
      </c>
      <c r="O93" s="5" t="str" cm="1">
        <f t="array" ref="O93">_xlfn.SWITCH(TRUE, N93&lt;=$S$7, "Low", N93&gt;=$S$8, "High", "Moderate")</f>
        <v>High</v>
      </c>
      <c r="P93" s="5" t="str" cm="1">
        <f t="array" ref="P93">_xlfn.SWITCH(TRUE, N93&gt;=3.5, "High", N93&gt;=2.5, "Moderate", "Low")</f>
        <v>High</v>
      </c>
      <c r="Q93" s="5" t="str">
        <f t="shared" si="5"/>
        <v>High</v>
      </c>
      <c r="R93" s="5" t="str" cm="1">
        <f t="array" ref="R93">_xlfn.SWITCH(TRUE, N93&gt;=3, "High", "Low")</f>
        <v>High</v>
      </c>
    </row>
    <row r="94" spans="1:18" x14ac:dyDescent="0.35">
      <c r="A94">
        <v>91</v>
      </c>
      <c r="B94" s="5">
        <v>3</v>
      </c>
      <c r="C94" s="5">
        <v>4</v>
      </c>
      <c r="D94" s="5">
        <v>4</v>
      </c>
      <c r="E94" s="5">
        <v>2</v>
      </c>
      <c r="F94" s="5">
        <v>4</v>
      </c>
      <c r="G94" s="5">
        <v>4</v>
      </c>
      <c r="H94" s="5">
        <v>2</v>
      </c>
      <c r="I94" s="5">
        <v>1</v>
      </c>
      <c r="J94" s="5">
        <v>4</v>
      </c>
      <c r="K94" s="5">
        <v>1</v>
      </c>
      <c r="L94" s="5">
        <v>4</v>
      </c>
      <c r="M94" s="5">
        <v>3</v>
      </c>
      <c r="N94" s="16">
        <f t="shared" si="4"/>
        <v>3</v>
      </c>
      <c r="O94" s="5" t="str" cm="1">
        <f t="array" ref="O94">_xlfn.SWITCH(TRUE, N94&lt;=$S$7, "Low", N94&gt;=$S$8, "High", "Moderate")</f>
        <v>Moderate</v>
      </c>
      <c r="P94" s="5" t="str" cm="1">
        <f t="array" ref="P94">_xlfn.SWITCH(TRUE, N94&gt;=3.5, "High", N94&gt;=2.5, "Moderate", "Low")</f>
        <v>Moderate</v>
      </c>
      <c r="Q94" s="5" t="str">
        <f t="shared" si="5"/>
        <v>Low</v>
      </c>
      <c r="R94" s="5" t="str" cm="1">
        <f t="array" ref="R94">_xlfn.SWITCH(TRUE, N94&gt;=3, "High", "Low")</f>
        <v>High</v>
      </c>
    </row>
    <row r="95" spans="1:18" x14ac:dyDescent="0.35">
      <c r="A95">
        <v>92</v>
      </c>
      <c r="B95" s="5">
        <v>3</v>
      </c>
      <c r="C95" s="5">
        <v>3</v>
      </c>
      <c r="D95" s="5">
        <v>3</v>
      </c>
      <c r="E95" s="5">
        <v>3</v>
      </c>
      <c r="F95" s="5">
        <v>3</v>
      </c>
      <c r="G95" s="5">
        <v>3</v>
      </c>
      <c r="H95" s="5">
        <v>3</v>
      </c>
      <c r="I95" s="5">
        <v>3</v>
      </c>
      <c r="J95" s="5">
        <v>4</v>
      </c>
      <c r="K95" s="5">
        <v>2</v>
      </c>
      <c r="L95" s="5">
        <v>2</v>
      </c>
      <c r="M95" s="5">
        <v>4</v>
      </c>
      <c r="N95" s="16">
        <f t="shared" si="4"/>
        <v>3</v>
      </c>
      <c r="O95" s="5" t="str" cm="1">
        <f t="array" ref="O95">_xlfn.SWITCH(TRUE, N95&lt;=$S$7, "Low", N95&gt;=$S$8, "High", "Moderate")</f>
        <v>Moderate</v>
      </c>
      <c r="P95" s="5" t="str" cm="1">
        <f t="array" ref="P95">_xlfn.SWITCH(TRUE, N95&gt;=3.5, "High", N95&gt;=2.5, "Moderate", "Low")</f>
        <v>Moderate</v>
      </c>
      <c r="Q95" s="5" t="str">
        <f t="shared" si="5"/>
        <v>Low</v>
      </c>
      <c r="R95" s="5" t="str" cm="1">
        <f t="array" ref="R95">_xlfn.SWITCH(TRUE, N95&gt;=3, "High", "Low")</f>
        <v>High</v>
      </c>
    </row>
    <row r="96" spans="1:18" x14ac:dyDescent="0.35">
      <c r="A96">
        <v>93</v>
      </c>
      <c r="B96" s="5">
        <v>5</v>
      </c>
      <c r="C96" s="5">
        <v>4</v>
      </c>
      <c r="D96" s="5">
        <v>5</v>
      </c>
      <c r="E96" s="5">
        <v>4</v>
      </c>
      <c r="F96" s="5">
        <v>4</v>
      </c>
      <c r="G96" s="5">
        <v>3</v>
      </c>
      <c r="H96" s="5">
        <v>5</v>
      </c>
      <c r="I96" s="5">
        <v>5</v>
      </c>
      <c r="J96" s="5">
        <v>5</v>
      </c>
      <c r="K96" s="5">
        <v>4</v>
      </c>
      <c r="L96" s="5">
        <v>5</v>
      </c>
      <c r="M96" s="5">
        <v>5</v>
      </c>
      <c r="N96" s="16">
        <f t="shared" si="4"/>
        <v>4.5</v>
      </c>
      <c r="O96" s="5" t="str" cm="1">
        <f t="array" ref="O96">_xlfn.SWITCH(TRUE, N96&lt;=$S$7, "Low", N96&gt;=$S$8, "High", "Moderate")</f>
        <v>High</v>
      </c>
      <c r="P96" s="5" t="str" cm="1">
        <f t="array" ref="P96">_xlfn.SWITCH(TRUE, N96&gt;=3.5, "High", N96&gt;=2.5, "Moderate", "Low")</f>
        <v>High</v>
      </c>
      <c r="Q96" s="5" t="str">
        <f t="shared" si="5"/>
        <v>High</v>
      </c>
      <c r="R96" s="5" t="str" cm="1">
        <f t="array" ref="R96">_xlfn.SWITCH(TRUE, N96&gt;=3, "High", "Low")</f>
        <v>High</v>
      </c>
    </row>
    <row r="97" spans="1:18" x14ac:dyDescent="0.35">
      <c r="A97">
        <v>94</v>
      </c>
      <c r="B97" s="5">
        <v>5</v>
      </c>
      <c r="C97" s="5">
        <v>4</v>
      </c>
      <c r="D97" s="5">
        <v>5</v>
      </c>
      <c r="E97" s="5">
        <v>5</v>
      </c>
      <c r="F97" s="5">
        <v>4</v>
      </c>
      <c r="G97" s="5">
        <v>1</v>
      </c>
      <c r="H97" s="5">
        <v>5</v>
      </c>
      <c r="I97" s="5">
        <v>3</v>
      </c>
      <c r="J97" s="5">
        <v>5</v>
      </c>
      <c r="K97" s="5">
        <v>4</v>
      </c>
      <c r="L97" s="5">
        <v>5</v>
      </c>
      <c r="M97" s="5">
        <v>5</v>
      </c>
      <c r="N97" s="16">
        <f t="shared" si="4"/>
        <v>4.25</v>
      </c>
      <c r="O97" s="5" t="str" cm="1">
        <f t="array" ref="O97">_xlfn.SWITCH(TRUE, N97&lt;=$S$7, "Low", N97&gt;=$S$8, "High", "Moderate")</f>
        <v>High</v>
      </c>
      <c r="P97" s="5" t="str" cm="1">
        <f t="array" ref="P97">_xlfn.SWITCH(TRUE, N97&gt;=3.5, "High", N97&gt;=2.5, "Moderate", "Low")</f>
        <v>High</v>
      </c>
      <c r="Q97" s="5" t="str">
        <f t="shared" si="5"/>
        <v>High</v>
      </c>
      <c r="R97" s="5" t="str" cm="1">
        <f t="array" ref="R97">_xlfn.SWITCH(TRUE, N97&gt;=3, "High", "Low")</f>
        <v>High</v>
      </c>
    </row>
    <row r="98" spans="1:18" x14ac:dyDescent="0.35">
      <c r="A98">
        <v>95</v>
      </c>
      <c r="B98" s="5">
        <v>5</v>
      </c>
      <c r="C98" s="5">
        <v>4</v>
      </c>
      <c r="D98" s="5">
        <v>4</v>
      </c>
      <c r="E98" s="5">
        <v>5</v>
      </c>
      <c r="F98" s="5">
        <v>4</v>
      </c>
      <c r="G98" s="5">
        <v>3</v>
      </c>
      <c r="H98" s="5">
        <v>5</v>
      </c>
      <c r="I98" s="5">
        <v>3</v>
      </c>
      <c r="J98" s="5">
        <v>4</v>
      </c>
      <c r="K98" s="5">
        <v>3</v>
      </c>
      <c r="L98" s="5">
        <v>4</v>
      </c>
      <c r="M98" s="5">
        <v>3</v>
      </c>
      <c r="N98" s="16">
        <f t="shared" si="4"/>
        <v>3.9166666666666665</v>
      </c>
      <c r="O98" s="5" t="str" cm="1">
        <f t="array" ref="O98">_xlfn.SWITCH(TRUE, N98&lt;=$S$7, "Low", N98&gt;=$S$8, "High", "Moderate")</f>
        <v>High</v>
      </c>
      <c r="P98" s="5" t="str" cm="1">
        <f t="array" ref="P98">_xlfn.SWITCH(TRUE, N98&gt;=3.5, "High", N98&gt;=2.5, "Moderate", "Low")</f>
        <v>High</v>
      </c>
      <c r="Q98" s="5" t="str">
        <f t="shared" si="5"/>
        <v>High</v>
      </c>
      <c r="R98" s="5" t="str" cm="1">
        <f t="array" ref="R98">_xlfn.SWITCH(TRUE, N98&gt;=3, "High", "Low")</f>
        <v>High</v>
      </c>
    </row>
    <row r="99" spans="1:18" x14ac:dyDescent="0.35">
      <c r="A99">
        <v>96</v>
      </c>
      <c r="B99" s="5">
        <v>3</v>
      </c>
      <c r="C99" s="5">
        <v>2</v>
      </c>
      <c r="D99" s="5">
        <v>3</v>
      </c>
      <c r="E99" s="5">
        <v>4</v>
      </c>
      <c r="F99" s="5">
        <v>4</v>
      </c>
      <c r="G99" s="5">
        <v>4</v>
      </c>
      <c r="H99" s="5">
        <v>4</v>
      </c>
      <c r="I99" s="5">
        <v>2</v>
      </c>
      <c r="J99" s="5">
        <v>2</v>
      </c>
      <c r="K99" s="5">
        <v>4</v>
      </c>
      <c r="L99" s="5">
        <v>2</v>
      </c>
      <c r="M99" s="5">
        <v>4</v>
      </c>
      <c r="N99" s="16">
        <f t="shared" si="4"/>
        <v>3.1666666666666665</v>
      </c>
      <c r="O99" s="5" t="str" cm="1">
        <f t="array" ref="O99">_xlfn.SWITCH(TRUE, N99&lt;=$S$7, "Low", N99&gt;=$S$8, "High", "Moderate")</f>
        <v>Moderate</v>
      </c>
      <c r="P99" s="5" t="str" cm="1">
        <f t="array" ref="P99">_xlfn.SWITCH(TRUE, N99&gt;=3.5, "High", N99&gt;=2.5, "Moderate", "Low")</f>
        <v>Moderate</v>
      </c>
      <c r="Q99" s="5" t="str">
        <f t="shared" si="5"/>
        <v>Low</v>
      </c>
      <c r="R99" s="5" t="str" cm="1">
        <f t="array" ref="R99">_xlfn.SWITCH(TRUE, N99&gt;=3, "High", "Low")</f>
        <v>High</v>
      </c>
    </row>
    <row r="100" spans="1:18" x14ac:dyDescent="0.35">
      <c r="A100">
        <v>97</v>
      </c>
      <c r="B100" s="5">
        <v>3</v>
      </c>
      <c r="C100" s="5">
        <v>2</v>
      </c>
      <c r="D100" s="5">
        <v>3</v>
      </c>
      <c r="E100" s="5">
        <v>3</v>
      </c>
      <c r="F100" s="5">
        <v>4</v>
      </c>
      <c r="G100" s="5">
        <v>2</v>
      </c>
      <c r="H100" s="5">
        <v>3</v>
      </c>
      <c r="I100" s="5">
        <v>2</v>
      </c>
      <c r="J100" s="5">
        <v>3</v>
      </c>
      <c r="K100" s="5">
        <v>2</v>
      </c>
      <c r="L100" s="5">
        <v>2</v>
      </c>
      <c r="M100" s="5">
        <v>3</v>
      </c>
      <c r="N100" s="16">
        <f t="shared" ref="N100:N108" si="6">AVERAGE(B100:M100)</f>
        <v>2.6666666666666665</v>
      </c>
      <c r="O100" s="5" t="str" cm="1">
        <f t="array" ref="O100">_xlfn.SWITCH(TRUE, N100&lt;=$S$7, "Low", N100&gt;=$S$8, "High", "Moderate")</f>
        <v>Low</v>
      </c>
      <c r="P100" s="5" t="str" cm="1">
        <f t="array" ref="P100">_xlfn.SWITCH(TRUE, N100&gt;=3.5, "High", N100&gt;=2.5, "Moderate", "Low")</f>
        <v>Moderate</v>
      </c>
      <c r="Q100" s="5" t="str">
        <f t="shared" ref="Q100:Q108" si="7">_xlfn.SWITCH(TRUE, N100&lt;=$S$9, "Low", "High")</f>
        <v>Low</v>
      </c>
      <c r="R100" s="5" t="str" cm="1">
        <f t="array" ref="R100">_xlfn.SWITCH(TRUE, N100&gt;=3, "High", "Low")</f>
        <v>Low</v>
      </c>
    </row>
    <row r="101" spans="1:18" x14ac:dyDescent="0.35">
      <c r="A101">
        <v>98</v>
      </c>
      <c r="B101" s="5">
        <v>5</v>
      </c>
      <c r="C101" s="5">
        <v>2</v>
      </c>
      <c r="D101" s="5">
        <v>4</v>
      </c>
      <c r="E101" s="5">
        <v>3</v>
      </c>
      <c r="F101" s="5">
        <v>4</v>
      </c>
      <c r="G101" s="5">
        <v>3</v>
      </c>
      <c r="H101" s="5">
        <v>3</v>
      </c>
      <c r="I101" s="5">
        <v>3</v>
      </c>
      <c r="J101" s="5">
        <v>3</v>
      </c>
      <c r="K101" s="5">
        <v>3</v>
      </c>
      <c r="L101" s="5">
        <v>5</v>
      </c>
      <c r="M101" s="5">
        <v>3</v>
      </c>
      <c r="N101" s="16">
        <f t="shared" si="6"/>
        <v>3.4166666666666665</v>
      </c>
      <c r="O101" s="5" t="str" cm="1">
        <f t="array" ref="O101">_xlfn.SWITCH(TRUE, N101&lt;=$S$7, "Low", N101&gt;=$S$8, "High", "Moderate")</f>
        <v>Moderate</v>
      </c>
      <c r="P101" s="5" t="str" cm="1">
        <f t="array" ref="P101">_xlfn.SWITCH(TRUE, N101&gt;=3.5, "High", N101&gt;=2.5, "Moderate", "Low")</f>
        <v>Moderate</v>
      </c>
      <c r="Q101" s="5" t="str">
        <f t="shared" si="7"/>
        <v>High</v>
      </c>
      <c r="R101" s="5" t="str" cm="1">
        <f t="array" ref="R101">_xlfn.SWITCH(TRUE, N101&gt;=3, "High", "Low")</f>
        <v>High</v>
      </c>
    </row>
    <row r="102" spans="1:18" x14ac:dyDescent="0.35">
      <c r="A102">
        <v>99</v>
      </c>
      <c r="B102" s="5">
        <v>4</v>
      </c>
      <c r="C102" s="5">
        <v>4</v>
      </c>
      <c r="D102" s="5">
        <v>5</v>
      </c>
      <c r="E102" s="5">
        <v>4</v>
      </c>
      <c r="F102" s="5">
        <v>3</v>
      </c>
      <c r="G102" s="5">
        <v>4</v>
      </c>
      <c r="H102" s="5">
        <v>5</v>
      </c>
      <c r="I102" s="5">
        <v>4</v>
      </c>
      <c r="J102" s="5">
        <v>4</v>
      </c>
      <c r="K102" s="5">
        <v>3</v>
      </c>
      <c r="L102" s="5">
        <v>5</v>
      </c>
      <c r="M102" s="5">
        <v>3</v>
      </c>
      <c r="N102" s="16">
        <f t="shared" si="6"/>
        <v>4</v>
      </c>
      <c r="O102" s="5" t="str" cm="1">
        <f t="array" ref="O102">_xlfn.SWITCH(TRUE, N102&lt;=$S$7, "Low", N102&gt;=$S$8, "High", "Moderate")</f>
        <v>High</v>
      </c>
      <c r="P102" s="5" t="str" cm="1">
        <f t="array" ref="P102">_xlfn.SWITCH(TRUE, N102&gt;=3.5, "High", N102&gt;=2.5, "Moderate", "Low")</f>
        <v>High</v>
      </c>
      <c r="Q102" s="5" t="str">
        <f t="shared" si="7"/>
        <v>High</v>
      </c>
      <c r="R102" s="5" t="str" cm="1">
        <f t="array" ref="R102">_xlfn.SWITCH(TRUE, N102&gt;=3, "High", "Low")</f>
        <v>High</v>
      </c>
    </row>
    <row r="103" spans="1:18" x14ac:dyDescent="0.35">
      <c r="A103">
        <v>100</v>
      </c>
      <c r="B103" s="5">
        <v>4</v>
      </c>
      <c r="C103" s="5">
        <v>3</v>
      </c>
      <c r="D103" s="5">
        <v>5</v>
      </c>
      <c r="E103" s="5">
        <v>4</v>
      </c>
      <c r="F103" s="5">
        <v>3</v>
      </c>
      <c r="G103" s="5">
        <v>3</v>
      </c>
      <c r="H103" s="5">
        <v>3</v>
      </c>
      <c r="I103" s="5">
        <v>3</v>
      </c>
      <c r="J103" s="5">
        <v>4</v>
      </c>
      <c r="K103" s="5">
        <v>2</v>
      </c>
      <c r="L103" s="5">
        <v>2</v>
      </c>
      <c r="M103" s="5">
        <v>4</v>
      </c>
      <c r="N103" s="16">
        <f t="shared" si="6"/>
        <v>3.3333333333333335</v>
      </c>
      <c r="O103" s="5" t="str" cm="1">
        <f t="array" ref="O103">_xlfn.SWITCH(TRUE, N103&lt;=$S$7, "Low", N103&gt;=$S$8, "High", "Moderate")</f>
        <v>Moderate</v>
      </c>
      <c r="P103" s="5" t="str" cm="1">
        <f t="array" ref="P103">_xlfn.SWITCH(TRUE, N103&gt;=3.5, "High", N103&gt;=2.5, "Moderate", "Low")</f>
        <v>Moderate</v>
      </c>
      <c r="Q103" s="5" t="str">
        <f t="shared" si="7"/>
        <v>High</v>
      </c>
      <c r="R103" s="5" t="str" cm="1">
        <f t="array" ref="R103">_xlfn.SWITCH(TRUE, N103&gt;=3, "High", "Low")</f>
        <v>High</v>
      </c>
    </row>
    <row r="104" spans="1:18" x14ac:dyDescent="0.35">
      <c r="A104">
        <v>101</v>
      </c>
      <c r="B104" s="5">
        <v>4</v>
      </c>
      <c r="C104" s="5">
        <v>4</v>
      </c>
      <c r="D104" s="5">
        <v>5</v>
      </c>
      <c r="E104" s="5">
        <v>3</v>
      </c>
      <c r="F104" s="5">
        <v>5</v>
      </c>
      <c r="G104" s="5">
        <v>4</v>
      </c>
      <c r="H104" s="5">
        <v>5</v>
      </c>
      <c r="I104" s="5">
        <v>4</v>
      </c>
      <c r="J104" s="5">
        <v>3</v>
      </c>
      <c r="K104" s="5">
        <v>2</v>
      </c>
      <c r="L104" s="5">
        <v>5</v>
      </c>
      <c r="M104" s="5">
        <v>4</v>
      </c>
      <c r="N104" s="16">
        <f t="shared" si="6"/>
        <v>4</v>
      </c>
      <c r="O104" s="5" t="str" cm="1">
        <f t="array" ref="O104">_xlfn.SWITCH(TRUE, N104&lt;=$S$7, "Low", N104&gt;=$S$8, "High", "Moderate")</f>
        <v>High</v>
      </c>
      <c r="P104" s="5" t="str" cm="1">
        <f t="array" ref="P104">_xlfn.SWITCH(TRUE, N104&gt;=3.5, "High", N104&gt;=2.5, "Moderate", "Low")</f>
        <v>High</v>
      </c>
      <c r="Q104" s="5" t="str">
        <f t="shared" si="7"/>
        <v>High</v>
      </c>
      <c r="R104" s="5" t="str" cm="1">
        <f t="array" ref="R104">_xlfn.SWITCH(TRUE, N104&gt;=3, "High", "Low")</f>
        <v>High</v>
      </c>
    </row>
    <row r="105" spans="1:18" x14ac:dyDescent="0.35">
      <c r="A105">
        <v>102</v>
      </c>
      <c r="B105" s="5">
        <v>4</v>
      </c>
      <c r="C105" s="5">
        <v>2</v>
      </c>
      <c r="D105" s="5">
        <v>3</v>
      </c>
      <c r="E105" s="5">
        <v>4</v>
      </c>
      <c r="F105" s="5">
        <v>4</v>
      </c>
      <c r="G105" s="5">
        <v>3</v>
      </c>
      <c r="H105" s="5">
        <v>3</v>
      </c>
      <c r="I105" s="5">
        <v>3</v>
      </c>
      <c r="J105" s="5">
        <v>2</v>
      </c>
      <c r="K105" s="5">
        <v>3</v>
      </c>
      <c r="L105" s="5">
        <v>4</v>
      </c>
      <c r="M105" s="5">
        <v>3</v>
      </c>
      <c r="N105" s="16">
        <f t="shared" si="6"/>
        <v>3.1666666666666665</v>
      </c>
      <c r="O105" s="5" t="str" cm="1">
        <f t="array" ref="O105">_xlfn.SWITCH(TRUE, N105&lt;=$S$7, "Low", N105&gt;=$S$8, "High", "Moderate")</f>
        <v>Moderate</v>
      </c>
      <c r="P105" s="5" t="str" cm="1">
        <f t="array" ref="P105">_xlfn.SWITCH(TRUE, N105&gt;=3.5, "High", N105&gt;=2.5, "Moderate", "Low")</f>
        <v>Moderate</v>
      </c>
      <c r="Q105" s="5" t="str">
        <f t="shared" si="7"/>
        <v>Low</v>
      </c>
      <c r="R105" s="5" t="str" cm="1">
        <f t="array" ref="R105">_xlfn.SWITCH(TRUE, N105&gt;=3, "High", "Low")</f>
        <v>High</v>
      </c>
    </row>
    <row r="106" spans="1:18" x14ac:dyDescent="0.35">
      <c r="A106">
        <v>103</v>
      </c>
      <c r="B106" s="5">
        <v>5</v>
      </c>
      <c r="C106" s="5">
        <v>4</v>
      </c>
      <c r="D106" s="5">
        <v>5</v>
      </c>
      <c r="E106" s="5">
        <v>5</v>
      </c>
      <c r="F106" s="5">
        <v>5</v>
      </c>
      <c r="G106" s="5">
        <v>5</v>
      </c>
      <c r="H106" s="5">
        <v>5</v>
      </c>
      <c r="I106" s="5">
        <v>5</v>
      </c>
      <c r="J106" s="5">
        <v>5</v>
      </c>
      <c r="K106" s="5">
        <v>5</v>
      </c>
      <c r="L106" s="5">
        <v>5</v>
      </c>
      <c r="M106" s="5">
        <v>5</v>
      </c>
      <c r="N106" s="16">
        <f t="shared" si="6"/>
        <v>4.916666666666667</v>
      </c>
      <c r="O106" s="5" t="str" cm="1">
        <f t="array" ref="O106">_xlfn.SWITCH(TRUE, N106&lt;=$S$7, "Low", N106&gt;=$S$8, "High", "Moderate")</f>
        <v>High</v>
      </c>
      <c r="P106" s="5" t="str" cm="1">
        <f t="array" ref="P106">_xlfn.SWITCH(TRUE, N106&gt;=3.5, "High", N106&gt;=2.5, "Moderate", "Low")</f>
        <v>High</v>
      </c>
      <c r="Q106" s="5" t="str">
        <f t="shared" si="7"/>
        <v>High</v>
      </c>
      <c r="R106" s="5" t="str" cm="1">
        <f t="array" ref="R106">_xlfn.SWITCH(TRUE, N106&gt;=3, "High", "Low")</f>
        <v>High</v>
      </c>
    </row>
    <row r="107" spans="1:18" x14ac:dyDescent="0.35">
      <c r="A107">
        <v>104</v>
      </c>
      <c r="B107" s="5">
        <v>5</v>
      </c>
      <c r="C107" s="5">
        <v>4</v>
      </c>
      <c r="D107" s="5">
        <v>5</v>
      </c>
      <c r="E107" s="5">
        <v>5</v>
      </c>
      <c r="F107" s="5">
        <v>5</v>
      </c>
      <c r="G107" s="5">
        <v>5</v>
      </c>
      <c r="H107" s="5">
        <v>5</v>
      </c>
      <c r="I107" s="5">
        <v>5</v>
      </c>
      <c r="J107" s="5">
        <v>5</v>
      </c>
      <c r="K107" s="5">
        <v>2</v>
      </c>
      <c r="L107" s="5">
        <v>5</v>
      </c>
      <c r="M107" s="5">
        <v>5</v>
      </c>
      <c r="N107" s="16">
        <f t="shared" si="6"/>
        <v>4.666666666666667</v>
      </c>
      <c r="O107" s="5" t="str" cm="1">
        <f t="array" ref="O107">_xlfn.SWITCH(TRUE, N107&lt;=$S$7, "Low", N107&gt;=$S$8, "High", "Moderate")</f>
        <v>High</v>
      </c>
      <c r="P107" s="5" t="str" cm="1">
        <f t="array" ref="P107">_xlfn.SWITCH(TRUE, N107&gt;=3.5, "High", N107&gt;=2.5, "Moderate", "Low")</f>
        <v>High</v>
      </c>
      <c r="Q107" s="5" t="str">
        <f t="shared" si="7"/>
        <v>High</v>
      </c>
      <c r="R107" s="5" t="str" cm="1">
        <f t="array" ref="R107">_xlfn.SWITCH(TRUE, N107&gt;=3, "High", "Low")</f>
        <v>High</v>
      </c>
    </row>
    <row r="108" spans="1:18" x14ac:dyDescent="0.35">
      <c r="A108">
        <v>105</v>
      </c>
      <c r="B108" s="5">
        <v>4</v>
      </c>
      <c r="C108" s="5">
        <v>1</v>
      </c>
      <c r="D108" s="5">
        <v>5</v>
      </c>
      <c r="E108" s="5">
        <v>3</v>
      </c>
      <c r="F108" s="5">
        <v>4</v>
      </c>
      <c r="G108" s="5">
        <v>1</v>
      </c>
      <c r="H108" s="5">
        <v>5</v>
      </c>
      <c r="I108" s="5">
        <v>5</v>
      </c>
      <c r="J108" s="5">
        <v>5</v>
      </c>
      <c r="K108" s="5">
        <v>2</v>
      </c>
      <c r="L108" s="5">
        <v>1</v>
      </c>
      <c r="M108" s="5">
        <v>5</v>
      </c>
      <c r="N108" s="16">
        <f t="shared" si="6"/>
        <v>3.4166666666666665</v>
      </c>
      <c r="O108" s="5" t="str" cm="1">
        <f t="array" ref="O108">_xlfn.SWITCH(TRUE, N108&lt;=$S$7, "Low", N108&gt;=$S$8, "High", "Moderate")</f>
        <v>Moderate</v>
      </c>
      <c r="P108" s="5" t="str" cm="1">
        <f t="array" ref="P108">_xlfn.SWITCH(TRUE, N108&gt;=3.5, "High", N108&gt;=2.5, "Moderate", "Low")</f>
        <v>Moderate</v>
      </c>
      <c r="Q108" s="5" t="str">
        <f t="shared" si="7"/>
        <v>High</v>
      </c>
      <c r="R108" s="5" t="str" cm="1">
        <f t="array" ref="R108">_xlfn.SWITCH(TRUE, N108&gt;=3, "High", "Low")</f>
        <v>High</v>
      </c>
    </row>
    <row r="109" spans="1:18" x14ac:dyDescent="0.35">
      <c r="A109">
        <v>106</v>
      </c>
      <c r="B109" s="5">
        <v>5</v>
      </c>
      <c r="C109" s="5">
        <v>4</v>
      </c>
      <c r="D109" s="5">
        <v>4</v>
      </c>
      <c r="E109" s="5">
        <v>5</v>
      </c>
      <c r="F109" s="5">
        <v>5</v>
      </c>
      <c r="G109" s="5">
        <v>5</v>
      </c>
      <c r="H109" s="5">
        <v>5</v>
      </c>
      <c r="I109" s="5">
        <v>5</v>
      </c>
      <c r="J109" s="5">
        <v>5</v>
      </c>
      <c r="K109" s="5">
        <v>4</v>
      </c>
      <c r="L109" s="5">
        <v>4</v>
      </c>
      <c r="M109" s="5">
        <v>5</v>
      </c>
      <c r="N109" s="16">
        <f t="shared" ref="N109:N136" si="8">AVERAGE(B109:M109)</f>
        <v>4.666666666666667</v>
      </c>
      <c r="O109" s="5" t="str" cm="1">
        <f t="array" ref="O109">_xlfn.SWITCH(TRUE, N109&lt;=$S$7, "Low", N109&gt;=$S$8, "High", "Moderate")</f>
        <v>High</v>
      </c>
      <c r="P109" s="5" t="str" cm="1">
        <f t="array" ref="P109">_xlfn.SWITCH(TRUE, N109&gt;=3.5, "High", N109&gt;=2.5, "Moderate", "Low")</f>
        <v>High</v>
      </c>
      <c r="Q109" s="5" t="str">
        <f t="shared" ref="Q109:Q136" si="9">_xlfn.SWITCH(TRUE, N109&lt;=$S$9, "Low", "High")</f>
        <v>High</v>
      </c>
      <c r="R109" s="5" t="str" cm="1">
        <f t="array" ref="R109">_xlfn.SWITCH(TRUE, N109&gt;=3, "High", "Low")</f>
        <v>High</v>
      </c>
    </row>
    <row r="110" spans="1:18" x14ac:dyDescent="0.35">
      <c r="A110">
        <v>107</v>
      </c>
      <c r="B110" s="5">
        <v>4</v>
      </c>
      <c r="C110" s="5">
        <v>4</v>
      </c>
      <c r="D110" s="5">
        <v>5</v>
      </c>
      <c r="E110" s="5">
        <v>3</v>
      </c>
      <c r="F110" s="5">
        <v>4</v>
      </c>
      <c r="G110" s="5">
        <v>2</v>
      </c>
      <c r="H110" s="5">
        <v>4</v>
      </c>
      <c r="I110" s="5">
        <v>4</v>
      </c>
      <c r="J110" s="5">
        <v>5</v>
      </c>
      <c r="K110" s="5">
        <v>3</v>
      </c>
      <c r="L110" s="5">
        <v>4</v>
      </c>
      <c r="M110" s="5">
        <v>2</v>
      </c>
      <c r="N110" s="16">
        <f t="shared" si="8"/>
        <v>3.6666666666666665</v>
      </c>
      <c r="O110" s="5" t="str" cm="1">
        <f t="array" ref="O110">_xlfn.SWITCH(TRUE, N110&lt;=$S$7, "Low", N110&gt;=$S$8, "High", "Moderate")</f>
        <v>High</v>
      </c>
      <c r="P110" s="5" t="str" cm="1">
        <f t="array" ref="P110">_xlfn.SWITCH(TRUE, N110&gt;=3.5, "High", N110&gt;=2.5, "Moderate", "Low")</f>
        <v>High</v>
      </c>
      <c r="Q110" s="5" t="str">
        <f t="shared" si="9"/>
        <v>High</v>
      </c>
      <c r="R110" s="5" t="str" cm="1">
        <f t="array" ref="R110">_xlfn.SWITCH(TRUE, N110&gt;=3, "High", "Low")</f>
        <v>High</v>
      </c>
    </row>
    <row r="111" spans="1:18" x14ac:dyDescent="0.35">
      <c r="A111">
        <v>108</v>
      </c>
      <c r="B111" s="5">
        <v>3</v>
      </c>
      <c r="C111" s="5">
        <v>1</v>
      </c>
      <c r="D111" s="5">
        <v>3</v>
      </c>
      <c r="E111" s="5">
        <v>3</v>
      </c>
      <c r="F111" s="5">
        <v>4</v>
      </c>
      <c r="G111" s="5">
        <v>3</v>
      </c>
      <c r="H111" s="5">
        <v>3</v>
      </c>
      <c r="I111" s="5">
        <v>3</v>
      </c>
      <c r="J111" s="5">
        <v>2</v>
      </c>
      <c r="K111" s="5">
        <v>1</v>
      </c>
      <c r="L111" s="5">
        <v>3</v>
      </c>
      <c r="M111" s="5">
        <v>3</v>
      </c>
      <c r="N111" s="16">
        <f t="shared" si="8"/>
        <v>2.6666666666666665</v>
      </c>
      <c r="O111" s="5" t="str" cm="1">
        <f t="array" ref="O111">_xlfn.SWITCH(TRUE, N111&lt;=$S$7, "Low", N111&gt;=$S$8, "High", "Moderate")</f>
        <v>Low</v>
      </c>
      <c r="P111" s="5" t="str" cm="1">
        <f t="array" ref="P111">_xlfn.SWITCH(TRUE, N111&gt;=3.5, "High", N111&gt;=2.5, "Moderate", "Low")</f>
        <v>Moderate</v>
      </c>
      <c r="Q111" s="5" t="str">
        <f t="shared" si="9"/>
        <v>Low</v>
      </c>
      <c r="R111" s="5" t="str" cm="1">
        <f t="array" ref="R111">_xlfn.SWITCH(TRUE, N111&gt;=3, "High", "Low")</f>
        <v>Low</v>
      </c>
    </row>
    <row r="112" spans="1:18" x14ac:dyDescent="0.35">
      <c r="A112">
        <v>109</v>
      </c>
      <c r="B112" s="5">
        <v>5</v>
      </c>
      <c r="C112" s="5">
        <v>1</v>
      </c>
      <c r="D112" s="5">
        <v>5</v>
      </c>
      <c r="E112" s="5">
        <v>1</v>
      </c>
      <c r="F112" s="5">
        <v>4</v>
      </c>
      <c r="G112" s="5">
        <v>1</v>
      </c>
      <c r="H112" s="5">
        <v>5</v>
      </c>
      <c r="I112" s="5">
        <v>5</v>
      </c>
      <c r="J112" s="5">
        <v>3</v>
      </c>
      <c r="K112" s="5">
        <v>4</v>
      </c>
      <c r="L112" s="5">
        <v>3</v>
      </c>
      <c r="M112" s="5">
        <v>3</v>
      </c>
      <c r="N112" s="16">
        <f t="shared" si="8"/>
        <v>3.3333333333333335</v>
      </c>
      <c r="O112" s="5" t="str" cm="1">
        <f t="array" ref="O112">_xlfn.SWITCH(TRUE, N112&lt;=$S$7, "Low", N112&gt;=$S$8, "High", "Moderate")</f>
        <v>Moderate</v>
      </c>
      <c r="P112" s="5" t="str" cm="1">
        <f t="array" ref="P112">_xlfn.SWITCH(TRUE, N112&gt;=3.5, "High", N112&gt;=2.5, "Moderate", "Low")</f>
        <v>Moderate</v>
      </c>
      <c r="Q112" s="5" t="str">
        <f t="shared" si="9"/>
        <v>High</v>
      </c>
      <c r="R112" s="5" t="str" cm="1">
        <f t="array" ref="R112">_xlfn.SWITCH(TRUE, N112&gt;=3, "High", "Low")</f>
        <v>High</v>
      </c>
    </row>
    <row r="113" spans="1:18" x14ac:dyDescent="0.35">
      <c r="A113">
        <v>110</v>
      </c>
      <c r="B113" s="5">
        <v>4</v>
      </c>
      <c r="C113" s="5">
        <v>1</v>
      </c>
      <c r="D113" s="5">
        <v>3</v>
      </c>
      <c r="E113" s="5">
        <v>3</v>
      </c>
      <c r="F113" s="5">
        <v>3</v>
      </c>
      <c r="G113" s="5">
        <v>2</v>
      </c>
      <c r="H113" s="5">
        <v>3</v>
      </c>
      <c r="I113" s="5">
        <v>2</v>
      </c>
      <c r="J113" s="5">
        <v>3</v>
      </c>
      <c r="K113" s="5">
        <v>2</v>
      </c>
      <c r="L113" s="5">
        <v>4</v>
      </c>
      <c r="M113" s="5">
        <v>2</v>
      </c>
      <c r="N113" s="16">
        <f t="shared" si="8"/>
        <v>2.6666666666666665</v>
      </c>
      <c r="O113" s="5" t="str" cm="1">
        <f t="array" ref="O113">_xlfn.SWITCH(TRUE, N113&lt;=$S$7, "Low", N113&gt;=$S$8, "High", "Moderate")</f>
        <v>Low</v>
      </c>
      <c r="P113" s="5" t="str" cm="1">
        <f t="array" ref="P113">_xlfn.SWITCH(TRUE, N113&gt;=3.5, "High", N113&gt;=2.5, "Moderate", "Low")</f>
        <v>Moderate</v>
      </c>
      <c r="Q113" s="5" t="str">
        <f t="shared" si="9"/>
        <v>Low</v>
      </c>
      <c r="R113" s="5" t="str" cm="1">
        <f t="array" ref="R113">_xlfn.SWITCH(TRUE, N113&gt;=3, "High", "Low")</f>
        <v>Low</v>
      </c>
    </row>
    <row r="114" spans="1:18" x14ac:dyDescent="0.35">
      <c r="A114">
        <v>111</v>
      </c>
      <c r="B114" s="5">
        <v>5</v>
      </c>
      <c r="C114" s="5">
        <v>2</v>
      </c>
      <c r="D114" s="5">
        <v>5</v>
      </c>
      <c r="E114" s="5">
        <v>4</v>
      </c>
      <c r="F114" s="5">
        <v>4</v>
      </c>
      <c r="G114" s="5">
        <v>3</v>
      </c>
      <c r="H114" s="5">
        <v>3</v>
      </c>
      <c r="I114" s="5">
        <v>3</v>
      </c>
      <c r="J114" s="5">
        <v>3</v>
      </c>
      <c r="K114" s="5">
        <v>1</v>
      </c>
      <c r="L114" s="5">
        <v>5</v>
      </c>
      <c r="M114" s="5">
        <v>2</v>
      </c>
      <c r="N114" s="16">
        <f t="shared" si="8"/>
        <v>3.3333333333333335</v>
      </c>
      <c r="O114" s="5" t="str" cm="1">
        <f t="array" ref="O114">_xlfn.SWITCH(TRUE, N114&lt;=$S$7, "Low", N114&gt;=$S$8, "High", "Moderate")</f>
        <v>Moderate</v>
      </c>
      <c r="P114" s="5" t="str" cm="1">
        <f t="array" ref="P114">_xlfn.SWITCH(TRUE, N114&gt;=3.5, "High", N114&gt;=2.5, "Moderate", "Low")</f>
        <v>Moderate</v>
      </c>
      <c r="Q114" s="5" t="str">
        <f t="shared" si="9"/>
        <v>High</v>
      </c>
      <c r="R114" s="5" t="str" cm="1">
        <f t="array" ref="R114">_xlfn.SWITCH(TRUE, N114&gt;=3, "High", "Low")</f>
        <v>High</v>
      </c>
    </row>
    <row r="115" spans="1:18" x14ac:dyDescent="0.35">
      <c r="A115">
        <v>112</v>
      </c>
      <c r="B115" s="5">
        <v>4</v>
      </c>
      <c r="C115" s="5">
        <v>1</v>
      </c>
      <c r="D115" s="5">
        <v>2</v>
      </c>
      <c r="E115" s="5">
        <v>1</v>
      </c>
      <c r="F115" s="5">
        <v>3</v>
      </c>
      <c r="G115" s="5">
        <v>3</v>
      </c>
      <c r="H115" s="5">
        <v>2</v>
      </c>
      <c r="I115" s="5">
        <v>2</v>
      </c>
      <c r="J115" s="5">
        <v>4</v>
      </c>
      <c r="K115" s="5">
        <v>1</v>
      </c>
      <c r="L115" s="5">
        <v>4</v>
      </c>
      <c r="M115" s="5">
        <v>2</v>
      </c>
      <c r="N115" s="16">
        <f t="shared" si="8"/>
        <v>2.4166666666666665</v>
      </c>
      <c r="O115" s="5" t="str" cm="1">
        <f t="array" ref="O115">_xlfn.SWITCH(TRUE, N115&lt;=$S$7, "Low", N115&gt;=$S$8, "High", "Moderate")</f>
        <v>Low</v>
      </c>
      <c r="P115" s="5" t="str" cm="1">
        <f t="array" ref="P115">_xlfn.SWITCH(TRUE, N115&gt;=3.5, "High", N115&gt;=2.5, "Moderate", "Low")</f>
        <v>Low</v>
      </c>
      <c r="Q115" s="5" t="str">
        <f t="shared" si="9"/>
        <v>Low</v>
      </c>
      <c r="R115" s="5" t="str" cm="1">
        <f t="array" ref="R115">_xlfn.SWITCH(TRUE, N115&gt;=3, "High", "Low")</f>
        <v>Low</v>
      </c>
    </row>
    <row r="116" spans="1:18" x14ac:dyDescent="0.35">
      <c r="A116">
        <v>113</v>
      </c>
      <c r="B116" s="5">
        <v>4</v>
      </c>
      <c r="C116" s="5">
        <v>2</v>
      </c>
      <c r="D116" s="5">
        <v>5</v>
      </c>
      <c r="E116" s="5">
        <v>4</v>
      </c>
      <c r="F116" s="5">
        <v>5</v>
      </c>
      <c r="G116" s="5">
        <v>5</v>
      </c>
      <c r="H116" s="5">
        <v>4</v>
      </c>
      <c r="I116" s="5">
        <v>3</v>
      </c>
      <c r="J116" s="5">
        <v>4</v>
      </c>
      <c r="K116" s="5">
        <v>2</v>
      </c>
      <c r="L116" s="5">
        <v>4</v>
      </c>
      <c r="M116" s="5">
        <v>5</v>
      </c>
      <c r="N116" s="16">
        <f t="shared" si="8"/>
        <v>3.9166666666666665</v>
      </c>
      <c r="O116" s="5" t="str" cm="1">
        <f t="array" ref="O116">_xlfn.SWITCH(TRUE, N116&lt;=$S$7, "Low", N116&gt;=$S$8, "High", "Moderate")</f>
        <v>High</v>
      </c>
      <c r="P116" s="5" t="str" cm="1">
        <f t="array" ref="P116">_xlfn.SWITCH(TRUE, N116&gt;=3.5, "High", N116&gt;=2.5, "Moderate", "Low")</f>
        <v>High</v>
      </c>
      <c r="Q116" s="5" t="str">
        <f t="shared" si="9"/>
        <v>High</v>
      </c>
      <c r="R116" s="5" t="str" cm="1">
        <f t="array" ref="R116">_xlfn.SWITCH(TRUE, N116&gt;=3, "High", "Low")</f>
        <v>High</v>
      </c>
    </row>
    <row r="117" spans="1:18" x14ac:dyDescent="0.35">
      <c r="A117">
        <v>114</v>
      </c>
      <c r="B117" s="5">
        <v>5</v>
      </c>
      <c r="C117" s="5">
        <v>5</v>
      </c>
      <c r="D117" s="5">
        <v>4</v>
      </c>
      <c r="E117" s="5">
        <v>5</v>
      </c>
      <c r="F117" s="5">
        <v>4</v>
      </c>
      <c r="G117" s="5">
        <v>5</v>
      </c>
      <c r="H117" s="5">
        <v>4</v>
      </c>
      <c r="I117" s="5">
        <v>3</v>
      </c>
      <c r="J117" s="5">
        <v>4</v>
      </c>
      <c r="K117" s="5">
        <v>4</v>
      </c>
      <c r="L117" s="5">
        <v>4</v>
      </c>
      <c r="M117" s="5">
        <v>5</v>
      </c>
      <c r="N117" s="16">
        <f t="shared" si="8"/>
        <v>4.333333333333333</v>
      </c>
      <c r="O117" s="5" t="str" cm="1">
        <f t="array" ref="O117">_xlfn.SWITCH(TRUE, N117&lt;=$S$7, "Low", N117&gt;=$S$8, "High", "Moderate")</f>
        <v>High</v>
      </c>
      <c r="P117" s="5" t="str" cm="1">
        <f t="array" ref="P117">_xlfn.SWITCH(TRUE, N117&gt;=3.5, "High", N117&gt;=2.5, "Moderate", "Low")</f>
        <v>High</v>
      </c>
      <c r="Q117" s="5" t="str">
        <f t="shared" si="9"/>
        <v>High</v>
      </c>
      <c r="R117" s="5" t="str" cm="1">
        <f t="array" ref="R117">_xlfn.SWITCH(TRUE, N117&gt;=3, "High", "Low")</f>
        <v>High</v>
      </c>
    </row>
    <row r="118" spans="1:18" x14ac:dyDescent="0.35">
      <c r="A118">
        <v>115</v>
      </c>
      <c r="B118" s="5">
        <v>5</v>
      </c>
      <c r="C118" s="5">
        <v>3</v>
      </c>
      <c r="D118" s="5">
        <v>5</v>
      </c>
      <c r="E118" s="5">
        <v>3</v>
      </c>
      <c r="F118" s="5">
        <v>4</v>
      </c>
      <c r="G118" s="5">
        <v>2</v>
      </c>
      <c r="H118" s="5">
        <v>4</v>
      </c>
      <c r="I118" s="5">
        <v>4</v>
      </c>
      <c r="J118" s="5">
        <v>2</v>
      </c>
      <c r="K118" s="5">
        <v>1</v>
      </c>
      <c r="L118" s="5">
        <v>4</v>
      </c>
      <c r="M118" s="5">
        <v>4</v>
      </c>
      <c r="N118" s="16">
        <f t="shared" si="8"/>
        <v>3.4166666666666665</v>
      </c>
      <c r="O118" s="5" t="str" cm="1">
        <f t="array" ref="O118">_xlfn.SWITCH(TRUE, N118&lt;=$S$7, "Low", N118&gt;=$S$8, "High", "Moderate")</f>
        <v>Moderate</v>
      </c>
      <c r="P118" s="5" t="str" cm="1">
        <f t="array" ref="P118">_xlfn.SWITCH(TRUE, N118&gt;=3.5, "High", N118&gt;=2.5, "Moderate", "Low")</f>
        <v>Moderate</v>
      </c>
      <c r="Q118" s="5" t="str">
        <f t="shared" si="9"/>
        <v>High</v>
      </c>
      <c r="R118" s="5" t="str" cm="1">
        <f t="array" ref="R118">_xlfn.SWITCH(TRUE, N118&gt;=3, "High", "Low")</f>
        <v>High</v>
      </c>
    </row>
    <row r="119" spans="1:18" x14ac:dyDescent="0.35">
      <c r="A119">
        <v>116</v>
      </c>
      <c r="B119" s="5">
        <v>3</v>
      </c>
      <c r="C119" s="5">
        <v>1</v>
      </c>
      <c r="D119" s="5">
        <v>4</v>
      </c>
      <c r="E119" s="5">
        <v>5</v>
      </c>
      <c r="F119" s="5">
        <v>5</v>
      </c>
      <c r="G119" s="5">
        <v>4</v>
      </c>
      <c r="H119" s="5">
        <v>3</v>
      </c>
      <c r="I119" s="5">
        <v>5</v>
      </c>
      <c r="J119" s="5">
        <v>5</v>
      </c>
      <c r="K119" s="5">
        <v>3</v>
      </c>
      <c r="L119" s="5">
        <v>1</v>
      </c>
      <c r="M119" s="5">
        <v>5</v>
      </c>
      <c r="N119" s="16">
        <f t="shared" si="8"/>
        <v>3.6666666666666665</v>
      </c>
      <c r="O119" s="5" t="str" cm="1">
        <f t="array" ref="O119">_xlfn.SWITCH(TRUE, N119&lt;=$S$7, "Low", N119&gt;=$S$8, "High", "Moderate")</f>
        <v>High</v>
      </c>
      <c r="P119" s="5" t="str" cm="1">
        <f t="array" ref="P119">_xlfn.SWITCH(TRUE, N119&gt;=3.5, "High", N119&gt;=2.5, "Moderate", "Low")</f>
        <v>High</v>
      </c>
      <c r="Q119" s="5" t="str">
        <f t="shared" si="9"/>
        <v>High</v>
      </c>
      <c r="R119" s="5" t="str" cm="1">
        <f t="array" ref="R119">_xlfn.SWITCH(TRUE, N119&gt;=3, "High", "Low")</f>
        <v>High</v>
      </c>
    </row>
    <row r="120" spans="1:18" x14ac:dyDescent="0.35">
      <c r="A120">
        <v>117</v>
      </c>
      <c r="B120" s="5">
        <v>1</v>
      </c>
      <c r="C120" s="5">
        <v>2</v>
      </c>
      <c r="D120" s="5">
        <v>2</v>
      </c>
      <c r="E120" s="5">
        <v>3</v>
      </c>
      <c r="F120" s="5">
        <v>2</v>
      </c>
      <c r="G120" s="5">
        <v>4</v>
      </c>
      <c r="H120" s="5">
        <v>1</v>
      </c>
      <c r="I120" s="5">
        <v>2</v>
      </c>
      <c r="J120" s="5">
        <v>3</v>
      </c>
      <c r="K120" s="5">
        <v>2</v>
      </c>
      <c r="L120" s="5">
        <v>1</v>
      </c>
      <c r="M120" s="5">
        <v>4</v>
      </c>
      <c r="N120" s="16">
        <f t="shared" si="8"/>
        <v>2.25</v>
      </c>
      <c r="O120" s="5" t="str" cm="1">
        <f t="array" ref="O120">_xlfn.SWITCH(TRUE, N120&lt;=$S$7, "Low", N120&gt;=$S$8, "High", "Moderate")</f>
        <v>Low</v>
      </c>
      <c r="P120" s="5" t="str" cm="1">
        <f t="array" ref="P120">_xlfn.SWITCH(TRUE, N120&gt;=3.5, "High", N120&gt;=2.5, "Moderate", "Low")</f>
        <v>Low</v>
      </c>
      <c r="Q120" s="5" t="str">
        <f t="shared" si="9"/>
        <v>Low</v>
      </c>
      <c r="R120" s="5" t="str" cm="1">
        <f t="array" ref="R120">_xlfn.SWITCH(TRUE, N120&gt;=3, "High", "Low")</f>
        <v>Low</v>
      </c>
    </row>
    <row r="121" spans="1:18" x14ac:dyDescent="0.35">
      <c r="A121">
        <v>118</v>
      </c>
      <c r="B121" s="5">
        <v>2</v>
      </c>
      <c r="C121" s="5">
        <v>1</v>
      </c>
      <c r="D121" s="5">
        <v>4</v>
      </c>
      <c r="E121" s="5">
        <v>2</v>
      </c>
      <c r="F121" s="5">
        <v>2</v>
      </c>
      <c r="G121" s="5">
        <v>2</v>
      </c>
      <c r="H121" s="5">
        <v>3</v>
      </c>
      <c r="I121" s="5">
        <v>4</v>
      </c>
      <c r="J121" s="5">
        <v>3</v>
      </c>
      <c r="K121" s="5">
        <v>2</v>
      </c>
      <c r="L121" s="5">
        <v>3</v>
      </c>
      <c r="M121" s="5">
        <v>2</v>
      </c>
      <c r="N121" s="16">
        <f t="shared" si="8"/>
        <v>2.5</v>
      </c>
      <c r="O121" s="5" t="str" cm="1">
        <f t="array" ref="O121">_xlfn.SWITCH(TRUE, N121&lt;=$S$7, "Low", N121&gt;=$S$8, "High", "Moderate")</f>
        <v>Low</v>
      </c>
      <c r="P121" s="5" t="str" cm="1">
        <f t="array" ref="P121">_xlfn.SWITCH(TRUE, N121&gt;=3.5, "High", N121&gt;=2.5, "Moderate", "Low")</f>
        <v>Moderate</v>
      </c>
      <c r="Q121" s="5" t="str">
        <f t="shared" si="9"/>
        <v>Low</v>
      </c>
      <c r="R121" s="5" t="str" cm="1">
        <f t="array" ref="R121">_xlfn.SWITCH(TRUE, N121&gt;=3, "High", "Low")</f>
        <v>Low</v>
      </c>
    </row>
    <row r="122" spans="1:18" x14ac:dyDescent="0.35">
      <c r="A122">
        <v>119</v>
      </c>
      <c r="B122" s="5">
        <v>2</v>
      </c>
      <c r="C122" s="5">
        <v>1</v>
      </c>
      <c r="D122" s="5">
        <v>2</v>
      </c>
      <c r="E122" s="5">
        <v>1</v>
      </c>
      <c r="F122" s="5">
        <v>2</v>
      </c>
      <c r="G122" s="5">
        <v>2</v>
      </c>
      <c r="H122" s="5">
        <v>1</v>
      </c>
      <c r="I122" s="5">
        <v>2</v>
      </c>
      <c r="J122" s="5">
        <v>3</v>
      </c>
      <c r="K122" s="5">
        <v>2</v>
      </c>
      <c r="L122" s="5">
        <v>3</v>
      </c>
      <c r="M122" s="5">
        <v>3</v>
      </c>
      <c r="N122" s="16">
        <f t="shared" si="8"/>
        <v>2</v>
      </c>
      <c r="O122" s="5" t="str" cm="1">
        <f t="array" ref="O122">_xlfn.SWITCH(TRUE, N122&lt;=$S$7, "Low", N122&gt;=$S$8, "High", "Moderate")</f>
        <v>Low</v>
      </c>
      <c r="P122" s="5" t="str" cm="1">
        <f t="array" ref="P122">_xlfn.SWITCH(TRUE, N122&gt;=3.5, "High", N122&gt;=2.5, "Moderate", "Low")</f>
        <v>Low</v>
      </c>
      <c r="Q122" s="5" t="str">
        <f t="shared" si="9"/>
        <v>Low</v>
      </c>
      <c r="R122" s="5" t="str" cm="1">
        <f t="array" ref="R122">_xlfn.SWITCH(TRUE, N122&gt;=3, "High", "Low")</f>
        <v>Low</v>
      </c>
    </row>
    <row r="123" spans="1:18" x14ac:dyDescent="0.35">
      <c r="A123">
        <v>120</v>
      </c>
      <c r="B123" s="5">
        <v>2</v>
      </c>
      <c r="C123" s="5">
        <v>2</v>
      </c>
      <c r="D123" s="5">
        <v>2</v>
      </c>
      <c r="E123" s="5">
        <v>1</v>
      </c>
      <c r="F123" s="5">
        <v>2</v>
      </c>
      <c r="G123" s="5">
        <v>2</v>
      </c>
      <c r="H123" s="5">
        <v>2</v>
      </c>
      <c r="I123" s="5">
        <v>2</v>
      </c>
      <c r="J123" s="5">
        <v>3</v>
      </c>
      <c r="K123" s="5">
        <v>2</v>
      </c>
      <c r="L123" s="5">
        <v>3</v>
      </c>
      <c r="M123" s="5">
        <v>2</v>
      </c>
      <c r="N123" s="16">
        <f t="shared" si="8"/>
        <v>2.0833333333333335</v>
      </c>
      <c r="O123" s="5" t="str" cm="1">
        <f t="array" ref="O123">_xlfn.SWITCH(TRUE, N123&lt;=$S$7, "Low", N123&gt;=$S$8, "High", "Moderate")</f>
        <v>Low</v>
      </c>
      <c r="P123" s="5" t="str" cm="1">
        <f t="array" ref="P123">_xlfn.SWITCH(TRUE, N123&gt;=3.5, "High", N123&gt;=2.5, "Moderate", "Low")</f>
        <v>Low</v>
      </c>
      <c r="Q123" s="5" t="str">
        <f t="shared" si="9"/>
        <v>Low</v>
      </c>
      <c r="R123" s="5" t="str" cm="1">
        <f t="array" ref="R123">_xlfn.SWITCH(TRUE, N123&gt;=3, "High", "Low")</f>
        <v>Low</v>
      </c>
    </row>
    <row r="124" spans="1:18" x14ac:dyDescent="0.35">
      <c r="A124">
        <v>121</v>
      </c>
      <c r="B124" s="5">
        <v>5</v>
      </c>
      <c r="C124" s="5">
        <v>3</v>
      </c>
      <c r="D124" s="5">
        <v>4</v>
      </c>
      <c r="E124" s="5">
        <v>4</v>
      </c>
      <c r="F124" s="5">
        <v>3</v>
      </c>
      <c r="G124" s="5">
        <v>3</v>
      </c>
      <c r="H124" s="5">
        <v>4</v>
      </c>
      <c r="I124" s="5">
        <v>3</v>
      </c>
      <c r="J124" s="5">
        <v>3</v>
      </c>
      <c r="K124" s="5">
        <v>3</v>
      </c>
      <c r="L124" s="5">
        <v>4</v>
      </c>
      <c r="M124" s="5">
        <v>4</v>
      </c>
      <c r="N124" s="16">
        <f t="shared" si="8"/>
        <v>3.5833333333333335</v>
      </c>
      <c r="O124" s="5" t="str" cm="1">
        <f t="array" ref="O124">_xlfn.SWITCH(TRUE, N124&lt;=$S$7, "Low", N124&gt;=$S$8, "High", "Moderate")</f>
        <v>High</v>
      </c>
      <c r="P124" s="5" t="str" cm="1">
        <f t="array" ref="P124">_xlfn.SWITCH(TRUE, N124&gt;=3.5, "High", N124&gt;=2.5, "Moderate", "Low")</f>
        <v>High</v>
      </c>
      <c r="Q124" s="5" t="str">
        <f t="shared" si="9"/>
        <v>High</v>
      </c>
      <c r="R124" s="5" t="str" cm="1">
        <f t="array" ref="R124">_xlfn.SWITCH(TRUE, N124&gt;=3, "High", "Low")</f>
        <v>High</v>
      </c>
    </row>
    <row r="125" spans="1:18" x14ac:dyDescent="0.35">
      <c r="A125">
        <v>122</v>
      </c>
      <c r="B125" s="5">
        <v>3</v>
      </c>
      <c r="C125" s="5">
        <v>4</v>
      </c>
      <c r="D125" s="5">
        <v>3</v>
      </c>
      <c r="E125" s="5">
        <v>3</v>
      </c>
      <c r="F125" s="5">
        <v>2</v>
      </c>
      <c r="G125" s="5">
        <v>3</v>
      </c>
      <c r="H125" s="5">
        <v>2</v>
      </c>
      <c r="I125" s="5">
        <v>1</v>
      </c>
      <c r="J125" s="5">
        <v>4</v>
      </c>
      <c r="K125" s="5">
        <v>3</v>
      </c>
      <c r="L125" s="5">
        <v>4</v>
      </c>
      <c r="M125" s="5">
        <v>2</v>
      </c>
      <c r="N125" s="16">
        <f t="shared" si="8"/>
        <v>2.8333333333333335</v>
      </c>
      <c r="O125" s="5" t="str" cm="1">
        <f t="array" ref="O125">_xlfn.SWITCH(TRUE, N125&lt;=$S$7, "Low", N125&gt;=$S$8, "High", "Moderate")</f>
        <v>Low</v>
      </c>
      <c r="P125" s="5" t="str" cm="1">
        <f t="array" ref="P125">_xlfn.SWITCH(TRUE, N125&gt;=3.5, "High", N125&gt;=2.5, "Moderate", "Low")</f>
        <v>Moderate</v>
      </c>
      <c r="Q125" s="5" t="str">
        <f t="shared" si="9"/>
        <v>Low</v>
      </c>
      <c r="R125" s="5" t="str" cm="1">
        <f t="array" ref="R125">_xlfn.SWITCH(TRUE, N125&gt;=3, "High", "Low")</f>
        <v>Low</v>
      </c>
    </row>
    <row r="126" spans="1:18" x14ac:dyDescent="0.35">
      <c r="A126">
        <v>123</v>
      </c>
      <c r="B126" s="5">
        <v>4</v>
      </c>
      <c r="C126" s="5">
        <v>3</v>
      </c>
      <c r="D126" s="5">
        <v>4</v>
      </c>
      <c r="E126" s="5">
        <v>2</v>
      </c>
      <c r="F126" s="5">
        <v>1</v>
      </c>
      <c r="G126" s="5">
        <v>2</v>
      </c>
      <c r="H126" s="5">
        <v>5</v>
      </c>
      <c r="I126" s="5">
        <v>4</v>
      </c>
      <c r="J126" s="5">
        <v>3</v>
      </c>
      <c r="K126" s="5">
        <v>1</v>
      </c>
      <c r="L126" s="5">
        <v>5</v>
      </c>
      <c r="M126" s="5">
        <v>1</v>
      </c>
      <c r="N126" s="16">
        <f t="shared" si="8"/>
        <v>2.9166666666666665</v>
      </c>
      <c r="O126" s="5" t="str" cm="1">
        <f t="array" ref="O126">_xlfn.SWITCH(TRUE, N126&lt;=$S$7, "Low", N126&gt;=$S$8, "High", "Moderate")</f>
        <v>Moderate</v>
      </c>
      <c r="P126" s="5" t="str" cm="1">
        <f t="array" ref="P126">_xlfn.SWITCH(TRUE, N126&gt;=3.5, "High", N126&gt;=2.5, "Moderate", "Low")</f>
        <v>Moderate</v>
      </c>
      <c r="Q126" s="5" t="str">
        <f t="shared" si="9"/>
        <v>Low</v>
      </c>
      <c r="R126" s="5" t="str" cm="1">
        <f t="array" ref="R126">_xlfn.SWITCH(TRUE, N126&gt;=3, "High", "Low")</f>
        <v>Low</v>
      </c>
    </row>
    <row r="127" spans="1:18" x14ac:dyDescent="0.35">
      <c r="A127">
        <v>124</v>
      </c>
      <c r="B127" s="5">
        <v>5</v>
      </c>
      <c r="C127" s="5">
        <v>4</v>
      </c>
      <c r="D127" s="5">
        <v>5</v>
      </c>
      <c r="E127" s="5">
        <v>5</v>
      </c>
      <c r="F127" s="5">
        <v>5</v>
      </c>
      <c r="G127" s="5">
        <v>5</v>
      </c>
      <c r="H127" s="5">
        <v>5</v>
      </c>
      <c r="I127" s="5">
        <v>5</v>
      </c>
      <c r="J127" s="5">
        <v>5</v>
      </c>
      <c r="K127" s="5">
        <v>4</v>
      </c>
      <c r="L127" s="5">
        <v>5</v>
      </c>
      <c r="M127" s="5">
        <v>5</v>
      </c>
      <c r="N127" s="16">
        <f t="shared" si="8"/>
        <v>4.833333333333333</v>
      </c>
      <c r="O127" s="5" t="str" cm="1">
        <f t="array" ref="O127">_xlfn.SWITCH(TRUE, N127&lt;=$S$7, "Low", N127&gt;=$S$8, "High", "Moderate")</f>
        <v>High</v>
      </c>
      <c r="P127" s="5" t="str" cm="1">
        <f t="array" ref="P127">_xlfn.SWITCH(TRUE, N127&gt;=3.5, "High", N127&gt;=2.5, "Moderate", "Low")</f>
        <v>High</v>
      </c>
      <c r="Q127" s="5" t="str">
        <f t="shared" si="9"/>
        <v>High</v>
      </c>
      <c r="R127" s="5" t="str" cm="1">
        <f t="array" ref="R127">_xlfn.SWITCH(TRUE, N127&gt;=3, "High", "Low")</f>
        <v>High</v>
      </c>
    </row>
    <row r="128" spans="1:18" x14ac:dyDescent="0.35">
      <c r="A128">
        <v>125</v>
      </c>
      <c r="B128" s="5">
        <v>3</v>
      </c>
      <c r="C128" s="5">
        <v>1</v>
      </c>
      <c r="D128" s="5">
        <v>3</v>
      </c>
      <c r="E128" s="5">
        <v>3</v>
      </c>
      <c r="F128" s="5">
        <v>2</v>
      </c>
      <c r="G128" s="5">
        <v>4</v>
      </c>
      <c r="H128" s="5">
        <v>1</v>
      </c>
      <c r="I128" s="5">
        <v>3</v>
      </c>
      <c r="J128" s="5">
        <v>3</v>
      </c>
      <c r="K128" s="5">
        <v>2</v>
      </c>
      <c r="L128" s="5">
        <v>4</v>
      </c>
      <c r="M128" s="5">
        <v>4</v>
      </c>
      <c r="N128" s="16">
        <f t="shared" si="8"/>
        <v>2.75</v>
      </c>
      <c r="O128" s="5" t="str" cm="1">
        <f t="array" ref="O128">_xlfn.SWITCH(TRUE, N128&lt;=$S$7, "Low", N128&gt;=$S$8, "High", "Moderate")</f>
        <v>Low</v>
      </c>
      <c r="P128" s="5" t="str" cm="1">
        <f t="array" ref="P128">_xlfn.SWITCH(TRUE, N128&gt;=3.5, "High", N128&gt;=2.5, "Moderate", "Low")</f>
        <v>Moderate</v>
      </c>
      <c r="Q128" s="5" t="str">
        <f t="shared" si="9"/>
        <v>Low</v>
      </c>
      <c r="R128" s="5" t="str" cm="1">
        <f t="array" ref="R128">_xlfn.SWITCH(TRUE, N128&gt;=3, "High", "Low")</f>
        <v>Low</v>
      </c>
    </row>
    <row r="129" spans="1:18" x14ac:dyDescent="0.35">
      <c r="A129">
        <v>126</v>
      </c>
      <c r="B129" s="5">
        <v>4</v>
      </c>
      <c r="C129" s="5">
        <v>2</v>
      </c>
      <c r="D129" s="5">
        <v>3</v>
      </c>
      <c r="E129" s="5">
        <v>2</v>
      </c>
      <c r="F129" s="5">
        <v>2</v>
      </c>
      <c r="G129" s="5">
        <v>3</v>
      </c>
      <c r="H129" s="5">
        <v>3</v>
      </c>
      <c r="I129" s="5">
        <v>4</v>
      </c>
      <c r="J129" s="5">
        <v>3</v>
      </c>
      <c r="K129" s="5">
        <v>2</v>
      </c>
      <c r="L129" s="5">
        <v>4</v>
      </c>
      <c r="M129" s="5">
        <v>4</v>
      </c>
      <c r="N129" s="16">
        <f t="shared" si="8"/>
        <v>3</v>
      </c>
      <c r="O129" s="5" t="str" cm="1">
        <f t="array" ref="O129">_xlfn.SWITCH(TRUE, N129&lt;=$S$7, "Low", N129&gt;=$S$8, "High", "Moderate")</f>
        <v>Moderate</v>
      </c>
      <c r="P129" s="5" t="str" cm="1">
        <f t="array" ref="P129">_xlfn.SWITCH(TRUE, N129&gt;=3.5, "High", N129&gt;=2.5, "Moderate", "Low")</f>
        <v>Moderate</v>
      </c>
      <c r="Q129" s="5" t="str">
        <f t="shared" si="9"/>
        <v>Low</v>
      </c>
      <c r="R129" s="5" t="str" cm="1">
        <f t="array" ref="R129">_xlfn.SWITCH(TRUE, N129&gt;=3, "High", "Low")</f>
        <v>High</v>
      </c>
    </row>
    <row r="130" spans="1:18" x14ac:dyDescent="0.35">
      <c r="A130">
        <v>127</v>
      </c>
      <c r="B130" s="5">
        <v>4</v>
      </c>
      <c r="C130" s="5">
        <v>2</v>
      </c>
      <c r="D130" s="5">
        <v>4</v>
      </c>
      <c r="E130" s="5">
        <v>3</v>
      </c>
      <c r="F130" s="5">
        <v>4</v>
      </c>
      <c r="G130" s="5">
        <v>3</v>
      </c>
      <c r="H130" s="5">
        <v>2</v>
      </c>
      <c r="I130" s="5">
        <v>4</v>
      </c>
      <c r="J130" s="5">
        <v>3</v>
      </c>
      <c r="K130" s="5">
        <v>2</v>
      </c>
      <c r="L130" s="5">
        <v>4</v>
      </c>
      <c r="M130" s="5">
        <v>3</v>
      </c>
      <c r="N130" s="16">
        <f t="shared" si="8"/>
        <v>3.1666666666666665</v>
      </c>
      <c r="O130" s="5" t="str" cm="1">
        <f t="array" ref="O130">_xlfn.SWITCH(TRUE, N130&lt;=$S$7, "Low", N130&gt;=$S$8, "High", "Moderate")</f>
        <v>Moderate</v>
      </c>
      <c r="P130" s="5" t="str" cm="1">
        <f t="array" ref="P130">_xlfn.SWITCH(TRUE, N130&gt;=3.5, "High", N130&gt;=2.5, "Moderate", "Low")</f>
        <v>Moderate</v>
      </c>
      <c r="Q130" s="5" t="str">
        <f t="shared" si="9"/>
        <v>Low</v>
      </c>
      <c r="R130" s="5" t="str" cm="1">
        <f t="array" ref="R130">_xlfn.SWITCH(TRUE, N130&gt;=3, "High", "Low")</f>
        <v>High</v>
      </c>
    </row>
    <row r="131" spans="1:18" x14ac:dyDescent="0.35">
      <c r="A131">
        <v>128</v>
      </c>
      <c r="B131" s="5">
        <v>5</v>
      </c>
      <c r="C131" s="5">
        <v>4</v>
      </c>
      <c r="D131" s="5">
        <v>5</v>
      </c>
      <c r="E131" s="5">
        <v>5</v>
      </c>
      <c r="F131" s="5">
        <v>5</v>
      </c>
      <c r="G131" s="5">
        <v>5</v>
      </c>
      <c r="H131" s="5">
        <v>5</v>
      </c>
      <c r="I131" s="5">
        <v>5</v>
      </c>
      <c r="J131" s="5">
        <v>4</v>
      </c>
      <c r="K131" s="5">
        <v>4</v>
      </c>
      <c r="L131" s="5">
        <v>5</v>
      </c>
      <c r="M131" s="5">
        <v>5</v>
      </c>
      <c r="N131" s="16">
        <f t="shared" si="8"/>
        <v>4.75</v>
      </c>
      <c r="O131" s="5" t="str" cm="1">
        <f t="array" ref="O131">_xlfn.SWITCH(TRUE, N131&lt;=$S$7, "Low", N131&gt;=$S$8, "High", "Moderate")</f>
        <v>High</v>
      </c>
      <c r="P131" s="5" t="str" cm="1">
        <f t="array" ref="P131">_xlfn.SWITCH(TRUE, N131&gt;=3.5, "High", N131&gt;=2.5, "Moderate", "Low")</f>
        <v>High</v>
      </c>
      <c r="Q131" s="5" t="str">
        <f t="shared" si="9"/>
        <v>High</v>
      </c>
      <c r="R131" s="5" t="str" cm="1">
        <f t="array" ref="R131">_xlfn.SWITCH(TRUE, N131&gt;=3, "High", "Low")</f>
        <v>High</v>
      </c>
    </row>
    <row r="132" spans="1:18" x14ac:dyDescent="0.35">
      <c r="A132">
        <v>129</v>
      </c>
      <c r="B132" s="5">
        <v>3</v>
      </c>
      <c r="C132" s="5">
        <v>1</v>
      </c>
      <c r="D132" s="5">
        <v>4</v>
      </c>
      <c r="E132" s="5">
        <v>2</v>
      </c>
      <c r="F132" s="5">
        <v>5</v>
      </c>
      <c r="G132" s="5">
        <v>2</v>
      </c>
      <c r="H132" s="5">
        <v>2</v>
      </c>
      <c r="I132" s="5">
        <v>2</v>
      </c>
      <c r="J132" s="5">
        <v>3</v>
      </c>
      <c r="K132" s="5">
        <v>1</v>
      </c>
      <c r="L132" s="5">
        <v>4</v>
      </c>
      <c r="M132" s="5">
        <v>3</v>
      </c>
      <c r="N132" s="16">
        <f t="shared" si="8"/>
        <v>2.6666666666666665</v>
      </c>
      <c r="O132" s="5" t="str" cm="1">
        <f t="array" ref="O132">_xlfn.SWITCH(TRUE, N132&lt;=$S$7, "Low", N132&gt;=$S$8, "High", "Moderate")</f>
        <v>Low</v>
      </c>
      <c r="P132" s="5" t="str" cm="1">
        <f t="array" ref="P132">_xlfn.SWITCH(TRUE, N132&gt;=3.5, "High", N132&gt;=2.5, "Moderate", "Low")</f>
        <v>Moderate</v>
      </c>
      <c r="Q132" s="5" t="str">
        <f t="shared" si="9"/>
        <v>Low</v>
      </c>
      <c r="R132" s="5" t="str" cm="1">
        <f t="array" ref="R132">_xlfn.SWITCH(TRUE, N132&gt;=3, "High", "Low")</f>
        <v>Low</v>
      </c>
    </row>
    <row r="133" spans="1:18" x14ac:dyDescent="0.35">
      <c r="A133">
        <v>130</v>
      </c>
      <c r="B133" s="5">
        <v>3</v>
      </c>
      <c r="C133" s="5">
        <v>2</v>
      </c>
      <c r="D133" s="5">
        <v>3</v>
      </c>
      <c r="E133" s="5">
        <v>4</v>
      </c>
      <c r="F133" s="5">
        <v>4</v>
      </c>
      <c r="G133" s="5">
        <v>3</v>
      </c>
      <c r="H133" s="5">
        <v>4</v>
      </c>
      <c r="I133" s="5">
        <v>3</v>
      </c>
      <c r="J133" s="5">
        <v>3</v>
      </c>
      <c r="K133" s="5">
        <v>3</v>
      </c>
      <c r="L133" s="5">
        <v>3</v>
      </c>
      <c r="M133" s="5">
        <v>4</v>
      </c>
      <c r="N133" s="16">
        <f t="shared" si="8"/>
        <v>3.25</v>
      </c>
      <c r="O133" s="5" t="str" cm="1">
        <f t="array" ref="O133">_xlfn.SWITCH(TRUE, N133&lt;=$S$7, "Low", N133&gt;=$S$8, "High", "Moderate")</f>
        <v>Moderate</v>
      </c>
      <c r="P133" s="5" t="str" cm="1">
        <f t="array" ref="P133">_xlfn.SWITCH(TRUE, N133&gt;=3.5, "High", N133&gt;=2.5, "Moderate", "Low")</f>
        <v>Moderate</v>
      </c>
      <c r="Q133" s="5" t="str">
        <f t="shared" si="9"/>
        <v>High</v>
      </c>
      <c r="R133" s="5" t="str" cm="1">
        <f t="array" ref="R133">_xlfn.SWITCH(TRUE, N133&gt;=3, "High", "Low")</f>
        <v>High</v>
      </c>
    </row>
    <row r="134" spans="1:18" x14ac:dyDescent="0.35">
      <c r="A134">
        <v>131</v>
      </c>
      <c r="B134" s="5">
        <v>5</v>
      </c>
      <c r="C134" s="5">
        <v>4</v>
      </c>
      <c r="D134" s="5">
        <v>5</v>
      </c>
      <c r="E134" s="5">
        <v>5</v>
      </c>
      <c r="F134" s="5">
        <v>5</v>
      </c>
      <c r="G134" s="5">
        <v>5</v>
      </c>
      <c r="H134" s="5">
        <v>5</v>
      </c>
      <c r="I134" s="5">
        <v>5</v>
      </c>
      <c r="J134" s="5">
        <v>5</v>
      </c>
      <c r="K134" s="5">
        <v>5</v>
      </c>
      <c r="L134" s="5">
        <v>5</v>
      </c>
      <c r="M134" s="5">
        <v>5</v>
      </c>
      <c r="N134" s="16">
        <f t="shared" si="8"/>
        <v>4.916666666666667</v>
      </c>
      <c r="O134" s="5" t="str" cm="1">
        <f t="array" ref="O134">_xlfn.SWITCH(TRUE, N134&lt;=$S$7, "Low", N134&gt;=$S$8, "High", "Moderate")</f>
        <v>High</v>
      </c>
      <c r="P134" s="5" t="str" cm="1">
        <f t="array" ref="P134">_xlfn.SWITCH(TRUE, N134&gt;=3.5, "High", N134&gt;=2.5, "Moderate", "Low")</f>
        <v>High</v>
      </c>
      <c r="Q134" s="5" t="str">
        <f t="shared" si="9"/>
        <v>High</v>
      </c>
      <c r="R134" s="5" t="str" cm="1">
        <f t="array" ref="R134">_xlfn.SWITCH(TRUE, N134&gt;=3, "High", "Low")</f>
        <v>High</v>
      </c>
    </row>
    <row r="135" spans="1:18" x14ac:dyDescent="0.35">
      <c r="A135">
        <v>132</v>
      </c>
      <c r="B135" s="5">
        <v>3</v>
      </c>
      <c r="C135" s="5">
        <v>3</v>
      </c>
      <c r="D135" s="5">
        <v>4</v>
      </c>
      <c r="E135" s="5">
        <v>3</v>
      </c>
      <c r="F135" s="5">
        <v>4</v>
      </c>
      <c r="G135" s="5">
        <v>4</v>
      </c>
      <c r="H135" s="5">
        <v>4</v>
      </c>
      <c r="I135" s="5">
        <v>3</v>
      </c>
      <c r="J135" s="5">
        <v>3</v>
      </c>
      <c r="K135" s="5">
        <v>3</v>
      </c>
      <c r="L135" s="5">
        <v>3</v>
      </c>
      <c r="M135" s="5">
        <v>3</v>
      </c>
      <c r="N135" s="16">
        <f t="shared" si="8"/>
        <v>3.3333333333333335</v>
      </c>
      <c r="O135" s="5" t="str" cm="1">
        <f t="array" ref="O135">_xlfn.SWITCH(TRUE, N135&lt;=$S$7, "Low", N135&gt;=$S$8, "High", "Moderate")</f>
        <v>Moderate</v>
      </c>
      <c r="P135" s="5" t="str" cm="1">
        <f t="array" ref="P135">_xlfn.SWITCH(TRUE, N135&gt;=3.5, "High", N135&gt;=2.5, "Moderate", "Low")</f>
        <v>Moderate</v>
      </c>
      <c r="Q135" s="5" t="str">
        <f t="shared" si="9"/>
        <v>High</v>
      </c>
      <c r="R135" s="5" t="str" cm="1">
        <f t="array" ref="R135">_xlfn.SWITCH(TRUE, N135&gt;=3, "High", "Low")</f>
        <v>High</v>
      </c>
    </row>
    <row r="136" spans="1:18" x14ac:dyDescent="0.35">
      <c r="A136">
        <v>133</v>
      </c>
      <c r="B136" s="5">
        <v>5</v>
      </c>
      <c r="C136" s="5">
        <v>4</v>
      </c>
      <c r="D136" s="5">
        <v>5</v>
      </c>
      <c r="E136" s="5">
        <v>3</v>
      </c>
      <c r="F136" s="5">
        <v>5</v>
      </c>
      <c r="G136" s="5">
        <v>3</v>
      </c>
      <c r="H136" s="5">
        <v>5</v>
      </c>
      <c r="I136" s="5">
        <v>5</v>
      </c>
      <c r="J136" s="5">
        <v>5</v>
      </c>
      <c r="K136" s="5">
        <v>4</v>
      </c>
      <c r="L136" s="5">
        <v>5</v>
      </c>
      <c r="M136" s="5">
        <v>5</v>
      </c>
      <c r="N136" s="16">
        <f t="shared" si="8"/>
        <v>4.5</v>
      </c>
      <c r="O136" s="5" t="str" cm="1">
        <f t="array" ref="O136">_xlfn.SWITCH(TRUE, N136&lt;=$S$7, "Low", N136&gt;=$S$8, "High", "Moderate")</f>
        <v>High</v>
      </c>
      <c r="P136" s="5" t="str" cm="1">
        <f t="array" ref="P136">_xlfn.SWITCH(TRUE, N136&gt;=3.5, "High", N136&gt;=2.5, "Moderate", "Low")</f>
        <v>High</v>
      </c>
      <c r="Q136" s="5" t="str">
        <f t="shared" si="9"/>
        <v>High</v>
      </c>
      <c r="R136" s="5" t="str" cm="1">
        <f t="array" ref="R136">_xlfn.SWITCH(TRUE, N136&gt;=3, "High", "Low")</f>
        <v>High</v>
      </c>
    </row>
  </sheetData>
  <mergeCells count="1">
    <mergeCell ref="S6:T6"/>
  </mergeCells>
  <phoneticPr fontId="3" type="noConversion"/>
  <pageMargins left="0.7" right="0.7" top="0.75" bottom="0.75" header="0.3" footer="0.3"/>
  <ignoredErrors>
    <ignoredError sqref="N4" formulaRange="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FEF-6B60-493B-863A-5D50914BA083}">
  <sheetPr codeName="Worksheet______41">
    <tabColor theme="4" tint="0.39997558519241921"/>
  </sheetPr>
  <dimension ref="A1:R136"/>
  <sheetViews>
    <sheetView workbookViewId="0">
      <selection activeCell="G10" sqref="G10"/>
    </sheetView>
  </sheetViews>
  <sheetFormatPr defaultRowHeight="14.5" x14ac:dyDescent="0.35"/>
  <cols>
    <col min="1" max="1" width="5.81640625" bestFit="1" customWidth="1"/>
    <col min="2" max="2" width="8.6328125" customWidth="1"/>
    <col min="3" max="13" width="7.1796875" customWidth="1"/>
    <col min="14" max="14" width="8.1796875" bestFit="1" customWidth="1"/>
    <col min="15" max="16" width="19.6328125" customWidth="1"/>
    <col min="17" max="17" width="5.08984375" bestFit="1" customWidth="1"/>
    <col min="18" max="18" width="3.81640625" bestFit="1" customWidth="1"/>
  </cols>
  <sheetData>
    <row r="1" spans="1:18" x14ac:dyDescent="0.35">
      <c r="A1" s="4"/>
      <c r="B1" s="5">
        <v>1</v>
      </c>
      <c r="C1" s="5">
        <v>4</v>
      </c>
      <c r="D1" s="5">
        <v>10</v>
      </c>
      <c r="E1" s="5">
        <v>12</v>
      </c>
      <c r="F1" s="5">
        <v>15</v>
      </c>
      <c r="G1" s="5">
        <v>22</v>
      </c>
      <c r="H1" s="5">
        <v>30</v>
      </c>
      <c r="I1" s="5">
        <v>35</v>
      </c>
      <c r="J1" s="5">
        <v>40</v>
      </c>
      <c r="K1" s="5">
        <v>45</v>
      </c>
      <c r="L1" s="5">
        <v>53</v>
      </c>
      <c r="M1" s="5">
        <v>57</v>
      </c>
    </row>
    <row r="2" spans="1:18" x14ac:dyDescent="0.35">
      <c r="A2" s="4"/>
      <c r="B2" s="41" t="s">
        <v>589</v>
      </c>
      <c r="C2" s="41" t="s">
        <v>589</v>
      </c>
      <c r="D2" s="41" t="s">
        <v>589</v>
      </c>
      <c r="E2" s="41" t="s">
        <v>589</v>
      </c>
      <c r="F2" s="42" t="s">
        <v>594</v>
      </c>
      <c r="G2" s="41" t="s">
        <v>594</v>
      </c>
      <c r="H2" s="41" t="s">
        <v>589</v>
      </c>
      <c r="I2" s="41" t="s">
        <v>589</v>
      </c>
      <c r="J2" s="41" t="s">
        <v>589</v>
      </c>
      <c r="K2" s="41" t="s">
        <v>589</v>
      </c>
      <c r="L2" s="41" t="s">
        <v>594</v>
      </c>
      <c r="M2" s="41" t="s">
        <v>594</v>
      </c>
    </row>
    <row r="3" spans="1:18" x14ac:dyDescent="0.35">
      <c r="A3" s="3" t="s">
        <v>599</v>
      </c>
      <c r="B3" s="3" t="s">
        <v>724</v>
      </c>
      <c r="C3" s="3" t="s">
        <v>726</v>
      </c>
      <c r="D3" s="3" t="s">
        <v>731</v>
      </c>
      <c r="E3" s="3" t="s">
        <v>733</v>
      </c>
      <c r="F3" s="43" t="s">
        <v>736</v>
      </c>
      <c r="G3" s="43" t="s">
        <v>742</v>
      </c>
      <c r="H3" s="3" t="s">
        <v>748</v>
      </c>
      <c r="I3" s="3" t="s">
        <v>752</v>
      </c>
      <c r="J3" s="3" t="s">
        <v>756</v>
      </c>
      <c r="K3" s="3" t="s">
        <v>760</v>
      </c>
      <c r="L3" s="43" t="s">
        <v>766</v>
      </c>
      <c r="M3" s="43" t="s">
        <v>769</v>
      </c>
      <c r="N3" s="5" t="s">
        <v>710</v>
      </c>
      <c r="O3" s="5" t="s">
        <v>772</v>
      </c>
      <c r="P3" t="s">
        <v>773</v>
      </c>
    </row>
    <row r="4" spans="1:18" x14ac:dyDescent="0.35">
      <c r="A4">
        <v>1</v>
      </c>
      <c r="B4" s="5">
        <v>4</v>
      </c>
      <c r="C4" s="5">
        <v>2</v>
      </c>
      <c r="D4" s="5">
        <v>4</v>
      </c>
      <c r="E4" s="5">
        <v>4</v>
      </c>
      <c r="F4" s="5">
        <v>4</v>
      </c>
      <c r="G4" s="5">
        <v>3</v>
      </c>
      <c r="H4" s="5">
        <v>5</v>
      </c>
      <c r="I4" s="5">
        <v>4</v>
      </c>
      <c r="J4" s="5">
        <v>5</v>
      </c>
      <c r="K4" s="5">
        <v>5</v>
      </c>
      <c r="L4" s="5">
        <v>4</v>
      </c>
      <c r="M4" s="5">
        <v>5</v>
      </c>
      <c r="N4" s="16">
        <f>AVERAGE(B4:M4)</f>
        <v>4.083333333333333</v>
      </c>
      <c r="O4" s="5" t="str" cm="1">
        <f t="array" ref="O4">_xlfn.SWITCH(TRUE, N4&lt;=$Q$8, "Low", N4&gt;=$Q$9, "High", "Moderate")</f>
        <v>High</v>
      </c>
      <c r="P4" s="5" t="str">
        <f t="shared" ref="P4:P35" si="0">_xlfn.SWITCH(TRUE, N4&lt;=$Q$10, "Low", "High")</f>
        <v>High</v>
      </c>
    </row>
    <row r="5" spans="1:18" x14ac:dyDescent="0.35">
      <c r="A5">
        <v>2</v>
      </c>
      <c r="B5" s="5">
        <v>4</v>
      </c>
      <c r="C5" s="5">
        <v>5</v>
      </c>
      <c r="D5" s="5">
        <v>4</v>
      </c>
      <c r="E5" s="5">
        <v>4</v>
      </c>
      <c r="F5" s="5">
        <v>5</v>
      </c>
      <c r="G5" s="5">
        <v>2</v>
      </c>
      <c r="H5" s="5">
        <v>5</v>
      </c>
      <c r="I5" s="5">
        <v>4</v>
      </c>
      <c r="J5" s="5">
        <v>3</v>
      </c>
      <c r="K5" s="5">
        <v>4</v>
      </c>
      <c r="L5" s="5">
        <v>5</v>
      </c>
      <c r="M5" s="5">
        <v>5</v>
      </c>
      <c r="N5" s="16">
        <f t="shared" ref="N5:N68" si="1">AVERAGE(B5:M5)</f>
        <v>4.166666666666667</v>
      </c>
      <c r="O5" s="5" t="str" cm="1">
        <f t="array" ref="O5">_xlfn.SWITCH(TRUE, N5&lt;=$Q$8, "Low", N5&gt;=$Q$9, "High", "Moderate")</f>
        <v>High</v>
      </c>
      <c r="P5" s="5" t="str">
        <f t="shared" si="0"/>
        <v>High</v>
      </c>
    </row>
    <row r="6" spans="1:18" x14ac:dyDescent="0.35">
      <c r="A6">
        <v>3</v>
      </c>
      <c r="B6" s="5">
        <v>4</v>
      </c>
      <c r="C6" s="5">
        <v>5</v>
      </c>
      <c r="D6" s="5">
        <v>4</v>
      </c>
      <c r="E6" s="5">
        <v>3</v>
      </c>
      <c r="F6" s="5">
        <v>5</v>
      </c>
      <c r="G6" s="5">
        <v>1</v>
      </c>
      <c r="H6" s="5">
        <v>5</v>
      </c>
      <c r="I6" s="5">
        <v>3</v>
      </c>
      <c r="J6" s="5">
        <v>5</v>
      </c>
      <c r="K6" s="5">
        <v>4</v>
      </c>
      <c r="L6" s="5">
        <v>4</v>
      </c>
      <c r="M6" s="5">
        <v>3</v>
      </c>
      <c r="N6" s="16">
        <f t="shared" si="1"/>
        <v>3.8333333333333335</v>
      </c>
      <c r="O6" s="5" t="str" cm="1">
        <f t="array" ref="O6">_xlfn.SWITCH(TRUE, N6&lt;=$Q$8, "Low", N6&gt;=$Q$9, "High", "Moderate")</f>
        <v>Moderate</v>
      </c>
      <c r="P6" s="5" t="str">
        <f t="shared" si="0"/>
        <v>Low</v>
      </c>
    </row>
    <row r="7" spans="1:18" x14ac:dyDescent="0.35">
      <c r="A7">
        <v>4</v>
      </c>
      <c r="B7" s="5">
        <v>3</v>
      </c>
      <c r="C7" s="5">
        <v>1</v>
      </c>
      <c r="D7" s="5">
        <v>4</v>
      </c>
      <c r="E7" s="5">
        <v>1</v>
      </c>
      <c r="F7" s="5">
        <v>5</v>
      </c>
      <c r="G7" s="5">
        <v>4</v>
      </c>
      <c r="H7" s="5">
        <v>3</v>
      </c>
      <c r="I7" s="5">
        <v>4</v>
      </c>
      <c r="J7" s="5">
        <v>1</v>
      </c>
      <c r="K7" s="5">
        <v>2</v>
      </c>
      <c r="L7" s="5">
        <v>5</v>
      </c>
      <c r="M7" s="5">
        <v>4</v>
      </c>
      <c r="N7" s="16">
        <f t="shared" si="1"/>
        <v>3.0833333333333335</v>
      </c>
      <c r="O7" s="5" t="str" cm="1">
        <f t="array" ref="O7">_xlfn.SWITCH(TRUE, N7&lt;=$Q$8, "Low", N7&gt;=$Q$9, "High", "Moderate")</f>
        <v>Low</v>
      </c>
      <c r="P7" s="5" t="str">
        <f t="shared" si="0"/>
        <v>Low</v>
      </c>
      <c r="Q7" s="53" t="s">
        <v>709</v>
      </c>
      <c r="R7" s="53"/>
    </row>
    <row r="8" spans="1:18" x14ac:dyDescent="0.35">
      <c r="A8">
        <v>5</v>
      </c>
      <c r="B8" s="5">
        <v>5</v>
      </c>
      <c r="C8" s="5">
        <v>4</v>
      </c>
      <c r="D8" s="5">
        <v>4</v>
      </c>
      <c r="E8" s="5">
        <v>3</v>
      </c>
      <c r="F8" s="5">
        <v>5</v>
      </c>
      <c r="G8" s="5">
        <v>2</v>
      </c>
      <c r="H8" s="5">
        <v>4</v>
      </c>
      <c r="I8" s="5">
        <v>4</v>
      </c>
      <c r="J8" s="5">
        <v>3</v>
      </c>
      <c r="K8" s="5">
        <v>3</v>
      </c>
      <c r="L8" s="5">
        <v>3</v>
      </c>
      <c r="M8" s="5">
        <v>3</v>
      </c>
      <c r="N8" s="16">
        <f t="shared" si="1"/>
        <v>3.5833333333333335</v>
      </c>
      <c r="O8" s="5" t="str" cm="1">
        <f t="array" ref="O8">_xlfn.SWITCH(TRUE, N8&lt;=$Q$8, "Low", N8&gt;=$Q$9, "High", "Moderate")</f>
        <v>Low</v>
      </c>
      <c r="P8" s="5" t="str">
        <f t="shared" si="0"/>
        <v>Low</v>
      </c>
      <c r="Q8" s="14">
        <f>_xlfn.PERCENTILE.EXC($N$4:$N$108,R8)</f>
        <v>3.5833333333333335</v>
      </c>
      <c r="R8" s="13">
        <v>0.33333333333333298</v>
      </c>
    </row>
    <row r="9" spans="1:18" x14ac:dyDescent="0.35">
      <c r="A9">
        <v>6</v>
      </c>
      <c r="B9" s="5">
        <v>4</v>
      </c>
      <c r="C9" s="5">
        <v>3</v>
      </c>
      <c r="D9" s="5">
        <v>3</v>
      </c>
      <c r="E9" s="5">
        <v>3</v>
      </c>
      <c r="F9" s="5">
        <v>4</v>
      </c>
      <c r="G9" s="5">
        <v>2</v>
      </c>
      <c r="H9" s="5">
        <v>2</v>
      </c>
      <c r="I9" s="5">
        <v>4</v>
      </c>
      <c r="J9" s="5">
        <v>4</v>
      </c>
      <c r="K9" s="5">
        <v>3</v>
      </c>
      <c r="L9" s="5">
        <v>3</v>
      </c>
      <c r="M9" s="5">
        <v>3</v>
      </c>
      <c r="N9" s="16">
        <f t="shared" si="1"/>
        <v>3.1666666666666665</v>
      </c>
      <c r="O9" s="5" t="str" cm="1">
        <f t="array" ref="O9">_xlfn.SWITCH(TRUE, N9&lt;=$Q$8, "Low", N9&gt;=$Q$9, "High", "Moderate")</f>
        <v>Low</v>
      </c>
      <c r="P9" s="5" t="str">
        <f t="shared" si="0"/>
        <v>Low</v>
      </c>
      <c r="Q9" s="14">
        <f t="shared" ref="Q9:Q10" si="2">_xlfn.PERCENTILE.EXC($N$4:$N$108,R9)</f>
        <v>4.083333333333333</v>
      </c>
      <c r="R9" s="13">
        <v>0.66666666666666663</v>
      </c>
    </row>
    <row r="10" spans="1:18" x14ac:dyDescent="0.35">
      <c r="A10">
        <v>7</v>
      </c>
      <c r="B10" s="5">
        <v>3</v>
      </c>
      <c r="C10" s="5">
        <v>3</v>
      </c>
      <c r="D10" s="5">
        <v>3</v>
      </c>
      <c r="E10" s="5">
        <v>2</v>
      </c>
      <c r="F10" s="5">
        <v>4</v>
      </c>
      <c r="G10" s="5">
        <v>3</v>
      </c>
      <c r="H10" s="5">
        <v>3</v>
      </c>
      <c r="I10" s="5">
        <v>2</v>
      </c>
      <c r="J10" s="5">
        <v>3</v>
      </c>
      <c r="K10" s="5">
        <v>2</v>
      </c>
      <c r="L10" s="5">
        <v>3</v>
      </c>
      <c r="M10" s="5">
        <v>3</v>
      </c>
      <c r="N10" s="16">
        <f t="shared" si="1"/>
        <v>2.8333333333333335</v>
      </c>
      <c r="O10" s="5" t="str" cm="1">
        <f t="array" ref="O10">_xlfn.SWITCH(TRUE, N10&lt;=$Q$8, "Low", N10&gt;=$Q$9, "High", "Moderate")</f>
        <v>Low</v>
      </c>
      <c r="P10" s="5" t="str">
        <f t="shared" si="0"/>
        <v>Low</v>
      </c>
      <c r="Q10" s="14">
        <f t="shared" si="2"/>
        <v>3.8333333333333335</v>
      </c>
      <c r="R10" s="13">
        <v>0.5</v>
      </c>
    </row>
    <row r="11" spans="1:18" x14ac:dyDescent="0.35">
      <c r="A11">
        <v>8</v>
      </c>
      <c r="B11" s="5">
        <v>4</v>
      </c>
      <c r="C11" s="5">
        <v>4</v>
      </c>
      <c r="D11" s="5">
        <v>4</v>
      </c>
      <c r="E11" s="5">
        <v>4</v>
      </c>
      <c r="F11" s="5">
        <v>5</v>
      </c>
      <c r="G11" s="5">
        <v>2</v>
      </c>
      <c r="H11" s="5">
        <v>4</v>
      </c>
      <c r="I11" s="5">
        <v>3</v>
      </c>
      <c r="J11" s="5">
        <v>4</v>
      </c>
      <c r="K11" s="5">
        <v>3</v>
      </c>
      <c r="L11" s="5">
        <v>5</v>
      </c>
      <c r="M11" s="5">
        <v>4</v>
      </c>
      <c r="N11" s="16">
        <f t="shared" si="1"/>
        <v>3.8333333333333335</v>
      </c>
      <c r="O11" s="5" t="str" cm="1">
        <f t="array" ref="O11">_xlfn.SWITCH(TRUE, N11&lt;=$Q$8, "Low", N11&gt;=$Q$9, "High", "Moderate")</f>
        <v>Moderate</v>
      </c>
      <c r="P11" s="5" t="str">
        <f t="shared" si="0"/>
        <v>Low</v>
      </c>
    </row>
    <row r="12" spans="1:18" x14ac:dyDescent="0.35">
      <c r="A12">
        <v>9</v>
      </c>
      <c r="B12" s="5">
        <v>5</v>
      </c>
      <c r="C12" s="5">
        <v>5</v>
      </c>
      <c r="D12" s="5">
        <v>5</v>
      </c>
      <c r="E12" s="5">
        <v>5</v>
      </c>
      <c r="F12" s="5">
        <v>5</v>
      </c>
      <c r="G12" s="5">
        <v>1</v>
      </c>
      <c r="H12" s="5">
        <v>5</v>
      </c>
      <c r="I12" s="5">
        <v>4</v>
      </c>
      <c r="J12" s="5">
        <v>5</v>
      </c>
      <c r="K12" s="5">
        <v>5</v>
      </c>
      <c r="L12" s="5">
        <v>1</v>
      </c>
      <c r="M12" s="5">
        <v>1</v>
      </c>
      <c r="N12" s="16">
        <f t="shared" si="1"/>
        <v>3.9166666666666665</v>
      </c>
      <c r="O12" s="5" t="str" cm="1">
        <f t="array" ref="O12">_xlfn.SWITCH(TRUE, N12&lt;=$Q$8, "Low", N12&gt;=$Q$9, "High", "Moderate")</f>
        <v>Moderate</v>
      </c>
      <c r="P12" s="5" t="str">
        <f t="shared" si="0"/>
        <v>High</v>
      </c>
    </row>
    <row r="13" spans="1:18" x14ac:dyDescent="0.35">
      <c r="A13">
        <v>10</v>
      </c>
      <c r="B13" s="5">
        <v>5</v>
      </c>
      <c r="C13" s="5">
        <v>4</v>
      </c>
      <c r="D13" s="5">
        <v>4</v>
      </c>
      <c r="E13" s="5">
        <v>3</v>
      </c>
      <c r="F13" s="5">
        <v>5</v>
      </c>
      <c r="G13" s="5">
        <v>4</v>
      </c>
      <c r="H13" s="5">
        <v>3</v>
      </c>
      <c r="I13" s="5">
        <v>4</v>
      </c>
      <c r="J13" s="5">
        <v>2</v>
      </c>
      <c r="K13" s="5">
        <v>4</v>
      </c>
      <c r="L13" s="5">
        <v>3</v>
      </c>
      <c r="M13" s="5">
        <v>3</v>
      </c>
      <c r="N13" s="16">
        <f t="shared" si="1"/>
        <v>3.6666666666666665</v>
      </c>
      <c r="O13" s="5" t="str" cm="1">
        <f t="array" ref="O13">_xlfn.SWITCH(TRUE, N13&lt;=$Q$8, "Low", N13&gt;=$Q$9, "High", "Moderate")</f>
        <v>Moderate</v>
      </c>
      <c r="P13" s="5" t="str">
        <f t="shared" si="0"/>
        <v>Low</v>
      </c>
    </row>
    <row r="14" spans="1:18" x14ac:dyDescent="0.35">
      <c r="A14">
        <v>11</v>
      </c>
      <c r="B14" s="5">
        <v>5</v>
      </c>
      <c r="C14" s="5">
        <v>5</v>
      </c>
      <c r="D14" s="5">
        <v>4</v>
      </c>
      <c r="E14" s="5">
        <v>4</v>
      </c>
      <c r="F14" s="5">
        <v>5</v>
      </c>
      <c r="G14" s="5">
        <v>2</v>
      </c>
      <c r="H14" s="5">
        <v>4</v>
      </c>
      <c r="I14" s="5">
        <v>4</v>
      </c>
      <c r="J14" s="5">
        <v>4</v>
      </c>
      <c r="K14" s="5">
        <v>3</v>
      </c>
      <c r="L14" s="5">
        <v>3</v>
      </c>
      <c r="M14" s="5">
        <v>5</v>
      </c>
      <c r="N14" s="16">
        <f t="shared" si="1"/>
        <v>4</v>
      </c>
      <c r="O14" s="5" t="str" cm="1">
        <f t="array" ref="O14">_xlfn.SWITCH(TRUE, N14&lt;=$Q$8, "Low", N14&gt;=$Q$9, "High", "Moderate")</f>
        <v>Moderate</v>
      </c>
      <c r="P14" s="5" t="str">
        <f t="shared" si="0"/>
        <v>High</v>
      </c>
    </row>
    <row r="15" spans="1:18" x14ac:dyDescent="0.35">
      <c r="A15">
        <v>12</v>
      </c>
      <c r="B15" s="5">
        <v>4</v>
      </c>
      <c r="C15" s="5">
        <v>4</v>
      </c>
      <c r="D15" s="5">
        <v>4</v>
      </c>
      <c r="E15" s="5">
        <v>3</v>
      </c>
      <c r="F15" s="5">
        <v>5</v>
      </c>
      <c r="G15" s="5">
        <v>2</v>
      </c>
      <c r="H15" s="5">
        <v>4</v>
      </c>
      <c r="I15" s="5">
        <v>4</v>
      </c>
      <c r="J15" s="5">
        <v>4</v>
      </c>
      <c r="K15" s="5">
        <v>3</v>
      </c>
      <c r="L15" s="5">
        <v>4</v>
      </c>
      <c r="M15" s="5">
        <v>4</v>
      </c>
      <c r="N15" s="16">
        <f t="shared" si="1"/>
        <v>3.75</v>
      </c>
      <c r="O15" s="5" t="str" cm="1">
        <f t="array" ref="O15">_xlfn.SWITCH(TRUE, N15&lt;=$Q$8, "Low", N15&gt;=$Q$9, "High", "Moderate")</f>
        <v>Moderate</v>
      </c>
      <c r="P15" s="5" t="str">
        <f t="shared" si="0"/>
        <v>Low</v>
      </c>
    </row>
    <row r="16" spans="1:18" x14ac:dyDescent="0.35">
      <c r="A16">
        <v>13</v>
      </c>
      <c r="B16" s="5">
        <v>5</v>
      </c>
      <c r="C16" s="5">
        <v>4</v>
      </c>
      <c r="D16" s="5">
        <v>4</v>
      </c>
      <c r="E16" s="5">
        <v>4</v>
      </c>
      <c r="F16" s="5">
        <v>5</v>
      </c>
      <c r="G16" s="5">
        <v>2</v>
      </c>
      <c r="H16" s="5">
        <v>4</v>
      </c>
      <c r="I16" s="5">
        <v>3</v>
      </c>
      <c r="J16" s="5">
        <v>5</v>
      </c>
      <c r="K16" s="5">
        <v>4</v>
      </c>
      <c r="L16" s="5">
        <v>4</v>
      </c>
      <c r="M16" s="5">
        <v>5</v>
      </c>
      <c r="N16" s="16">
        <f t="shared" si="1"/>
        <v>4.083333333333333</v>
      </c>
      <c r="O16" s="5" t="str" cm="1">
        <f t="array" ref="O16">_xlfn.SWITCH(TRUE, N16&lt;=$Q$8, "Low", N16&gt;=$Q$9, "High", "Moderate")</f>
        <v>High</v>
      </c>
      <c r="P16" s="5" t="str">
        <f t="shared" si="0"/>
        <v>High</v>
      </c>
    </row>
    <row r="17" spans="1:16" x14ac:dyDescent="0.35">
      <c r="A17">
        <v>14</v>
      </c>
      <c r="B17" s="5">
        <v>4</v>
      </c>
      <c r="C17" s="5">
        <v>4</v>
      </c>
      <c r="D17" s="5">
        <v>5</v>
      </c>
      <c r="E17" s="5">
        <v>5</v>
      </c>
      <c r="F17" s="5">
        <v>4</v>
      </c>
      <c r="G17" s="5">
        <v>2</v>
      </c>
      <c r="H17" s="5">
        <v>4</v>
      </c>
      <c r="I17" s="5">
        <v>3</v>
      </c>
      <c r="J17" s="5">
        <v>4</v>
      </c>
      <c r="K17" s="5">
        <v>5</v>
      </c>
      <c r="L17" s="5">
        <v>3</v>
      </c>
      <c r="M17" s="5">
        <v>4</v>
      </c>
      <c r="N17" s="16">
        <f t="shared" si="1"/>
        <v>3.9166666666666665</v>
      </c>
      <c r="O17" s="5" t="str" cm="1">
        <f t="array" ref="O17">_xlfn.SWITCH(TRUE, N17&lt;=$Q$8, "Low", N17&gt;=$Q$9, "High", "Moderate")</f>
        <v>Moderate</v>
      </c>
      <c r="P17" s="5" t="str">
        <f t="shared" si="0"/>
        <v>High</v>
      </c>
    </row>
    <row r="18" spans="1:16" x14ac:dyDescent="0.35">
      <c r="A18">
        <v>15</v>
      </c>
      <c r="B18" s="5">
        <v>5</v>
      </c>
      <c r="C18" s="5">
        <v>5</v>
      </c>
      <c r="D18" s="5">
        <v>3</v>
      </c>
      <c r="E18" s="5">
        <v>3</v>
      </c>
      <c r="F18" s="5">
        <v>5</v>
      </c>
      <c r="G18" s="5">
        <v>3</v>
      </c>
      <c r="H18" s="5">
        <v>3</v>
      </c>
      <c r="I18" s="5">
        <v>4</v>
      </c>
      <c r="J18" s="5">
        <v>5</v>
      </c>
      <c r="K18" s="5">
        <v>3</v>
      </c>
      <c r="L18" s="5">
        <v>5</v>
      </c>
      <c r="M18" s="5">
        <v>4</v>
      </c>
      <c r="N18" s="16">
        <f t="shared" si="1"/>
        <v>4</v>
      </c>
      <c r="O18" s="5" t="str" cm="1">
        <f t="array" ref="O18">_xlfn.SWITCH(TRUE, N18&lt;=$Q$8, "Low", N18&gt;=$Q$9, "High", "Moderate")</f>
        <v>Moderate</v>
      </c>
      <c r="P18" s="5" t="str">
        <f t="shared" si="0"/>
        <v>High</v>
      </c>
    </row>
    <row r="19" spans="1:16" x14ac:dyDescent="0.35">
      <c r="A19">
        <v>16</v>
      </c>
      <c r="B19" s="5">
        <v>3</v>
      </c>
      <c r="C19" s="5">
        <v>4</v>
      </c>
      <c r="D19" s="5">
        <v>3</v>
      </c>
      <c r="E19" s="5">
        <v>1</v>
      </c>
      <c r="F19" s="5">
        <v>4</v>
      </c>
      <c r="G19" s="5">
        <v>4</v>
      </c>
      <c r="H19" s="5">
        <v>3</v>
      </c>
      <c r="I19" s="5">
        <v>3</v>
      </c>
      <c r="J19" s="5">
        <v>3</v>
      </c>
      <c r="K19" s="5">
        <v>4</v>
      </c>
      <c r="L19" s="5">
        <v>2</v>
      </c>
      <c r="M19" s="5">
        <v>1</v>
      </c>
      <c r="N19" s="16">
        <f t="shared" si="1"/>
        <v>2.9166666666666665</v>
      </c>
      <c r="O19" s="5" t="str" cm="1">
        <f t="array" ref="O19">_xlfn.SWITCH(TRUE, N19&lt;=$Q$8, "Low", N19&gt;=$Q$9, "High", "Moderate")</f>
        <v>Low</v>
      </c>
      <c r="P19" s="5" t="str">
        <f t="shared" si="0"/>
        <v>Low</v>
      </c>
    </row>
    <row r="20" spans="1:16" x14ac:dyDescent="0.35">
      <c r="A20">
        <v>17</v>
      </c>
      <c r="B20" s="5">
        <v>4</v>
      </c>
      <c r="C20" s="5">
        <v>4</v>
      </c>
      <c r="D20" s="5">
        <v>4</v>
      </c>
      <c r="E20" s="5">
        <v>4</v>
      </c>
      <c r="F20" s="5">
        <v>5</v>
      </c>
      <c r="G20" s="5">
        <v>2</v>
      </c>
      <c r="H20" s="5">
        <v>4</v>
      </c>
      <c r="I20" s="5">
        <v>4</v>
      </c>
      <c r="J20" s="5">
        <v>3</v>
      </c>
      <c r="K20" s="5">
        <v>4</v>
      </c>
      <c r="L20" s="5">
        <v>4</v>
      </c>
      <c r="M20" s="5">
        <v>4</v>
      </c>
      <c r="N20" s="16">
        <f t="shared" si="1"/>
        <v>3.8333333333333335</v>
      </c>
      <c r="O20" s="5" t="str" cm="1">
        <f t="array" ref="O20">_xlfn.SWITCH(TRUE, N20&lt;=$Q$8, "Low", N20&gt;=$Q$9, "High", "Moderate")</f>
        <v>Moderate</v>
      </c>
      <c r="P20" s="5" t="str">
        <f t="shared" si="0"/>
        <v>Low</v>
      </c>
    </row>
    <row r="21" spans="1:16" x14ac:dyDescent="0.35">
      <c r="A21">
        <v>18</v>
      </c>
      <c r="B21" s="5">
        <v>4</v>
      </c>
      <c r="C21" s="5">
        <v>3</v>
      </c>
      <c r="D21" s="5">
        <v>4</v>
      </c>
      <c r="E21" s="5">
        <v>3</v>
      </c>
      <c r="F21" s="5">
        <v>5</v>
      </c>
      <c r="G21" s="5">
        <v>3</v>
      </c>
      <c r="H21" s="5">
        <v>4</v>
      </c>
      <c r="I21" s="5">
        <v>4</v>
      </c>
      <c r="J21" s="5">
        <v>4</v>
      </c>
      <c r="K21" s="5">
        <v>4</v>
      </c>
      <c r="L21" s="5">
        <v>3</v>
      </c>
      <c r="M21" s="5">
        <v>5</v>
      </c>
      <c r="N21" s="16">
        <f t="shared" si="1"/>
        <v>3.8333333333333335</v>
      </c>
      <c r="O21" s="5" t="str" cm="1">
        <f t="array" ref="O21">_xlfn.SWITCH(TRUE, N21&lt;=$Q$8, "Low", N21&gt;=$Q$9, "High", "Moderate")</f>
        <v>Moderate</v>
      </c>
      <c r="P21" s="5" t="str">
        <f t="shared" si="0"/>
        <v>Low</v>
      </c>
    </row>
    <row r="22" spans="1:16" x14ac:dyDescent="0.35">
      <c r="A22">
        <v>19</v>
      </c>
      <c r="B22" s="5">
        <v>3</v>
      </c>
      <c r="C22" s="5">
        <v>5</v>
      </c>
      <c r="D22" s="5">
        <v>4</v>
      </c>
      <c r="E22" s="5">
        <v>3</v>
      </c>
      <c r="F22" s="5">
        <v>5</v>
      </c>
      <c r="G22" s="5">
        <v>1</v>
      </c>
      <c r="H22" s="5">
        <v>5</v>
      </c>
      <c r="I22" s="5">
        <v>5</v>
      </c>
      <c r="J22" s="5">
        <v>2</v>
      </c>
      <c r="K22" s="5">
        <v>5</v>
      </c>
      <c r="L22" s="5">
        <v>4</v>
      </c>
      <c r="M22" s="5">
        <v>1</v>
      </c>
      <c r="N22" s="16">
        <f t="shared" si="1"/>
        <v>3.5833333333333335</v>
      </c>
      <c r="O22" s="5" t="str" cm="1">
        <f t="array" ref="O22">_xlfn.SWITCH(TRUE, N22&lt;=$Q$8, "Low", N22&gt;=$Q$9, "High", "Moderate")</f>
        <v>Low</v>
      </c>
      <c r="P22" s="5" t="str">
        <f t="shared" si="0"/>
        <v>Low</v>
      </c>
    </row>
    <row r="23" spans="1:16" x14ac:dyDescent="0.35">
      <c r="A23">
        <v>20</v>
      </c>
      <c r="B23" s="5">
        <v>5</v>
      </c>
      <c r="C23" s="5">
        <v>5</v>
      </c>
      <c r="D23" s="5">
        <v>4</v>
      </c>
      <c r="E23" s="5">
        <v>4</v>
      </c>
      <c r="F23" s="5">
        <v>5</v>
      </c>
      <c r="G23" s="5">
        <v>1</v>
      </c>
      <c r="H23" s="5">
        <v>5</v>
      </c>
      <c r="I23" s="5">
        <v>5</v>
      </c>
      <c r="J23" s="5">
        <v>5</v>
      </c>
      <c r="K23" s="5">
        <v>5</v>
      </c>
      <c r="L23" s="5">
        <v>5</v>
      </c>
      <c r="M23" s="5">
        <v>5</v>
      </c>
      <c r="N23" s="16">
        <f t="shared" si="1"/>
        <v>4.5</v>
      </c>
      <c r="O23" s="5" t="str" cm="1">
        <f t="array" ref="O23">_xlfn.SWITCH(TRUE, N23&lt;=$Q$8, "Low", N23&gt;=$Q$9, "High", "Moderate")</f>
        <v>High</v>
      </c>
      <c r="P23" s="5" t="str">
        <f t="shared" si="0"/>
        <v>High</v>
      </c>
    </row>
    <row r="24" spans="1:16" x14ac:dyDescent="0.35">
      <c r="A24">
        <v>21</v>
      </c>
      <c r="B24" s="5">
        <v>4</v>
      </c>
      <c r="C24" s="5">
        <v>2</v>
      </c>
      <c r="D24" s="5">
        <v>2</v>
      </c>
      <c r="E24" s="5">
        <v>2</v>
      </c>
      <c r="F24" s="5">
        <v>5</v>
      </c>
      <c r="G24" s="5">
        <v>2</v>
      </c>
      <c r="H24" s="5">
        <v>1</v>
      </c>
      <c r="I24" s="5">
        <v>4</v>
      </c>
      <c r="J24" s="5">
        <v>3</v>
      </c>
      <c r="K24" s="5">
        <v>3</v>
      </c>
      <c r="L24" s="5">
        <v>5</v>
      </c>
      <c r="M24" s="5">
        <v>3</v>
      </c>
      <c r="N24" s="16">
        <f t="shared" si="1"/>
        <v>3</v>
      </c>
      <c r="O24" s="5" t="str" cm="1">
        <f t="array" ref="O24">_xlfn.SWITCH(TRUE, N24&lt;=$Q$8, "Low", N24&gt;=$Q$9, "High", "Moderate")</f>
        <v>Low</v>
      </c>
      <c r="P24" s="5" t="str">
        <f t="shared" si="0"/>
        <v>Low</v>
      </c>
    </row>
    <row r="25" spans="1:16" x14ac:dyDescent="0.35">
      <c r="A25">
        <v>22</v>
      </c>
      <c r="B25" s="5">
        <v>5</v>
      </c>
      <c r="C25" s="5">
        <v>5</v>
      </c>
      <c r="D25" s="5">
        <v>5</v>
      </c>
      <c r="E25" s="5">
        <v>3</v>
      </c>
      <c r="F25" s="5">
        <v>5</v>
      </c>
      <c r="G25" s="5">
        <v>1</v>
      </c>
      <c r="H25" s="5">
        <v>5</v>
      </c>
      <c r="I25" s="5">
        <v>3</v>
      </c>
      <c r="J25" s="5">
        <v>3</v>
      </c>
      <c r="K25" s="5">
        <v>4</v>
      </c>
      <c r="L25" s="5">
        <v>5</v>
      </c>
      <c r="M25" s="5">
        <v>5</v>
      </c>
      <c r="N25" s="16">
        <f t="shared" si="1"/>
        <v>4.083333333333333</v>
      </c>
      <c r="O25" s="5" t="str" cm="1">
        <f t="array" ref="O25">_xlfn.SWITCH(TRUE, N25&lt;=$Q$8, "Low", N25&gt;=$Q$9, "High", "Moderate")</f>
        <v>High</v>
      </c>
      <c r="P25" s="5" t="str">
        <f t="shared" si="0"/>
        <v>High</v>
      </c>
    </row>
    <row r="26" spans="1:16" x14ac:dyDescent="0.35">
      <c r="A26">
        <v>23</v>
      </c>
      <c r="B26" s="5">
        <v>5</v>
      </c>
      <c r="C26" s="5">
        <v>4</v>
      </c>
      <c r="D26" s="5">
        <v>5</v>
      </c>
      <c r="E26" s="5">
        <v>5</v>
      </c>
      <c r="F26" s="5">
        <v>5</v>
      </c>
      <c r="G26" s="5">
        <v>3</v>
      </c>
      <c r="H26" s="5">
        <v>5</v>
      </c>
      <c r="I26" s="5">
        <v>3</v>
      </c>
      <c r="J26" s="5">
        <v>4</v>
      </c>
      <c r="K26" s="5">
        <v>4</v>
      </c>
      <c r="L26" s="5">
        <v>5</v>
      </c>
      <c r="M26" s="5">
        <v>5</v>
      </c>
      <c r="N26" s="16">
        <f t="shared" si="1"/>
        <v>4.416666666666667</v>
      </c>
      <c r="O26" s="5" t="str" cm="1">
        <f t="array" ref="O26">_xlfn.SWITCH(TRUE, N26&lt;=$Q$8, "Low", N26&gt;=$Q$9, "High", "Moderate")</f>
        <v>High</v>
      </c>
      <c r="P26" s="5" t="str">
        <f t="shared" si="0"/>
        <v>High</v>
      </c>
    </row>
    <row r="27" spans="1:16" x14ac:dyDescent="0.35">
      <c r="A27">
        <v>24</v>
      </c>
      <c r="B27" s="5">
        <v>5</v>
      </c>
      <c r="C27" s="5">
        <v>4</v>
      </c>
      <c r="D27" s="5">
        <v>5</v>
      </c>
      <c r="E27" s="5">
        <v>3</v>
      </c>
      <c r="F27" s="5">
        <v>5</v>
      </c>
      <c r="G27" s="5">
        <v>3</v>
      </c>
      <c r="H27" s="5">
        <v>4</v>
      </c>
      <c r="I27" s="5">
        <v>3</v>
      </c>
      <c r="J27" s="5">
        <v>3</v>
      </c>
      <c r="K27" s="5">
        <v>4</v>
      </c>
      <c r="L27" s="5">
        <v>5</v>
      </c>
      <c r="M27" s="5">
        <v>4</v>
      </c>
      <c r="N27" s="16">
        <f t="shared" si="1"/>
        <v>4</v>
      </c>
      <c r="O27" s="5" t="str" cm="1">
        <f t="array" ref="O27">_xlfn.SWITCH(TRUE, N27&lt;=$Q$8, "Low", N27&gt;=$Q$9, "High", "Moderate")</f>
        <v>Moderate</v>
      </c>
      <c r="P27" s="5" t="str">
        <f t="shared" si="0"/>
        <v>High</v>
      </c>
    </row>
    <row r="28" spans="1:16" x14ac:dyDescent="0.35">
      <c r="A28">
        <v>25</v>
      </c>
      <c r="B28" s="5">
        <v>5</v>
      </c>
      <c r="C28" s="5">
        <v>4</v>
      </c>
      <c r="D28" s="5">
        <v>5</v>
      </c>
      <c r="E28" s="5">
        <v>5</v>
      </c>
      <c r="F28" s="5">
        <v>5</v>
      </c>
      <c r="G28" s="5">
        <v>1</v>
      </c>
      <c r="H28" s="5">
        <v>5</v>
      </c>
      <c r="I28" s="5">
        <v>3</v>
      </c>
      <c r="J28" s="5">
        <v>4</v>
      </c>
      <c r="K28" s="5">
        <v>5</v>
      </c>
      <c r="L28" s="5">
        <v>5</v>
      </c>
      <c r="M28" s="5">
        <v>5</v>
      </c>
      <c r="N28" s="16">
        <f t="shared" si="1"/>
        <v>4.333333333333333</v>
      </c>
      <c r="O28" s="5" t="str" cm="1">
        <f t="array" ref="O28">_xlfn.SWITCH(TRUE, N28&lt;=$Q$8, "Low", N28&gt;=$Q$9, "High", "Moderate")</f>
        <v>High</v>
      </c>
      <c r="P28" s="5" t="str">
        <f t="shared" si="0"/>
        <v>High</v>
      </c>
    </row>
    <row r="29" spans="1:16" x14ac:dyDescent="0.35">
      <c r="A29">
        <v>26</v>
      </c>
      <c r="B29" s="5">
        <v>4</v>
      </c>
      <c r="C29" s="5">
        <v>2</v>
      </c>
      <c r="D29" s="5">
        <v>2</v>
      </c>
      <c r="E29" s="5">
        <v>2</v>
      </c>
      <c r="F29" s="5">
        <v>5</v>
      </c>
      <c r="G29" s="5">
        <v>5</v>
      </c>
      <c r="H29" s="5">
        <v>3</v>
      </c>
      <c r="I29" s="5">
        <v>3</v>
      </c>
      <c r="J29" s="5">
        <v>2</v>
      </c>
      <c r="K29" s="5">
        <v>4</v>
      </c>
      <c r="L29" s="5">
        <v>5</v>
      </c>
      <c r="M29" s="5">
        <v>4</v>
      </c>
      <c r="N29" s="16">
        <f t="shared" si="1"/>
        <v>3.4166666666666665</v>
      </c>
      <c r="O29" s="5" t="str" cm="1">
        <f t="array" ref="O29">_xlfn.SWITCH(TRUE, N29&lt;=$Q$8, "Low", N29&gt;=$Q$9, "High", "Moderate")</f>
        <v>Low</v>
      </c>
      <c r="P29" s="5" t="str">
        <f t="shared" si="0"/>
        <v>Low</v>
      </c>
    </row>
    <row r="30" spans="1:16" x14ac:dyDescent="0.35">
      <c r="A30">
        <v>27</v>
      </c>
      <c r="B30" s="5">
        <v>4</v>
      </c>
      <c r="C30" s="5">
        <v>5</v>
      </c>
      <c r="D30" s="5">
        <v>4</v>
      </c>
      <c r="E30" s="5">
        <v>4</v>
      </c>
      <c r="F30" s="5">
        <v>5</v>
      </c>
      <c r="G30" s="5">
        <v>1</v>
      </c>
      <c r="H30" s="5">
        <v>5</v>
      </c>
      <c r="I30" s="5">
        <v>5</v>
      </c>
      <c r="J30" s="5">
        <v>4</v>
      </c>
      <c r="K30" s="5">
        <v>5</v>
      </c>
      <c r="L30" s="5">
        <v>5</v>
      </c>
      <c r="M30" s="5">
        <v>5</v>
      </c>
      <c r="N30" s="16">
        <f t="shared" si="1"/>
        <v>4.333333333333333</v>
      </c>
      <c r="O30" s="5" t="str" cm="1">
        <f t="array" ref="O30">_xlfn.SWITCH(TRUE, N30&lt;=$Q$8, "Low", N30&gt;=$Q$9, "High", "Moderate")</f>
        <v>High</v>
      </c>
      <c r="P30" s="5" t="str">
        <f t="shared" si="0"/>
        <v>High</v>
      </c>
    </row>
    <row r="31" spans="1:16" x14ac:dyDescent="0.35">
      <c r="A31">
        <v>28</v>
      </c>
      <c r="B31" s="5">
        <v>5</v>
      </c>
      <c r="C31" s="5">
        <v>5</v>
      </c>
      <c r="D31" s="5">
        <v>5</v>
      </c>
      <c r="E31" s="5">
        <v>5</v>
      </c>
      <c r="F31" s="5">
        <v>5</v>
      </c>
      <c r="G31" s="5">
        <v>1</v>
      </c>
      <c r="H31" s="5">
        <v>5</v>
      </c>
      <c r="I31" s="5">
        <v>4</v>
      </c>
      <c r="J31" s="5">
        <v>4</v>
      </c>
      <c r="K31" s="5">
        <v>3</v>
      </c>
      <c r="L31" s="5">
        <v>5</v>
      </c>
      <c r="M31" s="5">
        <v>5</v>
      </c>
      <c r="N31" s="16">
        <f t="shared" si="1"/>
        <v>4.333333333333333</v>
      </c>
      <c r="O31" s="5" t="str" cm="1">
        <f t="array" ref="O31">_xlfn.SWITCH(TRUE, N31&lt;=$Q$8, "Low", N31&gt;=$Q$9, "High", "Moderate")</f>
        <v>High</v>
      </c>
      <c r="P31" s="5" t="str">
        <f t="shared" si="0"/>
        <v>High</v>
      </c>
    </row>
    <row r="32" spans="1:16" x14ac:dyDescent="0.35">
      <c r="A32">
        <v>29</v>
      </c>
      <c r="B32" s="5">
        <v>4</v>
      </c>
      <c r="C32" s="5">
        <v>3</v>
      </c>
      <c r="D32" s="5">
        <v>4</v>
      </c>
      <c r="E32" s="5">
        <v>3</v>
      </c>
      <c r="F32" s="5">
        <v>5</v>
      </c>
      <c r="G32" s="5">
        <v>3</v>
      </c>
      <c r="H32" s="5">
        <v>4</v>
      </c>
      <c r="I32" s="5">
        <v>4</v>
      </c>
      <c r="J32" s="5">
        <v>3</v>
      </c>
      <c r="K32" s="5">
        <v>3</v>
      </c>
      <c r="L32" s="5">
        <v>3</v>
      </c>
      <c r="M32" s="5">
        <v>4</v>
      </c>
      <c r="N32" s="16">
        <f t="shared" si="1"/>
        <v>3.5833333333333335</v>
      </c>
      <c r="O32" s="5" t="str" cm="1">
        <f t="array" ref="O32">_xlfn.SWITCH(TRUE, N32&lt;=$Q$8, "Low", N32&gt;=$Q$9, "High", "Moderate")</f>
        <v>Low</v>
      </c>
      <c r="P32" s="5" t="str">
        <f t="shared" si="0"/>
        <v>Low</v>
      </c>
    </row>
    <row r="33" spans="1:16" x14ac:dyDescent="0.35">
      <c r="A33">
        <v>30</v>
      </c>
      <c r="B33" s="5">
        <v>3</v>
      </c>
      <c r="C33" s="5">
        <v>3</v>
      </c>
      <c r="D33" s="5">
        <v>4</v>
      </c>
      <c r="E33" s="5">
        <v>3</v>
      </c>
      <c r="F33" s="5">
        <v>5</v>
      </c>
      <c r="G33" s="5">
        <v>4</v>
      </c>
      <c r="H33" s="5">
        <v>3</v>
      </c>
      <c r="I33" s="5">
        <v>3</v>
      </c>
      <c r="J33" s="5">
        <v>4</v>
      </c>
      <c r="K33" s="5">
        <v>3</v>
      </c>
      <c r="L33" s="5">
        <v>4</v>
      </c>
      <c r="M33" s="5">
        <v>4</v>
      </c>
      <c r="N33" s="16">
        <f t="shared" si="1"/>
        <v>3.5833333333333335</v>
      </c>
      <c r="O33" s="5" t="str" cm="1">
        <f t="array" ref="O33">_xlfn.SWITCH(TRUE, N33&lt;=$Q$8, "Low", N33&gt;=$Q$9, "High", "Moderate")</f>
        <v>Low</v>
      </c>
      <c r="P33" s="5" t="str">
        <f t="shared" si="0"/>
        <v>Low</v>
      </c>
    </row>
    <row r="34" spans="1:16" x14ac:dyDescent="0.35">
      <c r="A34">
        <v>31</v>
      </c>
      <c r="B34" s="5">
        <v>4</v>
      </c>
      <c r="C34" s="5">
        <v>4</v>
      </c>
      <c r="D34" s="5">
        <v>5</v>
      </c>
      <c r="E34" s="5">
        <v>3</v>
      </c>
      <c r="F34" s="5">
        <v>5</v>
      </c>
      <c r="G34" s="5">
        <v>2</v>
      </c>
      <c r="H34" s="5">
        <v>4</v>
      </c>
      <c r="I34" s="5">
        <v>4</v>
      </c>
      <c r="J34" s="5">
        <v>4</v>
      </c>
      <c r="K34" s="5">
        <v>3</v>
      </c>
      <c r="L34" s="5">
        <v>4</v>
      </c>
      <c r="M34" s="5">
        <v>4</v>
      </c>
      <c r="N34" s="16">
        <f t="shared" si="1"/>
        <v>3.8333333333333335</v>
      </c>
      <c r="O34" s="5" t="str" cm="1">
        <f t="array" ref="O34">_xlfn.SWITCH(TRUE, N34&lt;=$Q$8, "Low", N34&gt;=$Q$9, "High", "Moderate")</f>
        <v>Moderate</v>
      </c>
      <c r="P34" s="5" t="str">
        <f t="shared" si="0"/>
        <v>Low</v>
      </c>
    </row>
    <row r="35" spans="1:16" x14ac:dyDescent="0.35">
      <c r="A35">
        <v>32</v>
      </c>
      <c r="B35" s="5">
        <v>5</v>
      </c>
      <c r="C35" s="5">
        <v>5</v>
      </c>
      <c r="D35" s="5">
        <v>4</v>
      </c>
      <c r="E35" s="5">
        <v>4</v>
      </c>
      <c r="F35" s="5">
        <v>4</v>
      </c>
      <c r="G35" s="5">
        <v>2</v>
      </c>
      <c r="H35" s="5">
        <v>4</v>
      </c>
      <c r="I35" s="5">
        <v>4</v>
      </c>
      <c r="J35" s="5">
        <v>4</v>
      </c>
      <c r="K35" s="5">
        <v>4</v>
      </c>
      <c r="L35" s="5">
        <v>5</v>
      </c>
      <c r="M35" s="5">
        <v>4</v>
      </c>
      <c r="N35" s="16">
        <f t="shared" si="1"/>
        <v>4.083333333333333</v>
      </c>
      <c r="O35" s="5" t="str" cm="1">
        <f t="array" ref="O35">_xlfn.SWITCH(TRUE, N35&lt;=$Q$8, "Low", N35&gt;=$Q$9, "High", "Moderate")</f>
        <v>High</v>
      </c>
      <c r="P35" s="5" t="str">
        <f t="shared" si="0"/>
        <v>High</v>
      </c>
    </row>
    <row r="36" spans="1:16" x14ac:dyDescent="0.35">
      <c r="A36">
        <v>33</v>
      </c>
      <c r="B36" s="5">
        <v>4</v>
      </c>
      <c r="C36" s="5">
        <v>4</v>
      </c>
      <c r="D36" s="5">
        <v>4</v>
      </c>
      <c r="E36" s="5">
        <v>2</v>
      </c>
      <c r="F36" s="5">
        <v>3</v>
      </c>
      <c r="G36" s="5">
        <v>2</v>
      </c>
      <c r="H36" s="5">
        <v>4</v>
      </c>
      <c r="I36" s="5">
        <v>3</v>
      </c>
      <c r="J36" s="5">
        <v>2</v>
      </c>
      <c r="K36" s="5">
        <v>3</v>
      </c>
      <c r="L36" s="5">
        <v>3</v>
      </c>
      <c r="M36" s="5">
        <v>3</v>
      </c>
      <c r="N36" s="16">
        <f t="shared" si="1"/>
        <v>3.0833333333333335</v>
      </c>
      <c r="O36" s="5" t="str" cm="1">
        <f t="array" ref="O36">_xlfn.SWITCH(TRUE, N36&lt;=$Q$8, "Low", N36&gt;=$Q$9, "High", "Moderate")</f>
        <v>Low</v>
      </c>
      <c r="P36" s="5" t="str">
        <f t="shared" ref="P36:P68" si="3">_xlfn.SWITCH(TRUE, N36&lt;=$Q$10, "Low", "High")</f>
        <v>Low</v>
      </c>
    </row>
    <row r="37" spans="1:16" x14ac:dyDescent="0.35">
      <c r="A37">
        <v>34</v>
      </c>
      <c r="B37" s="5">
        <v>4</v>
      </c>
      <c r="C37" s="5">
        <v>4</v>
      </c>
      <c r="D37" s="5">
        <v>4</v>
      </c>
      <c r="E37" s="5">
        <v>4</v>
      </c>
      <c r="F37" s="5">
        <v>5</v>
      </c>
      <c r="G37" s="5">
        <v>2</v>
      </c>
      <c r="H37" s="5">
        <v>4</v>
      </c>
      <c r="I37" s="5">
        <v>4</v>
      </c>
      <c r="J37" s="5">
        <v>4</v>
      </c>
      <c r="K37" s="5">
        <v>4</v>
      </c>
      <c r="L37" s="5">
        <v>4</v>
      </c>
      <c r="M37" s="5">
        <v>4</v>
      </c>
      <c r="N37" s="16">
        <f t="shared" si="1"/>
        <v>3.9166666666666665</v>
      </c>
      <c r="O37" s="5" t="str" cm="1">
        <f t="array" ref="O37">_xlfn.SWITCH(TRUE, N37&lt;=$Q$8, "Low", N37&gt;=$Q$9, "High", "Moderate")</f>
        <v>Moderate</v>
      </c>
      <c r="P37" s="5" t="str">
        <f t="shared" si="3"/>
        <v>High</v>
      </c>
    </row>
    <row r="38" spans="1:16" x14ac:dyDescent="0.35">
      <c r="A38">
        <v>35</v>
      </c>
      <c r="B38" s="5">
        <v>5</v>
      </c>
      <c r="C38" s="5">
        <v>3</v>
      </c>
      <c r="D38" s="5">
        <v>5</v>
      </c>
      <c r="E38" s="5">
        <v>5</v>
      </c>
      <c r="F38" s="5">
        <v>5</v>
      </c>
      <c r="G38" s="5">
        <v>1</v>
      </c>
      <c r="H38" s="5">
        <v>1</v>
      </c>
      <c r="I38" s="5">
        <v>4</v>
      </c>
      <c r="J38" s="5">
        <v>4</v>
      </c>
      <c r="K38" s="5">
        <v>5</v>
      </c>
      <c r="L38" s="5">
        <v>3</v>
      </c>
      <c r="M38" s="5">
        <v>5</v>
      </c>
      <c r="N38" s="16">
        <f t="shared" si="1"/>
        <v>3.8333333333333335</v>
      </c>
      <c r="O38" s="5" t="str" cm="1">
        <f t="array" ref="O38">_xlfn.SWITCH(TRUE, N38&lt;=$Q$8, "Low", N38&gt;=$Q$9, "High", "Moderate")</f>
        <v>Moderate</v>
      </c>
      <c r="P38" s="5" t="str">
        <f t="shared" si="3"/>
        <v>Low</v>
      </c>
    </row>
    <row r="39" spans="1:16" x14ac:dyDescent="0.35">
      <c r="A39">
        <v>36</v>
      </c>
      <c r="B39" s="5">
        <v>5</v>
      </c>
      <c r="C39" s="5">
        <v>4</v>
      </c>
      <c r="D39" s="5">
        <v>5</v>
      </c>
      <c r="E39" s="5">
        <v>4</v>
      </c>
      <c r="F39" s="5">
        <v>5</v>
      </c>
      <c r="G39" s="5">
        <v>2</v>
      </c>
      <c r="H39" s="5">
        <v>5</v>
      </c>
      <c r="I39" s="5">
        <v>3</v>
      </c>
      <c r="J39" s="5">
        <v>5</v>
      </c>
      <c r="K39" s="5">
        <v>5</v>
      </c>
      <c r="L39" s="5">
        <v>5</v>
      </c>
      <c r="M39" s="5">
        <v>4</v>
      </c>
      <c r="N39" s="16">
        <f t="shared" si="1"/>
        <v>4.333333333333333</v>
      </c>
      <c r="O39" s="5" t="str" cm="1">
        <f t="array" ref="O39">_xlfn.SWITCH(TRUE, N39&lt;=$Q$8, "Low", N39&gt;=$Q$9, "High", "Moderate")</f>
        <v>High</v>
      </c>
      <c r="P39" s="5" t="str">
        <f t="shared" si="3"/>
        <v>High</v>
      </c>
    </row>
    <row r="40" spans="1:16" x14ac:dyDescent="0.35">
      <c r="A40">
        <v>37</v>
      </c>
      <c r="B40" s="5">
        <v>4</v>
      </c>
      <c r="C40" s="5">
        <v>4</v>
      </c>
      <c r="D40" s="5">
        <v>5</v>
      </c>
      <c r="E40" s="5">
        <v>4</v>
      </c>
      <c r="F40" s="5">
        <v>5</v>
      </c>
      <c r="G40" s="5">
        <v>2</v>
      </c>
      <c r="H40" s="5">
        <v>4</v>
      </c>
      <c r="I40" s="5">
        <v>4</v>
      </c>
      <c r="J40" s="5">
        <v>4</v>
      </c>
      <c r="K40" s="5">
        <v>3</v>
      </c>
      <c r="L40" s="5">
        <v>4</v>
      </c>
      <c r="M40" s="5">
        <v>4</v>
      </c>
      <c r="N40" s="16">
        <f t="shared" si="1"/>
        <v>3.9166666666666665</v>
      </c>
      <c r="O40" s="5" t="str" cm="1">
        <f t="array" ref="O40">_xlfn.SWITCH(TRUE, N40&lt;=$Q$8, "Low", N40&gt;=$Q$9, "High", "Moderate")</f>
        <v>Moderate</v>
      </c>
      <c r="P40" s="5" t="str">
        <f t="shared" si="3"/>
        <v>High</v>
      </c>
    </row>
    <row r="41" spans="1:16" x14ac:dyDescent="0.35">
      <c r="A41">
        <v>38</v>
      </c>
      <c r="B41" s="5">
        <v>3</v>
      </c>
      <c r="C41" s="5">
        <v>4</v>
      </c>
      <c r="D41" s="5">
        <v>5</v>
      </c>
      <c r="E41" s="5">
        <v>5</v>
      </c>
      <c r="F41" s="5">
        <v>5</v>
      </c>
      <c r="G41" s="5">
        <v>3</v>
      </c>
      <c r="H41" s="5">
        <v>5</v>
      </c>
      <c r="I41" s="5">
        <v>2</v>
      </c>
      <c r="J41" s="5">
        <v>5</v>
      </c>
      <c r="K41" s="5">
        <v>5</v>
      </c>
      <c r="L41" s="5">
        <v>4</v>
      </c>
      <c r="M41" s="5">
        <v>4</v>
      </c>
      <c r="N41" s="16">
        <f t="shared" si="1"/>
        <v>4.166666666666667</v>
      </c>
      <c r="O41" s="5" t="str" cm="1">
        <f t="array" ref="O41">_xlfn.SWITCH(TRUE, N41&lt;=$Q$8, "Low", N41&gt;=$Q$9, "High", "Moderate")</f>
        <v>High</v>
      </c>
      <c r="P41" s="5" t="str">
        <f t="shared" si="3"/>
        <v>High</v>
      </c>
    </row>
    <row r="42" spans="1:16" x14ac:dyDescent="0.35">
      <c r="A42">
        <v>39</v>
      </c>
      <c r="B42" s="5">
        <v>4</v>
      </c>
      <c r="C42" s="5">
        <v>3</v>
      </c>
      <c r="D42" s="5">
        <v>3</v>
      </c>
      <c r="E42" s="5">
        <v>4</v>
      </c>
      <c r="F42" s="5">
        <v>5</v>
      </c>
      <c r="G42" s="5">
        <v>4</v>
      </c>
      <c r="H42" s="5">
        <v>4</v>
      </c>
      <c r="I42" s="5">
        <v>4</v>
      </c>
      <c r="J42" s="5">
        <v>4</v>
      </c>
      <c r="K42" s="5">
        <v>4</v>
      </c>
      <c r="L42" s="5">
        <v>2</v>
      </c>
      <c r="M42" s="5">
        <v>2</v>
      </c>
      <c r="N42" s="16">
        <f t="shared" si="1"/>
        <v>3.5833333333333335</v>
      </c>
      <c r="O42" s="5" t="str" cm="1">
        <f t="array" ref="O42">_xlfn.SWITCH(TRUE, N42&lt;=$Q$8, "Low", N42&gt;=$Q$9, "High", "Moderate")</f>
        <v>Low</v>
      </c>
      <c r="P42" s="5" t="str">
        <f t="shared" si="3"/>
        <v>Low</v>
      </c>
    </row>
    <row r="43" spans="1:16" x14ac:dyDescent="0.35">
      <c r="A43">
        <v>40</v>
      </c>
      <c r="B43" s="5">
        <v>5</v>
      </c>
      <c r="C43" s="5">
        <v>4</v>
      </c>
      <c r="D43" s="5">
        <v>5</v>
      </c>
      <c r="E43" s="5">
        <v>4</v>
      </c>
      <c r="F43" s="5">
        <v>5</v>
      </c>
      <c r="G43" s="5">
        <v>2</v>
      </c>
      <c r="H43" s="5">
        <v>4</v>
      </c>
      <c r="I43" s="5">
        <v>4</v>
      </c>
      <c r="J43" s="5">
        <v>4</v>
      </c>
      <c r="K43" s="5">
        <v>4</v>
      </c>
      <c r="L43" s="5">
        <v>2</v>
      </c>
      <c r="M43" s="5">
        <v>3</v>
      </c>
      <c r="N43" s="16">
        <f t="shared" si="1"/>
        <v>3.8333333333333335</v>
      </c>
      <c r="O43" s="5" t="str" cm="1">
        <f t="array" ref="O43">_xlfn.SWITCH(TRUE, N43&lt;=$Q$8, "Low", N43&gt;=$Q$9, "High", "Moderate")</f>
        <v>Moderate</v>
      </c>
      <c r="P43" s="5" t="str">
        <f t="shared" si="3"/>
        <v>Low</v>
      </c>
    </row>
    <row r="44" spans="1:16" x14ac:dyDescent="0.35">
      <c r="A44">
        <v>41</v>
      </c>
      <c r="B44" s="5">
        <v>5</v>
      </c>
      <c r="C44" s="5">
        <v>5</v>
      </c>
      <c r="D44" s="5">
        <v>5</v>
      </c>
      <c r="E44" s="5">
        <v>5</v>
      </c>
      <c r="F44" s="5">
        <v>4</v>
      </c>
      <c r="G44" s="5">
        <v>2</v>
      </c>
      <c r="H44" s="5">
        <v>5</v>
      </c>
      <c r="I44" s="5">
        <v>4</v>
      </c>
      <c r="J44" s="5">
        <v>4</v>
      </c>
      <c r="K44" s="5">
        <v>4</v>
      </c>
      <c r="L44" s="5">
        <v>4</v>
      </c>
      <c r="M44" s="5">
        <v>3</v>
      </c>
      <c r="N44" s="16">
        <f t="shared" si="1"/>
        <v>4.166666666666667</v>
      </c>
      <c r="O44" s="5" t="str" cm="1">
        <f t="array" ref="O44">_xlfn.SWITCH(TRUE, N44&lt;=$Q$8, "Low", N44&gt;=$Q$9, "High", "Moderate")</f>
        <v>High</v>
      </c>
      <c r="P44" s="5" t="str">
        <f t="shared" si="3"/>
        <v>High</v>
      </c>
    </row>
    <row r="45" spans="1:16" x14ac:dyDescent="0.35">
      <c r="A45">
        <v>42</v>
      </c>
      <c r="B45" s="5">
        <v>3</v>
      </c>
      <c r="C45" s="5">
        <v>3</v>
      </c>
      <c r="D45" s="5">
        <v>4</v>
      </c>
      <c r="E45" s="5">
        <v>3</v>
      </c>
      <c r="F45" s="5">
        <v>4</v>
      </c>
      <c r="G45" s="5">
        <v>1</v>
      </c>
      <c r="H45" s="5">
        <v>4</v>
      </c>
      <c r="I45" s="5">
        <v>3</v>
      </c>
      <c r="J45" s="5">
        <v>4</v>
      </c>
      <c r="K45" s="5">
        <v>4</v>
      </c>
      <c r="L45" s="5">
        <v>3</v>
      </c>
      <c r="M45" s="5">
        <v>3</v>
      </c>
      <c r="N45" s="16">
        <f t="shared" si="1"/>
        <v>3.25</v>
      </c>
      <c r="O45" s="5" t="str" cm="1">
        <f t="array" ref="O45">_xlfn.SWITCH(TRUE, N45&lt;=$Q$8, "Low", N45&gt;=$Q$9, "High", "Moderate")</f>
        <v>Low</v>
      </c>
      <c r="P45" s="5" t="str">
        <f t="shared" si="3"/>
        <v>Low</v>
      </c>
    </row>
    <row r="46" spans="1:16" x14ac:dyDescent="0.35">
      <c r="A46">
        <v>43</v>
      </c>
      <c r="B46" s="5">
        <v>4</v>
      </c>
      <c r="C46" s="5">
        <v>5</v>
      </c>
      <c r="D46" s="5">
        <v>4</v>
      </c>
      <c r="E46" s="5">
        <v>4</v>
      </c>
      <c r="F46" s="5">
        <v>5</v>
      </c>
      <c r="G46" s="5">
        <v>1</v>
      </c>
      <c r="H46" s="5">
        <v>4</v>
      </c>
      <c r="I46" s="5">
        <v>4</v>
      </c>
      <c r="J46" s="5">
        <v>1</v>
      </c>
      <c r="K46" s="5">
        <v>1</v>
      </c>
      <c r="L46" s="5">
        <v>5</v>
      </c>
      <c r="M46" s="5">
        <v>5</v>
      </c>
      <c r="N46" s="16">
        <f t="shared" si="1"/>
        <v>3.5833333333333335</v>
      </c>
      <c r="O46" s="5" t="str" cm="1">
        <f t="array" ref="O46">_xlfn.SWITCH(TRUE, N46&lt;=$Q$8, "Low", N46&gt;=$Q$9, "High", "Moderate")</f>
        <v>Low</v>
      </c>
      <c r="P46" s="5" t="str">
        <f t="shared" si="3"/>
        <v>Low</v>
      </c>
    </row>
    <row r="47" spans="1:16" x14ac:dyDescent="0.35">
      <c r="A47">
        <v>44</v>
      </c>
      <c r="B47" s="5">
        <v>4</v>
      </c>
      <c r="C47" s="5">
        <v>4</v>
      </c>
      <c r="D47" s="5">
        <v>5</v>
      </c>
      <c r="E47" s="5">
        <v>4</v>
      </c>
      <c r="F47" s="5">
        <v>4</v>
      </c>
      <c r="G47" s="5">
        <v>2</v>
      </c>
      <c r="H47" s="5">
        <v>4</v>
      </c>
      <c r="I47" s="5">
        <v>4</v>
      </c>
      <c r="J47" s="5">
        <v>4</v>
      </c>
      <c r="K47" s="5">
        <v>4</v>
      </c>
      <c r="L47" s="5">
        <v>4</v>
      </c>
      <c r="M47" s="5">
        <v>3</v>
      </c>
      <c r="N47" s="16">
        <f t="shared" si="1"/>
        <v>3.8333333333333335</v>
      </c>
      <c r="O47" s="5" t="str" cm="1">
        <f t="array" ref="O47">_xlfn.SWITCH(TRUE, N47&lt;=$Q$8, "Low", N47&gt;=$Q$9, "High", "Moderate")</f>
        <v>Moderate</v>
      </c>
      <c r="P47" s="5" t="str">
        <f t="shared" si="3"/>
        <v>Low</v>
      </c>
    </row>
    <row r="48" spans="1:16" x14ac:dyDescent="0.35">
      <c r="A48">
        <v>45</v>
      </c>
      <c r="B48" s="5">
        <v>4</v>
      </c>
      <c r="C48" s="5">
        <v>3</v>
      </c>
      <c r="D48" s="5">
        <v>5</v>
      </c>
      <c r="E48" s="5">
        <v>5</v>
      </c>
      <c r="F48" s="5">
        <v>1</v>
      </c>
      <c r="G48" s="5">
        <v>2</v>
      </c>
      <c r="H48" s="5">
        <v>5</v>
      </c>
      <c r="I48" s="5">
        <v>4</v>
      </c>
      <c r="J48" s="5">
        <v>5</v>
      </c>
      <c r="K48" s="5">
        <v>4</v>
      </c>
      <c r="L48" s="5">
        <v>3</v>
      </c>
      <c r="M48" s="5">
        <v>4</v>
      </c>
      <c r="N48" s="16">
        <f t="shared" si="1"/>
        <v>3.75</v>
      </c>
      <c r="O48" s="5" t="str" cm="1">
        <f t="array" ref="O48">_xlfn.SWITCH(TRUE, N48&lt;=$Q$8, "Low", N48&gt;=$Q$9, "High", "Moderate")</f>
        <v>Moderate</v>
      </c>
      <c r="P48" s="5" t="str">
        <f t="shared" si="3"/>
        <v>Low</v>
      </c>
    </row>
    <row r="49" spans="1:16" x14ac:dyDescent="0.35">
      <c r="A49">
        <v>46</v>
      </c>
      <c r="B49" s="5">
        <v>5</v>
      </c>
      <c r="C49" s="5">
        <v>5</v>
      </c>
      <c r="D49" s="5">
        <v>5</v>
      </c>
      <c r="E49" s="5">
        <v>4</v>
      </c>
      <c r="F49" s="5">
        <v>5</v>
      </c>
      <c r="G49" s="5">
        <v>1</v>
      </c>
      <c r="H49" s="5">
        <v>5</v>
      </c>
      <c r="I49" s="5">
        <v>5</v>
      </c>
      <c r="J49" s="5">
        <v>5</v>
      </c>
      <c r="K49" s="5">
        <v>5</v>
      </c>
      <c r="L49" s="5">
        <v>3</v>
      </c>
      <c r="M49" s="5">
        <v>5</v>
      </c>
      <c r="N49" s="16">
        <f t="shared" si="1"/>
        <v>4.416666666666667</v>
      </c>
      <c r="O49" s="5" t="str" cm="1">
        <f t="array" ref="O49">_xlfn.SWITCH(TRUE, N49&lt;=$Q$8, "Low", N49&gt;=$Q$9, "High", "Moderate")</f>
        <v>High</v>
      </c>
      <c r="P49" s="5" t="str">
        <f t="shared" si="3"/>
        <v>High</v>
      </c>
    </row>
    <row r="50" spans="1:16" x14ac:dyDescent="0.35">
      <c r="A50">
        <v>47</v>
      </c>
      <c r="B50" s="5">
        <v>3</v>
      </c>
      <c r="C50" s="5">
        <v>2</v>
      </c>
      <c r="D50" s="5">
        <v>4</v>
      </c>
      <c r="E50" s="5">
        <v>3</v>
      </c>
      <c r="F50" s="5">
        <v>3</v>
      </c>
      <c r="G50" s="5">
        <v>3</v>
      </c>
      <c r="H50" s="5">
        <v>4</v>
      </c>
      <c r="I50" s="5">
        <v>4</v>
      </c>
      <c r="J50" s="5">
        <v>4</v>
      </c>
      <c r="K50" s="5">
        <v>4</v>
      </c>
      <c r="L50" s="5">
        <v>3</v>
      </c>
      <c r="M50" s="5">
        <v>4</v>
      </c>
      <c r="N50" s="16">
        <f t="shared" si="1"/>
        <v>3.4166666666666665</v>
      </c>
      <c r="O50" s="5" t="str" cm="1">
        <f t="array" ref="O50">_xlfn.SWITCH(TRUE, N50&lt;=$Q$8, "Low", N50&gt;=$Q$9, "High", "Moderate")</f>
        <v>Low</v>
      </c>
      <c r="P50" s="5" t="str">
        <f t="shared" si="3"/>
        <v>Low</v>
      </c>
    </row>
    <row r="51" spans="1:16" x14ac:dyDescent="0.35">
      <c r="A51">
        <v>48</v>
      </c>
      <c r="B51" s="5">
        <v>4</v>
      </c>
      <c r="C51" s="5">
        <v>5</v>
      </c>
      <c r="D51" s="5">
        <v>5</v>
      </c>
      <c r="E51" s="5">
        <v>4</v>
      </c>
      <c r="F51" s="5">
        <v>5</v>
      </c>
      <c r="G51" s="5">
        <v>2</v>
      </c>
      <c r="H51" s="5">
        <v>4</v>
      </c>
      <c r="I51" s="5">
        <v>3</v>
      </c>
      <c r="J51" s="5">
        <v>4</v>
      </c>
      <c r="K51" s="5">
        <v>4</v>
      </c>
      <c r="L51" s="5">
        <v>5</v>
      </c>
      <c r="M51" s="5">
        <v>5</v>
      </c>
      <c r="N51" s="16">
        <f t="shared" si="1"/>
        <v>4.166666666666667</v>
      </c>
      <c r="O51" s="5" t="str" cm="1">
        <f t="array" ref="O51">_xlfn.SWITCH(TRUE, N51&lt;=$Q$8, "Low", N51&gt;=$Q$9, "High", "Moderate")</f>
        <v>High</v>
      </c>
      <c r="P51" s="5" t="str">
        <f t="shared" si="3"/>
        <v>High</v>
      </c>
    </row>
    <row r="52" spans="1:16" x14ac:dyDescent="0.35">
      <c r="A52">
        <v>49</v>
      </c>
      <c r="B52" s="5">
        <v>4</v>
      </c>
      <c r="C52" s="5">
        <v>3</v>
      </c>
      <c r="D52" s="5">
        <v>5</v>
      </c>
      <c r="E52" s="5">
        <v>4</v>
      </c>
      <c r="F52" s="5">
        <v>5</v>
      </c>
      <c r="G52" s="5">
        <v>2</v>
      </c>
      <c r="H52" s="5">
        <v>4</v>
      </c>
      <c r="I52" s="5">
        <v>4</v>
      </c>
      <c r="J52" s="5">
        <v>5</v>
      </c>
      <c r="K52" s="5">
        <v>4</v>
      </c>
      <c r="L52" s="5">
        <v>3</v>
      </c>
      <c r="M52" s="5">
        <v>3</v>
      </c>
      <c r="N52" s="16">
        <f t="shared" si="1"/>
        <v>3.8333333333333335</v>
      </c>
      <c r="O52" s="5" t="str" cm="1">
        <f t="array" ref="O52">_xlfn.SWITCH(TRUE, N52&lt;=$Q$8, "Low", N52&gt;=$Q$9, "High", "Moderate")</f>
        <v>Moderate</v>
      </c>
      <c r="P52" s="5" t="str">
        <f t="shared" si="3"/>
        <v>Low</v>
      </c>
    </row>
    <row r="53" spans="1:16" x14ac:dyDescent="0.35">
      <c r="A53">
        <v>50</v>
      </c>
      <c r="B53" s="5">
        <v>4</v>
      </c>
      <c r="C53" s="5">
        <v>4</v>
      </c>
      <c r="D53" s="5">
        <v>3</v>
      </c>
      <c r="E53" s="5">
        <v>3</v>
      </c>
      <c r="F53" s="5">
        <v>2</v>
      </c>
      <c r="G53" s="5">
        <v>3</v>
      </c>
      <c r="H53" s="5">
        <v>3</v>
      </c>
      <c r="I53" s="5">
        <v>2</v>
      </c>
      <c r="J53" s="5">
        <v>3</v>
      </c>
      <c r="K53" s="5">
        <v>2</v>
      </c>
      <c r="L53" s="5">
        <v>4</v>
      </c>
      <c r="M53" s="5">
        <v>3</v>
      </c>
      <c r="N53" s="16">
        <f t="shared" si="1"/>
        <v>3</v>
      </c>
      <c r="O53" s="5" t="str" cm="1">
        <f t="array" ref="O53">_xlfn.SWITCH(TRUE, N53&lt;=$Q$8, "Low", N53&gt;=$Q$9, "High", "Moderate")</f>
        <v>Low</v>
      </c>
      <c r="P53" s="5" t="str">
        <f t="shared" si="3"/>
        <v>Low</v>
      </c>
    </row>
    <row r="54" spans="1:16" x14ac:dyDescent="0.35">
      <c r="A54">
        <v>51</v>
      </c>
      <c r="B54" s="5">
        <v>3</v>
      </c>
      <c r="C54" s="5">
        <v>4</v>
      </c>
      <c r="D54" s="5">
        <v>4</v>
      </c>
      <c r="E54" s="5">
        <v>4</v>
      </c>
      <c r="F54" s="5">
        <v>2</v>
      </c>
      <c r="G54" s="5">
        <v>4</v>
      </c>
      <c r="H54" s="5">
        <v>2</v>
      </c>
      <c r="I54" s="5">
        <v>4</v>
      </c>
      <c r="J54" s="5">
        <v>5</v>
      </c>
      <c r="K54" s="5">
        <v>3</v>
      </c>
      <c r="L54" s="5">
        <v>4</v>
      </c>
      <c r="M54" s="5">
        <v>4</v>
      </c>
      <c r="N54" s="16">
        <f t="shared" si="1"/>
        <v>3.5833333333333335</v>
      </c>
      <c r="O54" s="5" t="str" cm="1">
        <f t="array" ref="O54">_xlfn.SWITCH(TRUE, N54&lt;=$Q$8, "Low", N54&gt;=$Q$9, "High", "Moderate")</f>
        <v>Low</v>
      </c>
      <c r="P54" s="5" t="str">
        <f t="shared" si="3"/>
        <v>Low</v>
      </c>
    </row>
    <row r="55" spans="1:16" x14ac:dyDescent="0.35">
      <c r="A55">
        <v>52</v>
      </c>
      <c r="B55" s="5">
        <v>5</v>
      </c>
      <c r="C55" s="5">
        <v>1</v>
      </c>
      <c r="D55" s="5">
        <v>5</v>
      </c>
      <c r="E55" s="5">
        <v>5</v>
      </c>
      <c r="F55" s="5">
        <v>4</v>
      </c>
      <c r="G55" s="5">
        <v>5</v>
      </c>
      <c r="H55" s="5">
        <v>3</v>
      </c>
      <c r="I55" s="5">
        <v>5</v>
      </c>
      <c r="J55" s="5">
        <v>5</v>
      </c>
      <c r="K55" s="5">
        <v>3</v>
      </c>
      <c r="L55" s="5">
        <v>5</v>
      </c>
      <c r="M55" s="5">
        <v>5</v>
      </c>
      <c r="N55" s="16">
        <f t="shared" si="1"/>
        <v>4.25</v>
      </c>
      <c r="O55" s="5" t="str" cm="1">
        <f t="array" ref="O55">_xlfn.SWITCH(TRUE, N55&lt;=$Q$8, "Low", N55&gt;=$Q$9, "High", "Moderate")</f>
        <v>High</v>
      </c>
      <c r="P55" s="5" t="str">
        <f t="shared" si="3"/>
        <v>High</v>
      </c>
    </row>
    <row r="56" spans="1:16" x14ac:dyDescent="0.35">
      <c r="A56">
        <v>53</v>
      </c>
      <c r="B56" s="5">
        <v>5</v>
      </c>
      <c r="C56" s="5">
        <v>5</v>
      </c>
      <c r="D56" s="5">
        <v>5</v>
      </c>
      <c r="E56" s="5">
        <v>3</v>
      </c>
      <c r="F56" s="5">
        <v>4</v>
      </c>
      <c r="G56" s="5">
        <v>2</v>
      </c>
      <c r="H56" s="5">
        <v>3</v>
      </c>
      <c r="I56" s="5">
        <v>4</v>
      </c>
      <c r="J56" s="5">
        <v>2</v>
      </c>
      <c r="K56" s="5">
        <v>2</v>
      </c>
      <c r="L56" s="5">
        <v>3</v>
      </c>
      <c r="M56" s="5">
        <v>2</v>
      </c>
      <c r="N56" s="16">
        <f t="shared" si="1"/>
        <v>3.3333333333333335</v>
      </c>
      <c r="O56" s="5" t="str" cm="1">
        <f t="array" ref="O56">_xlfn.SWITCH(TRUE, N56&lt;=$Q$8, "Low", N56&gt;=$Q$9, "High", "Moderate")</f>
        <v>Low</v>
      </c>
      <c r="P56" s="5" t="str">
        <f t="shared" si="3"/>
        <v>Low</v>
      </c>
    </row>
    <row r="57" spans="1:16" x14ac:dyDescent="0.35">
      <c r="A57">
        <v>54</v>
      </c>
      <c r="B57" s="5">
        <v>4</v>
      </c>
      <c r="C57" s="5">
        <v>3</v>
      </c>
      <c r="D57" s="5">
        <v>4</v>
      </c>
      <c r="E57" s="5">
        <v>4</v>
      </c>
      <c r="F57" s="5">
        <v>4</v>
      </c>
      <c r="G57" s="5">
        <v>2</v>
      </c>
      <c r="H57" s="5">
        <v>4</v>
      </c>
      <c r="I57" s="5">
        <v>4</v>
      </c>
      <c r="J57" s="5">
        <v>4</v>
      </c>
      <c r="K57" s="5">
        <v>4</v>
      </c>
      <c r="L57" s="5">
        <v>3</v>
      </c>
      <c r="M57" s="5">
        <v>3</v>
      </c>
      <c r="N57" s="16">
        <f t="shared" si="1"/>
        <v>3.5833333333333335</v>
      </c>
      <c r="O57" s="5" t="str" cm="1">
        <f t="array" ref="O57">_xlfn.SWITCH(TRUE, N57&lt;=$Q$8, "Low", N57&gt;=$Q$9, "High", "Moderate")</f>
        <v>Low</v>
      </c>
      <c r="P57" s="5" t="str">
        <f t="shared" si="3"/>
        <v>Low</v>
      </c>
    </row>
    <row r="58" spans="1:16" x14ac:dyDescent="0.35">
      <c r="A58">
        <v>55</v>
      </c>
      <c r="B58" s="5">
        <v>4</v>
      </c>
      <c r="C58" s="5">
        <v>3</v>
      </c>
      <c r="D58" s="5">
        <v>3</v>
      </c>
      <c r="E58" s="5">
        <v>3</v>
      </c>
      <c r="F58" s="5">
        <v>5</v>
      </c>
      <c r="G58" s="5">
        <v>3</v>
      </c>
      <c r="H58" s="5">
        <v>4</v>
      </c>
      <c r="I58" s="5">
        <v>3</v>
      </c>
      <c r="J58" s="5">
        <v>4</v>
      </c>
      <c r="K58" s="5">
        <v>3</v>
      </c>
      <c r="L58" s="5">
        <v>4</v>
      </c>
      <c r="M58" s="5">
        <v>3</v>
      </c>
      <c r="N58" s="16">
        <f t="shared" si="1"/>
        <v>3.5</v>
      </c>
      <c r="O58" s="5" t="str" cm="1">
        <f t="array" ref="O58">_xlfn.SWITCH(TRUE, N58&lt;=$Q$8, "Low", N58&gt;=$Q$9, "High", "Moderate")</f>
        <v>Low</v>
      </c>
      <c r="P58" s="5" t="str">
        <f t="shared" si="3"/>
        <v>Low</v>
      </c>
    </row>
    <row r="59" spans="1:16" x14ac:dyDescent="0.35">
      <c r="A59">
        <v>56</v>
      </c>
      <c r="B59" s="5">
        <v>5</v>
      </c>
      <c r="C59" s="5">
        <v>5</v>
      </c>
      <c r="D59" s="5">
        <v>5</v>
      </c>
      <c r="E59" s="5">
        <v>5</v>
      </c>
      <c r="F59" s="5">
        <v>5</v>
      </c>
      <c r="G59" s="5">
        <v>1</v>
      </c>
      <c r="H59" s="5">
        <v>4</v>
      </c>
      <c r="I59" s="5">
        <v>5</v>
      </c>
      <c r="J59" s="5">
        <v>5</v>
      </c>
      <c r="K59" s="5">
        <v>5</v>
      </c>
      <c r="L59" s="5">
        <v>5</v>
      </c>
      <c r="M59" s="5">
        <v>5</v>
      </c>
      <c r="N59" s="16">
        <f t="shared" si="1"/>
        <v>4.583333333333333</v>
      </c>
      <c r="O59" s="5" t="str" cm="1">
        <f t="array" ref="O59">_xlfn.SWITCH(TRUE, N59&lt;=$Q$8, "Low", N59&gt;=$Q$9, "High", "Moderate")</f>
        <v>High</v>
      </c>
      <c r="P59" s="5" t="str">
        <f t="shared" si="3"/>
        <v>High</v>
      </c>
    </row>
    <row r="60" spans="1:16" x14ac:dyDescent="0.35">
      <c r="A60">
        <v>57</v>
      </c>
      <c r="B60" s="5">
        <v>5</v>
      </c>
      <c r="C60" s="5">
        <v>5</v>
      </c>
      <c r="D60" s="5">
        <v>4</v>
      </c>
      <c r="E60" s="5">
        <v>5</v>
      </c>
      <c r="F60" s="5">
        <v>1</v>
      </c>
      <c r="G60" s="5">
        <v>1</v>
      </c>
      <c r="H60" s="5">
        <v>4</v>
      </c>
      <c r="I60" s="5">
        <v>5</v>
      </c>
      <c r="J60" s="5">
        <v>5</v>
      </c>
      <c r="K60" s="5">
        <v>5</v>
      </c>
      <c r="L60" s="5">
        <v>2</v>
      </c>
      <c r="M60" s="5">
        <v>1</v>
      </c>
      <c r="N60" s="16">
        <f t="shared" si="1"/>
        <v>3.5833333333333335</v>
      </c>
      <c r="O60" s="5" t="str" cm="1">
        <f t="array" ref="O60">_xlfn.SWITCH(TRUE, N60&lt;=$Q$8, "Low", N60&gt;=$Q$9, "High", "Moderate")</f>
        <v>Low</v>
      </c>
      <c r="P60" s="5" t="str">
        <f t="shared" si="3"/>
        <v>Low</v>
      </c>
    </row>
    <row r="61" spans="1:16" x14ac:dyDescent="0.35">
      <c r="A61">
        <v>58</v>
      </c>
      <c r="B61" s="5">
        <v>5</v>
      </c>
      <c r="C61" s="5">
        <v>4</v>
      </c>
      <c r="D61" s="5">
        <v>4</v>
      </c>
      <c r="E61" s="5">
        <v>3</v>
      </c>
      <c r="F61" s="5">
        <v>5</v>
      </c>
      <c r="G61" s="5">
        <v>3</v>
      </c>
      <c r="H61" s="5">
        <v>4</v>
      </c>
      <c r="I61" s="5">
        <v>4</v>
      </c>
      <c r="J61" s="5">
        <v>3</v>
      </c>
      <c r="K61" s="5">
        <v>5</v>
      </c>
      <c r="L61" s="5">
        <v>4</v>
      </c>
      <c r="M61" s="5">
        <v>4</v>
      </c>
      <c r="N61" s="16">
        <f t="shared" si="1"/>
        <v>4</v>
      </c>
      <c r="O61" s="5" t="str" cm="1">
        <f t="array" ref="O61">_xlfn.SWITCH(TRUE, N61&lt;=$Q$8, "Low", N61&gt;=$Q$9, "High", "Moderate")</f>
        <v>Moderate</v>
      </c>
      <c r="P61" s="5" t="str">
        <f t="shared" si="3"/>
        <v>High</v>
      </c>
    </row>
    <row r="62" spans="1:16" x14ac:dyDescent="0.35">
      <c r="A62">
        <v>59</v>
      </c>
      <c r="B62" s="5">
        <v>4</v>
      </c>
      <c r="C62" s="5">
        <v>3</v>
      </c>
      <c r="D62" s="5">
        <v>3</v>
      </c>
      <c r="E62" s="5">
        <v>3</v>
      </c>
      <c r="F62" s="5">
        <v>5</v>
      </c>
      <c r="G62" s="5">
        <v>2</v>
      </c>
      <c r="H62" s="5">
        <v>5</v>
      </c>
      <c r="I62" s="5">
        <v>4</v>
      </c>
      <c r="J62" s="5">
        <v>4</v>
      </c>
      <c r="K62" s="5">
        <v>5</v>
      </c>
      <c r="L62" s="5">
        <v>5</v>
      </c>
      <c r="M62" s="5">
        <v>2</v>
      </c>
      <c r="N62" s="16">
        <f t="shared" si="1"/>
        <v>3.75</v>
      </c>
      <c r="O62" s="5" t="str" cm="1">
        <f t="array" ref="O62">_xlfn.SWITCH(TRUE, N62&lt;=$Q$8, "Low", N62&gt;=$Q$9, "High", "Moderate")</f>
        <v>Moderate</v>
      </c>
      <c r="P62" s="5" t="str">
        <f t="shared" si="3"/>
        <v>Low</v>
      </c>
    </row>
    <row r="63" spans="1:16" x14ac:dyDescent="0.35">
      <c r="A63">
        <v>60</v>
      </c>
      <c r="B63" s="5">
        <v>4</v>
      </c>
      <c r="C63" s="5">
        <v>3</v>
      </c>
      <c r="D63" s="5">
        <v>4</v>
      </c>
      <c r="E63" s="5">
        <v>2</v>
      </c>
      <c r="F63" s="5">
        <v>5</v>
      </c>
      <c r="G63" s="5">
        <v>4</v>
      </c>
      <c r="H63" s="5">
        <v>4</v>
      </c>
      <c r="I63" s="5">
        <v>3</v>
      </c>
      <c r="J63" s="5">
        <v>3</v>
      </c>
      <c r="K63" s="5">
        <v>3</v>
      </c>
      <c r="L63" s="5">
        <v>2</v>
      </c>
      <c r="M63" s="5">
        <v>3</v>
      </c>
      <c r="N63" s="16">
        <f t="shared" si="1"/>
        <v>3.3333333333333335</v>
      </c>
      <c r="O63" s="5" t="str" cm="1">
        <f t="array" ref="O63">_xlfn.SWITCH(TRUE, N63&lt;=$Q$8, "Low", N63&gt;=$Q$9, "High", "Moderate")</f>
        <v>Low</v>
      </c>
      <c r="P63" s="5" t="str">
        <f t="shared" si="3"/>
        <v>Low</v>
      </c>
    </row>
    <row r="64" spans="1:16" x14ac:dyDescent="0.35">
      <c r="A64">
        <v>61</v>
      </c>
      <c r="B64" s="5">
        <v>3</v>
      </c>
      <c r="C64" s="5">
        <v>2</v>
      </c>
      <c r="D64" s="5">
        <v>3</v>
      </c>
      <c r="E64" s="5">
        <v>3</v>
      </c>
      <c r="F64" s="5">
        <v>5</v>
      </c>
      <c r="G64" s="5">
        <v>3</v>
      </c>
      <c r="H64" s="5">
        <v>3</v>
      </c>
      <c r="I64" s="5">
        <v>4</v>
      </c>
      <c r="J64" s="5">
        <v>3</v>
      </c>
      <c r="K64" s="5">
        <v>3</v>
      </c>
      <c r="L64" s="5">
        <v>3</v>
      </c>
      <c r="M64" s="5">
        <v>2</v>
      </c>
      <c r="N64" s="16">
        <f t="shared" si="1"/>
        <v>3.0833333333333335</v>
      </c>
      <c r="O64" s="5" t="str" cm="1">
        <f t="array" ref="O64">_xlfn.SWITCH(TRUE, N64&lt;=$Q$8, "Low", N64&gt;=$Q$9, "High", "Moderate")</f>
        <v>Low</v>
      </c>
      <c r="P64" s="5" t="str">
        <f t="shared" si="3"/>
        <v>Low</v>
      </c>
    </row>
    <row r="65" spans="1:16" x14ac:dyDescent="0.35">
      <c r="A65">
        <v>62</v>
      </c>
      <c r="B65" s="5">
        <v>4</v>
      </c>
      <c r="C65" s="5">
        <v>4</v>
      </c>
      <c r="D65" s="5">
        <v>4</v>
      </c>
      <c r="E65" s="5">
        <v>4</v>
      </c>
      <c r="F65" s="5">
        <v>5</v>
      </c>
      <c r="G65" s="5">
        <v>2</v>
      </c>
      <c r="H65" s="5">
        <v>5</v>
      </c>
      <c r="I65" s="5">
        <v>5</v>
      </c>
      <c r="J65" s="5">
        <v>4</v>
      </c>
      <c r="K65" s="5">
        <v>4</v>
      </c>
      <c r="L65" s="5">
        <v>2</v>
      </c>
      <c r="M65" s="5">
        <v>2</v>
      </c>
      <c r="N65" s="16">
        <f t="shared" si="1"/>
        <v>3.75</v>
      </c>
      <c r="O65" s="5" t="str" cm="1">
        <f t="array" ref="O65">_xlfn.SWITCH(TRUE, N65&lt;=$Q$8, "Low", N65&gt;=$Q$9, "High", "Moderate")</f>
        <v>Moderate</v>
      </c>
      <c r="P65" s="5" t="str">
        <f t="shared" si="3"/>
        <v>Low</v>
      </c>
    </row>
    <row r="66" spans="1:16" x14ac:dyDescent="0.35">
      <c r="A66">
        <v>63</v>
      </c>
      <c r="B66" s="5">
        <v>4</v>
      </c>
      <c r="C66" s="5">
        <v>4</v>
      </c>
      <c r="D66" s="5">
        <v>3</v>
      </c>
      <c r="E66" s="5">
        <v>3</v>
      </c>
      <c r="F66" s="5">
        <v>5</v>
      </c>
      <c r="G66" s="5">
        <v>4</v>
      </c>
      <c r="H66" s="5">
        <v>1</v>
      </c>
      <c r="I66" s="5">
        <v>3</v>
      </c>
      <c r="J66" s="5">
        <v>3</v>
      </c>
      <c r="K66" s="5">
        <v>3</v>
      </c>
      <c r="L66" s="5">
        <v>4</v>
      </c>
      <c r="M66" s="5">
        <v>3</v>
      </c>
      <c r="N66" s="16">
        <f t="shared" si="1"/>
        <v>3.3333333333333335</v>
      </c>
      <c r="O66" s="5" t="str" cm="1">
        <f t="array" ref="O66">_xlfn.SWITCH(TRUE, N66&lt;=$Q$8, "Low", N66&gt;=$Q$9, "High", "Moderate")</f>
        <v>Low</v>
      </c>
      <c r="P66" s="5" t="str">
        <f t="shared" si="3"/>
        <v>Low</v>
      </c>
    </row>
    <row r="67" spans="1:16" x14ac:dyDescent="0.35">
      <c r="A67">
        <v>64</v>
      </c>
      <c r="B67" s="5">
        <v>4</v>
      </c>
      <c r="C67" s="5">
        <v>4</v>
      </c>
      <c r="D67" s="5">
        <v>3</v>
      </c>
      <c r="E67" s="5">
        <v>3</v>
      </c>
      <c r="F67" s="5">
        <v>1</v>
      </c>
      <c r="G67" s="5">
        <v>1</v>
      </c>
      <c r="H67" s="5">
        <v>4</v>
      </c>
      <c r="I67" s="5">
        <v>3</v>
      </c>
      <c r="J67" s="5">
        <v>3</v>
      </c>
      <c r="K67" s="5">
        <v>3</v>
      </c>
      <c r="L67" s="5">
        <v>3</v>
      </c>
      <c r="M67" s="5">
        <v>2</v>
      </c>
      <c r="N67" s="16">
        <f t="shared" si="1"/>
        <v>2.8333333333333335</v>
      </c>
      <c r="O67" s="5" t="str" cm="1">
        <f t="array" ref="O67">_xlfn.SWITCH(TRUE, N67&lt;=$Q$8, "Low", N67&gt;=$Q$9, "High", "Moderate")</f>
        <v>Low</v>
      </c>
      <c r="P67" s="5" t="str">
        <f t="shared" si="3"/>
        <v>Low</v>
      </c>
    </row>
    <row r="68" spans="1:16" x14ac:dyDescent="0.35">
      <c r="A68">
        <v>65</v>
      </c>
      <c r="B68" s="5">
        <v>5</v>
      </c>
      <c r="C68" s="5">
        <v>2</v>
      </c>
      <c r="D68" s="5">
        <v>5</v>
      </c>
      <c r="E68" s="5">
        <v>5</v>
      </c>
      <c r="F68" s="5">
        <v>5</v>
      </c>
      <c r="G68" s="5">
        <v>1</v>
      </c>
      <c r="H68" s="5">
        <v>5</v>
      </c>
      <c r="I68" s="5">
        <v>5</v>
      </c>
      <c r="J68" s="5">
        <v>5</v>
      </c>
      <c r="K68" s="5">
        <v>5</v>
      </c>
      <c r="L68" s="5">
        <v>5</v>
      </c>
      <c r="M68" s="5">
        <v>5</v>
      </c>
      <c r="N68" s="16">
        <f t="shared" si="1"/>
        <v>4.416666666666667</v>
      </c>
      <c r="O68" s="5" t="str" cm="1">
        <f t="array" ref="O68">_xlfn.SWITCH(TRUE, N68&lt;=$Q$8, "Low", N68&gt;=$Q$9, "High", "Moderate")</f>
        <v>High</v>
      </c>
      <c r="P68" s="5" t="str">
        <f t="shared" si="3"/>
        <v>High</v>
      </c>
    </row>
    <row r="69" spans="1:16" x14ac:dyDescent="0.35">
      <c r="A69">
        <v>66</v>
      </c>
      <c r="B69" s="5">
        <v>5</v>
      </c>
      <c r="C69" s="5">
        <v>4</v>
      </c>
      <c r="D69" s="5">
        <v>5</v>
      </c>
      <c r="E69" s="5">
        <v>5</v>
      </c>
      <c r="F69" s="5">
        <v>5</v>
      </c>
      <c r="G69" s="5">
        <v>1</v>
      </c>
      <c r="H69" s="5">
        <v>5</v>
      </c>
      <c r="I69" s="5">
        <v>4</v>
      </c>
      <c r="J69" s="5">
        <v>4</v>
      </c>
      <c r="K69" s="5">
        <v>5</v>
      </c>
      <c r="L69" s="5">
        <v>5</v>
      </c>
      <c r="M69" s="5">
        <v>5</v>
      </c>
      <c r="N69" s="16">
        <f t="shared" ref="N69:N108" si="4">AVERAGE(B69:M69)</f>
        <v>4.416666666666667</v>
      </c>
      <c r="O69" s="5" t="str" cm="1">
        <f t="array" ref="O69">_xlfn.SWITCH(TRUE, N69&lt;=$Q$8, "Low", N69&gt;=$Q$9, "High", "Moderate")</f>
        <v>High</v>
      </c>
      <c r="P69" s="5" t="str">
        <f t="shared" ref="P69:P108" si="5">_xlfn.SWITCH(TRUE, N69&lt;=$Q$10, "Low", "High")</f>
        <v>High</v>
      </c>
    </row>
    <row r="70" spans="1:16" x14ac:dyDescent="0.35">
      <c r="A70">
        <v>67</v>
      </c>
      <c r="B70" s="5">
        <v>4</v>
      </c>
      <c r="C70" s="5">
        <v>5</v>
      </c>
      <c r="D70" s="5">
        <v>5</v>
      </c>
      <c r="E70" s="5">
        <v>5</v>
      </c>
      <c r="F70" s="5">
        <v>5</v>
      </c>
      <c r="G70" s="5">
        <v>2</v>
      </c>
      <c r="H70" s="5">
        <v>4</v>
      </c>
      <c r="I70" s="5">
        <v>3</v>
      </c>
      <c r="J70" s="5">
        <v>2</v>
      </c>
      <c r="K70" s="5">
        <v>5</v>
      </c>
      <c r="L70" s="5">
        <v>5</v>
      </c>
      <c r="M70" s="5">
        <v>5</v>
      </c>
      <c r="N70" s="16">
        <f t="shared" si="4"/>
        <v>4.166666666666667</v>
      </c>
      <c r="O70" s="5" t="str" cm="1">
        <f t="array" ref="O70">_xlfn.SWITCH(TRUE, N70&lt;=$Q$8, "Low", N70&gt;=$Q$9, "High", "Moderate")</f>
        <v>High</v>
      </c>
      <c r="P70" s="5" t="str">
        <f t="shared" si="5"/>
        <v>High</v>
      </c>
    </row>
    <row r="71" spans="1:16" x14ac:dyDescent="0.35">
      <c r="A71">
        <v>68</v>
      </c>
      <c r="B71" s="5">
        <v>5</v>
      </c>
      <c r="C71" s="5">
        <v>5</v>
      </c>
      <c r="D71" s="5">
        <v>3</v>
      </c>
      <c r="E71" s="5">
        <v>3</v>
      </c>
      <c r="F71" s="5">
        <v>5</v>
      </c>
      <c r="G71" s="5">
        <v>3</v>
      </c>
      <c r="H71" s="5">
        <v>3</v>
      </c>
      <c r="I71" s="5">
        <v>2</v>
      </c>
      <c r="J71" s="5">
        <v>2</v>
      </c>
      <c r="K71" s="5">
        <v>3</v>
      </c>
      <c r="L71" s="5">
        <v>4</v>
      </c>
      <c r="M71" s="5">
        <v>3</v>
      </c>
      <c r="N71" s="16">
        <f t="shared" si="4"/>
        <v>3.4166666666666665</v>
      </c>
      <c r="O71" s="5" t="str" cm="1">
        <f t="array" ref="O71">_xlfn.SWITCH(TRUE, N71&lt;=$Q$8, "Low", N71&gt;=$Q$9, "High", "Moderate")</f>
        <v>Low</v>
      </c>
      <c r="P71" s="5" t="str">
        <f t="shared" si="5"/>
        <v>Low</v>
      </c>
    </row>
    <row r="72" spans="1:16" x14ac:dyDescent="0.35">
      <c r="A72">
        <v>69</v>
      </c>
      <c r="B72" s="5">
        <v>5</v>
      </c>
      <c r="C72" s="5">
        <v>4</v>
      </c>
      <c r="D72" s="5">
        <v>4</v>
      </c>
      <c r="E72" s="5">
        <v>4</v>
      </c>
      <c r="F72" s="5">
        <v>5</v>
      </c>
      <c r="G72" s="5">
        <v>3</v>
      </c>
      <c r="H72" s="5">
        <v>3</v>
      </c>
      <c r="I72" s="5">
        <v>4</v>
      </c>
      <c r="J72" s="5">
        <v>3</v>
      </c>
      <c r="K72" s="5">
        <v>5</v>
      </c>
      <c r="L72" s="5">
        <v>5</v>
      </c>
      <c r="M72" s="5">
        <v>4</v>
      </c>
      <c r="N72" s="16">
        <f t="shared" si="4"/>
        <v>4.083333333333333</v>
      </c>
      <c r="O72" s="5" t="str" cm="1">
        <f t="array" ref="O72">_xlfn.SWITCH(TRUE, N72&lt;=$Q$8, "Low", N72&gt;=$Q$9, "High", "Moderate")</f>
        <v>High</v>
      </c>
      <c r="P72" s="5" t="str">
        <f t="shared" si="5"/>
        <v>High</v>
      </c>
    </row>
    <row r="73" spans="1:16" x14ac:dyDescent="0.35">
      <c r="A73">
        <v>70</v>
      </c>
      <c r="B73" s="5">
        <v>5</v>
      </c>
      <c r="C73" s="5">
        <v>4</v>
      </c>
      <c r="D73" s="5">
        <v>5</v>
      </c>
      <c r="E73" s="5">
        <v>5</v>
      </c>
      <c r="F73" s="5">
        <v>4</v>
      </c>
      <c r="G73" s="5">
        <v>1</v>
      </c>
      <c r="H73" s="5">
        <v>5</v>
      </c>
      <c r="I73" s="5">
        <v>5</v>
      </c>
      <c r="J73" s="5">
        <v>5</v>
      </c>
      <c r="K73" s="5">
        <v>5</v>
      </c>
      <c r="L73" s="5">
        <v>5</v>
      </c>
      <c r="M73" s="5">
        <v>5</v>
      </c>
      <c r="N73" s="16">
        <f t="shared" si="4"/>
        <v>4.5</v>
      </c>
      <c r="O73" s="5" t="str" cm="1">
        <f t="array" ref="O73">_xlfn.SWITCH(TRUE, N73&lt;=$Q$8, "Low", N73&gt;=$Q$9, "High", "Moderate")</f>
        <v>High</v>
      </c>
      <c r="P73" s="5" t="str">
        <f t="shared" si="5"/>
        <v>High</v>
      </c>
    </row>
    <row r="74" spans="1:16" x14ac:dyDescent="0.35">
      <c r="A74">
        <v>71</v>
      </c>
      <c r="B74" s="5">
        <v>4</v>
      </c>
      <c r="C74" s="5">
        <v>4</v>
      </c>
      <c r="D74" s="5">
        <v>5</v>
      </c>
      <c r="E74" s="5">
        <v>5</v>
      </c>
      <c r="F74" s="5">
        <v>5</v>
      </c>
      <c r="G74" s="5">
        <v>1</v>
      </c>
      <c r="H74" s="5">
        <v>5</v>
      </c>
      <c r="I74" s="5">
        <v>4</v>
      </c>
      <c r="J74" s="5">
        <v>4</v>
      </c>
      <c r="K74" s="5">
        <v>3</v>
      </c>
      <c r="L74" s="5">
        <v>5</v>
      </c>
      <c r="M74" s="5">
        <v>5</v>
      </c>
      <c r="N74" s="16">
        <f t="shared" si="4"/>
        <v>4.166666666666667</v>
      </c>
      <c r="O74" s="5" t="str" cm="1">
        <f t="array" ref="O74">_xlfn.SWITCH(TRUE, N74&lt;=$Q$8, "Low", N74&gt;=$Q$9, "High", "Moderate")</f>
        <v>High</v>
      </c>
      <c r="P74" s="5" t="str">
        <f t="shared" si="5"/>
        <v>High</v>
      </c>
    </row>
    <row r="75" spans="1:16" x14ac:dyDescent="0.35">
      <c r="A75">
        <v>72</v>
      </c>
      <c r="B75" s="5">
        <v>4</v>
      </c>
      <c r="C75" s="5">
        <v>5</v>
      </c>
      <c r="D75" s="5">
        <v>4</v>
      </c>
      <c r="E75" s="5">
        <v>5</v>
      </c>
      <c r="F75" s="5">
        <v>4</v>
      </c>
      <c r="G75" s="5">
        <v>1</v>
      </c>
      <c r="H75" s="5">
        <v>3</v>
      </c>
      <c r="I75" s="5">
        <v>4</v>
      </c>
      <c r="J75" s="5">
        <v>4</v>
      </c>
      <c r="K75" s="5">
        <v>4</v>
      </c>
      <c r="L75" s="5">
        <v>3</v>
      </c>
      <c r="M75" s="5">
        <v>4</v>
      </c>
      <c r="N75" s="16">
        <f t="shared" si="4"/>
        <v>3.75</v>
      </c>
      <c r="O75" s="5" t="str" cm="1">
        <f t="array" ref="O75">_xlfn.SWITCH(TRUE, N75&lt;=$Q$8, "Low", N75&gt;=$Q$9, "High", "Moderate")</f>
        <v>Moderate</v>
      </c>
      <c r="P75" s="5" t="str">
        <f t="shared" si="5"/>
        <v>Low</v>
      </c>
    </row>
    <row r="76" spans="1:16" x14ac:dyDescent="0.35">
      <c r="A76">
        <v>73</v>
      </c>
      <c r="B76" s="5">
        <v>5</v>
      </c>
      <c r="C76" s="5">
        <v>2</v>
      </c>
      <c r="D76" s="5">
        <v>4</v>
      </c>
      <c r="E76" s="5">
        <v>3</v>
      </c>
      <c r="F76" s="5">
        <v>4</v>
      </c>
      <c r="G76" s="5">
        <v>3</v>
      </c>
      <c r="H76" s="5">
        <v>4</v>
      </c>
      <c r="I76" s="5">
        <v>4</v>
      </c>
      <c r="J76" s="5">
        <v>2</v>
      </c>
      <c r="K76" s="5">
        <v>4</v>
      </c>
      <c r="L76" s="5">
        <v>3</v>
      </c>
      <c r="M76" s="5">
        <v>2</v>
      </c>
      <c r="N76" s="16">
        <f t="shared" si="4"/>
        <v>3.3333333333333335</v>
      </c>
      <c r="O76" s="5" t="str" cm="1">
        <f t="array" ref="O76">_xlfn.SWITCH(TRUE, N76&lt;=$Q$8, "Low", N76&gt;=$Q$9, "High", "Moderate")</f>
        <v>Low</v>
      </c>
      <c r="P76" s="5" t="str">
        <f t="shared" si="5"/>
        <v>Low</v>
      </c>
    </row>
    <row r="77" spans="1:16" x14ac:dyDescent="0.35">
      <c r="A77">
        <v>74</v>
      </c>
      <c r="B77" s="5">
        <v>5</v>
      </c>
      <c r="C77" s="5">
        <v>4</v>
      </c>
      <c r="D77" s="5">
        <v>5</v>
      </c>
      <c r="E77" s="5">
        <v>5</v>
      </c>
      <c r="F77" s="5">
        <v>3</v>
      </c>
      <c r="G77" s="5">
        <v>1</v>
      </c>
      <c r="H77" s="5">
        <v>5</v>
      </c>
      <c r="I77" s="5">
        <v>5</v>
      </c>
      <c r="J77" s="5">
        <v>5</v>
      </c>
      <c r="K77" s="5">
        <v>5</v>
      </c>
      <c r="L77" s="5">
        <v>5</v>
      </c>
      <c r="M77" s="5">
        <v>5</v>
      </c>
      <c r="N77" s="16">
        <f t="shared" si="4"/>
        <v>4.416666666666667</v>
      </c>
      <c r="O77" s="5" t="str" cm="1">
        <f t="array" ref="O77">_xlfn.SWITCH(TRUE, N77&lt;=$Q$8, "Low", N77&gt;=$Q$9, "High", "Moderate")</f>
        <v>High</v>
      </c>
      <c r="P77" s="5" t="str">
        <f t="shared" si="5"/>
        <v>High</v>
      </c>
    </row>
    <row r="78" spans="1:16" x14ac:dyDescent="0.35">
      <c r="A78">
        <v>75</v>
      </c>
      <c r="B78" s="5">
        <v>4</v>
      </c>
      <c r="C78" s="5">
        <v>4</v>
      </c>
      <c r="D78" s="5">
        <v>4</v>
      </c>
      <c r="E78" s="5">
        <v>4</v>
      </c>
      <c r="F78" s="5">
        <v>5</v>
      </c>
      <c r="G78" s="5">
        <v>2</v>
      </c>
      <c r="H78" s="5">
        <v>4</v>
      </c>
      <c r="I78" s="5">
        <v>4</v>
      </c>
      <c r="J78" s="5">
        <v>3</v>
      </c>
      <c r="K78" s="5">
        <v>4</v>
      </c>
      <c r="L78" s="5">
        <v>4</v>
      </c>
      <c r="M78" s="5">
        <v>4</v>
      </c>
      <c r="N78" s="16">
        <f t="shared" si="4"/>
        <v>3.8333333333333335</v>
      </c>
      <c r="O78" s="5" t="str" cm="1">
        <f t="array" ref="O78">_xlfn.SWITCH(TRUE, N78&lt;=$Q$8, "Low", N78&gt;=$Q$9, "High", "Moderate")</f>
        <v>Moderate</v>
      </c>
      <c r="P78" s="5" t="str">
        <f t="shared" si="5"/>
        <v>Low</v>
      </c>
    </row>
    <row r="79" spans="1:16" x14ac:dyDescent="0.35">
      <c r="A79">
        <v>76</v>
      </c>
      <c r="B79" s="5">
        <v>4</v>
      </c>
      <c r="C79" s="5">
        <v>2</v>
      </c>
      <c r="D79" s="5">
        <v>5</v>
      </c>
      <c r="E79" s="5">
        <v>4</v>
      </c>
      <c r="F79" s="5">
        <v>5</v>
      </c>
      <c r="G79" s="5">
        <v>4</v>
      </c>
      <c r="H79" s="5">
        <v>5</v>
      </c>
      <c r="I79" s="5">
        <v>4</v>
      </c>
      <c r="J79" s="5">
        <v>3</v>
      </c>
      <c r="K79" s="5">
        <v>4</v>
      </c>
      <c r="L79" s="5">
        <v>5</v>
      </c>
      <c r="M79" s="5">
        <v>4</v>
      </c>
      <c r="N79" s="16">
        <f t="shared" si="4"/>
        <v>4.083333333333333</v>
      </c>
      <c r="O79" s="5" t="str" cm="1">
        <f t="array" ref="O79">_xlfn.SWITCH(TRUE, N79&lt;=$Q$8, "Low", N79&gt;=$Q$9, "High", "Moderate")</f>
        <v>High</v>
      </c>
      <c r="P79" s="5" t="str">
        <f t="shared" si="5"/>
        <v>High</v>
      </c>
    </row>
    <row r="80" spans="1:16" x14ac:dyDescent="0.35">
      <c r="A80">
        <v>77</v>
      </c>
      <c r="B80" s="5">
        <v>5</v>
      </c>
      <c r="C80" s="5">
        <v>5</v>
      </c>
      <c r="D80" s="5">
        <v>4</v>
      </c>
      <c r="E80" s="5">
        <v>4</v>
      </c>
      <c r="F80" s="5">
        <v>5</v>
      </c>
      <c r="G80" s="5">
        <v>2</v>
      </c>
      <c r="H80" s="5">
        <v>5</v>
      </c>
      <c r="I80" s="5">
        <v>4</v>
      </c>
      <c r="J80" s="5">
        <v>3</v>
      </c>
      <c r="K80" s="5">
        <v>3</v>
      </c>
      <c r="L80" s="5">
        <v>4</v>
      </c>
      <c r="M80" s="5">
        <v>4</v>
      </c>
      <c r="N80" s="16">
        <f t="shared" si="4"/>
        <v>4</v>
      </c>
      <c r="O80" s="5" t="str" cm="1">
        <f t="array" ref="O80">_xlfn.SWITCH(TRUE, N80&lt;=$Q$8, "Low", N80&gt;=$Q$9, "High", "Moderate")</f>
        <v>Moderate</v>
      </c>
      <c r="P80" s="5" t="str">
        <f t="shared" si="5"/>
        <v>High</v>
      </c>
    </row>
    <row r="81" spans="1:16" x14ac:dyDescent="0.35">
      <c r="A81">
        <v>78</v>
      </c>
      <c r="B81" s="5">
        <v>4</v>
      </c>
      <c r="C81" s="5">
        <v>5</v>
      </c>
      <c r="D81" s="5">
        <v>3</v>
      </c>
      <c r="E81" s="5">
        <v>4</v>
      </c>
      <c r="F81" s="5">
        <v>2</v>
      </c>
      <c r="G81" s="5">
        <v>3</v>
      </c>
      <c r="H81" s="5">
        <v>2</v>
      </c>
      <c r="I81" s="5">
        <v>3</v>
      </c>
      <c r="J81" s="5">
        <v>5</v>
      </c>
      <c r="K81" s="5">
        <v>3</v>
      </c>
      <c r="L81" s="5">
        <v>3</v>
      </c>
      <c r="M81" s="5">
        <v>5</v>
      </c>
      <c r="N81" s="16">
        <f t="shared" si="4"/>
        <v>3.5</v>
      </c>
      <c r="O81" s="5" t="str" cm="1">
        <f t="array" ref="O81">_xlfn.SWITCH(TRUE, N81&lt;=$Q$8, "Low", N81&gt;=$Q$9, "High", "Moderate")</f>
        <v>Low</v>
      </c>
      <c r="P81" s="5" t="str">
        <f t="shared" si="5"/>
        <v>Low</v>
      </c>
    </row>
    <row r="82" spans="1:16" x14ac:dyDescent="0.35">
      <c r="A82">
        <v>79</v>
      </c>
      <c r="B82" s="5">
        <v>4</v>
      </c>
      <c r="C82" s="5">
        <v>3</v>
      </c>
      <c r="D82" s="5">
        <v>5</v>
      </c>
      <c r="E82" s="5">
        <v>3</v>
      </c>
      <c r="F82" s="5">
        <v>5</v>
      </c>
      <c r="G82" s="5">
        <v>3</v>
      </c>
      <c r="H82" s="5">
        <v>2</v>
      </c>
      <c r="I82" s="5">
        <v>2</v>
      </c>
      <c r="J82" s="5">
        <v>3</v>
      </c>
      <c r="K82" s="5">
        <v>5</v>
      </c>
      <c r="L82" s="5">
        <v>4</v>
      </c>
      <c r="M82" s="5">
        <v>4</v>
      </c>
      <c r="N82" s="16">
        <f t="shared" si="4"/>
        <v>3.5833333333333335</v>
      </c>
      <c r="O82" s="5" t="str" cm="1">
        <f t="array" ref="O82">_xlfn.SWITCH(TRUE, N82&lt;=$Q$8, "Low", N82&gt;=$Q$9, "High", "Moderate")</f>
        <v>Low</v>
      </c>
      <c r="P82" s="5" t="str">
        <f t="shared" si="5"/>
        <v>Low</v>
      </c>
    </row>
    <row r="83" spans="1:16" x14ac:dyDescent="0.35">
      <c r="A83">
        <v>80</v>
      </c>
      <c r="B83" s="5">
        <v>5</v>
      </c>
      <c r="C83" s="5">
        <v>4</v>
      </c>
      <c r="D83" s="5">
        <v>5</v>
      </c>
      <c r="E83" s="5">
        <v>5</v>
      </c>
      <c r="F83" s="5">
        <v>5</v>
      </c>
      <c r="G83" s="5">
        <v>1</v>
      </c>
      <c r="H83" s="5">
        <v>4</v>
      </c>
      <c r="I83" s="5">
        <v>4</v>
      </c>
      <c r="J83" s="5">
        <v>4</v>
      </c>
      <c r="K83" s="5">
        <v>5</v>
      </c>
      <c r="L83" s="5">
        <v>5</v>
      </c>
      <c r="M83" s="5">
        <v>5</v>
      </c>
      <c r="N83" s="16">
        <f t="shared" si="4"/>
        <v>4.333333333333333</v>
      </c>
      <c r="O83" s="5" t="str" cm="1">
        <f t="array" ref="O83">_xlfn.SWITCH(TRUE, N83&lt;=$Q$8, "Low", N83&gt;=$Q$9, "High", "Moderate")</f>
        <v>High</v>
      </c>
      <c r="P83" s="5" t="str">
        <f t="shared" si="5"/>
        <v>High</v>
      </c>
    </row>
    <row r="84" spans="1:16" x14ac:dyDescent="0.35">
      <c r="A84">
        <v>81</v>
      </c>
      <c r="B84" s="5">
        <v>4</v>
      </c>
      <c r="C84" s="5">
        <v>4</v>
      </c>
      <c r="D84" s="5">
        <v>5</v>
      </c>
      <c r="E84" s="5">
        <v>4</v>
      </c>
      <c r="F84" s="5">
        <v>5</v>
      </c>
      <c r="G84" s="5">
        <v>2</v>
      </c>
      <c r="H84" s="5">
        <v>5</v>
      </c>
      <c r="I84" s="5">
        <v>4</v>
      </c>
      <c r="J84" s="5">
        <v>3</v>
      </c>
      <c r="K84" s="5">
        <v>5</v>
      </c>
      <c r="L84" s="5">
        <v>4</v>
      </c>
      <c r="M84" s="5">
        <v>3</v>
      </c>
      <c r="N84" s="16">
        <f t="shared" si="4"/>
        <v>4</v>
      </c>
      <c r="O84" s="5" t="str" cm="1">
        <f t="array" ref="O84">_xlfn.SWITCH(TRUE, N84&lt;=$Q$8, "Low", N84&gt;=$Q$9, "High", "Moderate")</f>
        <v>Moderate</v>
      </c>
      <c r="P84" s="5" t="str">
        <f t="shared" si="5"/>
        <v>High</v>
      </c>
    </row>
    <row r="85" spans="1:16" x14ac:dyDescent="0.35">
      <c r="A85">
        <v>82</v>
      </c>
      <c r="B85" s="5">
        <v>5</v>
      </c>
      <c r="C85" s="5">
        <v>2</v>
      </c>
      <c r="D85" s="5">
        <v>5</v>
      </c>
      <c r="E85" s="5">
        <v>3</v>
      </c>
      <c r="F85" s="5">
        <v>5</v>
      </c>
      <c r="G85" s="5">
        <v>2</v>
      </c>
      <c r="H85" s="5">
        <v>4</v>
      </c>
      <c r="I85" s="5">
        <v>4</v>
      </c>
      <c r="J85" s="5">
        <v>2</v>
      </c>
      <c r="K85" s="5">
        <v>5</v>
      </c>
      <c r="L85" s="5">
        <v>5</v>
      </c>
      <c r="M85" s="5">
        <v>4</v>
      </c>
      <c r="N85" s="16">
        <f t="shared" si="4"/>
        <v>3.8333333333333335</v>
      </c>
      <c r="O85" s="5" t="str" cm="1">
        <f t="array" ref="O85">_xlfn.SWITCH(TRUE, N85&lt;=$Q$8, "Low", N85&gt;=$Q$9, "High", "Moderate")</f>
        <v>Moderate</v>
      </c>
      <c r="P85" s="5" t="str">
        <f t="shared" si="5"/>
        <v>Low</v>
      </c>
    </row>
    <row r="86" spans="1:16" x14ac:dyDescent="0.35">
      <c r="A86">
        <v>83</v>
      </c>
      <c r="B86" s="5">
        <v>5</v>
      </c>
      <c r="C86" s="5">
        <v>3</v>
      </c>
      <c r="D86" s="5">
        <v>5</v>
      </c>
      <c r="E86" s="5">
        <v>5</v>
      </c>
      <c r="F86" s="5">
        <v>5</v>
      </c>
      <c r="G86" s="5">
        <v>3</v>
      </c>
      <c r="H86" s="5">
        <v>4</v>
      </c>
      <c r="I86" s="5">
        <v>4</v>
      </c>
      <c r="J86" s="5">
        <v>5</v>
      </c>
      <c r="K86" s="5">
        <v>5</v>
      </c>
      <c r="L86" s="5">
        <v>5</v>
      </c>
      <c r="M86" s="5">
        <v>5</v>
      </c>
      <c r="N86" s="16">
        <f t="shared" si="4"/>
        <v>4.5</v>
      </c>
      <c r="O86" s="5" t="str" cm="1">
        <f t="array" ref="O86">_xlfn.SWITCH(TRUE, N86&lt;=$Q$8, "Low", N86&gt;=$Q$9, "High", "Moderate")</f>
        <v>High</v>
      </c>
      <c r="P86" s="5" t="str">
        <f t="shared" si="5"/>
        <v>High</v>
      </c>
    </row>
    <row r="87" spans="1:16" x14ac:dyDescent="0.35">
      <c r="A87">
        <v>84</v>
      </c>
      <c r="B87" s="5">
        <v>4</v>
      </c>
      <c r="C87" s="5">
        <v>3</v>
      </c>
      <c r="D87" s="5">
        <v>4</v>
      </c>
      <c r="E87" s="5">
        <v>4</v>
      </c>
      <c r="F87" s="5">
        <v>3</v>
      </c>
      <c r="G87" s="5">
        <v>3</v>
      </c>
      <c r="H87" s="5">
        <v>4</v>
      </c>
      <c r="I87" s="5">
        <v>4</v>
      </c>
      <c r="J87" s="5">
        <v>4</v>
      </c>
      <c r="K87" s="5">
        <v>4</v>
      </c>
      <c r="L87" s="5">
        <v>2</v>
      </c>
      <c r="M87" s="5">
        <v>5</v>
      </c>
      <c r="N87" s="16">
        <f t="shared" si="4"/>
        <v>3.6666666666666665</v>
      </c>
      <c r="O87" s="5" t="str" cm="1">
        <f t="array" ref="O87">_xlfn.SWITCH(TRUE, N87&lt;=$Q$8, "Low", N87&gt;=$Q$9, "High", "Moderate")</f>
        <v>Moderate</v>
      </c>
      <c r="P87" s="5" t="str">
        <f t="shared" si="5"/>
        <v>Low</v>
      </c>
    </row>
    <row r="88" spans="1:16" x14ac:dyDescent="0.35">
      <c r="A88">
        <v>85</v>
      </c>
      <c r="B88" s="5">
        <v>5</v>
      </c>
      <c r="C88" s="5">
        <v>2</v>
      </c>
      <c r="D88" s="5">
        <v>5</v>
      </c>
      <c r="E88" s="5">
        <v>3</v>
      </c>
      <c r="F88" s="5">
        <v>5</v>
      </c>
      <c r="G88" s="5">
        <v>5</v>
      </c>
      <c r="H88" s="5">
        <v>5</v>
      </c>
      <c r="I88" s="5">
        <v>3</v>
      </c>
      <c r="J88" s="5">
        <v>4</v>
      </c>
      <c r="K88" s="5">
        <v>4</v>
      </c>
      <c r="L88" s="5">
        <v>2</v>
      </c>
      <c r="M88" s="5">
        <v>5</v>
      </c>
      <c r="N88" s="16">
        <f t="shared" si="4"/>
        <v>4</v>
      </c>
      <c r="O88" s="5" t="str" cm="1">
        <f t="array" ref="O88">_xlfn.SWITCH(TRUE, N88&lt;=$Q$8, "Low", N88&gt;=$Q$9, "High", "Moderate")</f>
        <v>Moderate</v>
      </c>
      <c r="P88" s="5" t="str">
        <f t="shared" si="5"/>
        <v>High</v>
      </c>
    </row>
    <row r="89" spans="1:16" x14ac:dyDescent="0.35">
      <c r="A89">
        <v>86</v>
      </c>
      <c r="B89" s="5">
        <v>4</v>
      </c>
      <c r="C89" s="5">
        <v>4</v>
      </c>
      <c r="D89" s="5">
        <v>5</v>
      </c>
      <c r="E89" s="5">
        <v>5</v>
      </c>
      <c r="F89" s="5">
        <v>5</v>
      </c>
      <c r="G89" s="5">
        <v>2</v>
      </c>
      <c r="H89" s="5">
        <v>5</v>
      </c>
      <c r="I89" s="5">
        <v>4</v>
      </c>
      <c r="J89" s="5">
        <v>5</v>
      </c>
      <c r="K89" s="5">
        <v>5</v>
      </c>
      <c r="L89" s="5">
        <v>2</v>
      </c>
      <c r="M89" s="5">
        <v>5</v>
      </c>
      <c r="N89" s="16">
        <f t="shared" si="4"/>
        <v>4.25</v>
      </c>
      <c r="O89" s="5" t="str" cm="1">
        <f t="array" ref="O89">_xlfn.SWITCH(TRUE, N89&lt;=$Q$8, "Low", N89&gt;=$Q$9, "High", "Moderate")</f>
        <v>High</v>
      </c>
      <c r="P89" s="5" t="str">
        <f t="shared" si="5"/>
        <v>High</v>
      </c>
    </row>
    <row r="90" spans="1:16" x14ac:dyDescent="0.35">
      <c r="A90">
        <v>87</v>
      </c>
      <c r="B90" s="5">
        <v>5</v>
      </c>
      <c r="C90" s="5">
        <v>5</v>
      </c>
      <c r="D90" s="5">
        <v>5</v>
      </c>
      <c r="E90" s="5">
        <v>3</v>
      </c>
      <c r="F90" s="5">
        <v>5</v>
      </c>
      <c r="G90" s="5">
        <v>3</v>
      </c>
      <c r="H90" s="5">
        <v>4</v>
      </c>
      <c r="I90" s="5">
        <v>4</v>
      </c>
      <c r="J90" s="5">
        <v>3</v>
      </c>
      <c r="K90" s="5">
        <v>3</v>
      </c>
      <c r="L90" s="5">
        <v>5</v>
      </c>
      <c r="M90" s="5">
        <v>5</v>
      </c>
      <c r="N90" s="16">
        <f t="shared" si="4"/>
        <v>4.166666666666667</v>
      </c>
      <c r="O90" s="5" t="str" cm="1">
        <f t="array" ref="O90">_xlfn.SWITCH(TRUE, N90&lt;=$Q$8, "Low", N90&gt;=$Q$9, "High", "Moderate")</f>
        <v>High</v>
      </c>
      <c r="P90" s="5" t="str">
        <f t="shared" si="5"/>
        <v>High</v>
      </c>
    </row>
    <row r="91" spans="1:16" x14ac:dyDescent="0.35">
      <c r="A91">
        <v>88</v>
      </c>
      <c r="B91" s="5">
        <v>4</v>
      </c>
      <c r="C91" s="5">
        <v>5</v>
      </c>
      <c r="D91" s="5">
        <v>4</v>
      </c>
      <c r="E91" s="5">
        <v>3</v>
      </c>
      <c r="F91" s="5">
        <v>5</v>
      </c>
      <c r="G91" s="5">
        <v>3</v>
      </c>
      <c r="H91" s="5">
        <v>3</v>
      </c>
      <c r="I91" s="5">
        <v>3</v>
      </c>
      <c r="J91" s="5">
        <v>2</v>
      </c>
      <c r="K91" s="5">
        <v>5</v>
      </c>
      <c r="L91" s="5">
        <v>3</v>
      </c>
      <c r="M91" s="5">
        <v>3</v>
      </c>
      <c r="N91" s="16">
        <f t="shared" si="4"/>
        <v>3.5833333333333335</v>
      </c>
      <c r="O91" s="5" t="str" cm="1">
        <f t="array" ref="O91">_xlfn.SWITCH(TRUE, N91&lt;=$Q$8, "Low", N91&gt;=$Q$9, "High", "Moderate")</f>
        <v>Low</v>
      </c>
      <c r="P91" s="5" t="str">
        <f t="shared" si="5"/>
        <v>Low</v>
      </c>
    </row>
    <row r="92" spans="1:16" x14ac:dyDescent="0.35">
      <c r="A92">
        <v>89</v>
      </c>
      <c r="B92" s="5">
        <v>4</v>
      </c>
      <c r="C92" s="5">
        <v>4</v>
      </c>
      <c r="D92" s="5">
        <v>4</v>
      </c>
      <c r="E92" s="5">
        <v>4</v>
      </c>
      <c r="F92" s="5">
        <v>3</v>
      </c>
      <c r="G92" s="5">
        <v>2</v>
      </c>
      <c r="H92" s="5">
        <v>4</v>
      </c>
      <c r="I92" s="5">
        <v>3</v>
      </c>
      <c r="J92" s="5">
        <v>5</v>
      </c>
      <c r="K92" s="5">
        <v>4</v>
      </c>
      <c r="L92" s="5">
        <v>3</v>
      </c>
      <c r="M92" s="5">
        <v>5</v>
      </c>
      <c r="N92" s="16">
        <f t="shared" si="4"/>
        <v>3.75</v>
      </c>
      <c r="O92" s="5" t="str" cm="1">
        <f t="array" ref="O92">_xlfn.SWITCH(TRUE, N92&lt;=$Q$8, "Low", N92&gt;=$Q$9, "High", "Moderate")</f>
        <v>Moderate</v>
      </c>
      <c r="P92" s="5" t="str">
        <f t="shared" si="5"/>
        <v>Low</v>
      </c>
    </row>
    <row r="93" spans="1:16" x14ac:dyDescent="0.35">
      <c r="A93">
        <v>90</v>
      </c>
      <c r="B93" s="5">
        <v>4</v>
      </c>
      <c r="C93" s="5">
        <v>1</v>
      </c>
      <c r="D93" s="5">
        <v>3</v>
      </c>
      <c r="E93" s="5">
        <v>4</v>
      </c>
      <c r="F93" s="5">
        <v>5</v>
      </c>
      <c r="G93" s="5">
        <v>5</v>
      </c>
      <c r="H93" s="5">
        <v>4</v>
      </c>
      <c r="I93" s="5">
        <v>4</v>
      </c>
      <c r="J93" s="5">
        <v>4</v>
      </c>
      <c r="K93" s="5">
        <v>1</v>
      </c>
      <c r="L93" s="5">
        <v>2</v>
      </c>
      <c r="M93" s="5">
        <v>2</v>
      </c>
      <c r="N93" s="16">
        <f t="shared" si="4"/>
        <v>3.25</v>
      </c>
      <c r="O93" s="5" t="str" cm="1">
        <f t="array" ref="O93">_xlfn.SWITCH(TRUE, N93&lt;=$Q$8, "Low", N93&gt;=$Q$9, "High", "Moderate")</f>
        <v>Low</v>
      </c>
      <c r="P93" s="5" t="str">
        <f t="shared" si="5"/>
        <v>Low</v>
      </c>
    </row>
    <row r="94" spans="1:16" x14ac:dyDescent="0.35">
      <c r="A94">
        <v>91</v>
      </c>
      <c r="B94" s="5">
        <v>4</v>
      </c>
      <c r="C94" s="5">
        <v>4</v>
      </c>
      <c r="D94" s="5">
        <v>3</v>
      </c>
      <c r="E94" s="5">
        <v>3</v>
      </c>
      <c r="F94" s="5">
        <v>3</v>
      </c>
      <c r="G94" s="5">
        <v>3</v>
      </c>
      <c r="H94" s="5">
        <v>5</v>
      </c>
      <c r="I94" s="5">
        <v>2</v>
      </c>
      <c r="J94" s="5">
        <v>3</v>
      </c>
      <c r="K94" s="5">
        <v>5</v>
      </c>
      <c r="L94" s="5">
        <v>2</v>
      </c>
      <c r="M94" s="5">
        <v>2</v>
      </c>
      <c r="N94" s="16">
        <f t="shared" si="4"/>
        <v>3.25</v>
      </c>
      <c r="O94" s="5" t="str" cm="1">
        <f t="array" ref="O94">_xlfn.SWITCH(TRUE, N94&lt;=$Q$8, "Low", N94&gt;=$Q$9, "High", "Moderate")</f>
        <v>Low</v>
      </c>
      <c r="P94" s="5" t="str">
        <f t="shared" si="5"/>
        <v>Low</v>
      </c>
    </row>
    <row r="95" spans="1:16" x14ac:dyDescent="0.35">
      <c r="A95">
        <v>92</v>
      </c>
      <c r="B95" s="5">
        <v>5</v>
      </c>
      <c r="C95" s="5">
        <v>5</v>
      </c>
      <c r="D95" s="5">
        <v>5</v>
      </c>
      <c r="E95" s="5">
        <v>4</v>
      </c>
      <c r="F95" s="5">
        <v>5</v>
      </c>
      <c r="G95" s="5">
        <v>2</v>
      </c>
      <c r="H95" s="5">
        <v>5</v>
      </c>
      <c r="I95" s="5">
        <v>4</v>
      </c>
      <c r="J95" s="5">
        <v>4</v>
      </c>
      <c r="K95" s="5">
        <v>4</v>
      </c>
      <c r="L95" s="5">
        <v>5</v>
      </c>
      <c r="M95" s="5">
        <v>5</v>
      </c>
      <c r="N95" s="16">
        <f t="shared" si="4"/>
        <v>4.416666666666667</v>
      </c>
      <c r="O95" s="5" t="str" cm="1">
        <f t="array" ref="O95">_xlfn.SWITCH(TRUE, N95&lt;=$Q$8, "Low", N95&gt;=$Q$9, "High", "Moderate")</f>
        <v>High</v>
      </c>
      <c r="P95" s="5" t="str">
        <f t="shared" si="5"/>
        <v>High</v>
      </c>
    </row>
    <row r="96" spans="1:16" x14ac:dyDescent="0.35">
      <c r="A96">
        <v>93</v>
      </c>
      <c r="B96" s="5">
        <v>5</v>
      </c>
      <c r="C96" s="5">
        <v>4</v>
      </c>
      <c r="D96" s="5">
        <v>5</v>
      </c>
      <c r="E96" s="5">
        <v>5</v>
      </c>
      <c r="F96" s="5">
        <v>5</v>
      </c>
      <c r="G96" s="5">
        <v>1</v>
      </c>
      <c r="H96" s="5">
        <v>4</v>
      </c>
      <c r="I96" s="5">
        <v>3</v>
      </c>
      <c r="J96" s="5">
        <v>4</v>
      </c>
      <c r="K96" s="5">
        <v>3</v>
      </c>
      <c r="L96" s="5">
        <v>5</v>
      </c>
      <c r="M96" s="5">
        <v>5</v>
      </c>
      <c r="N96" s="16">
        <f t="shared" si="4"/>
        <v>4.083333333333333</v>
      </c>
      <c r="O96" s="5" t="str" cm="1">
        <f t="array" ref="O96">_xlfn.SWITCH(TRUE, N96&lt;=$Q$8, "Low", N96&gt;=$Q$9, "High", "Moderate")</f>
        <v>High</v>
      </c>
      <c r="P96" s="5" t="str">
        <f t="shared" si="5"/>
        <v>High</v>
      </c>
    </row>
    <row r="97" spans="1:16" x14ac:dyDescent="0.35">
      <c r="A97">
        <v>94</v>
      </c>
      <c r="B97" s="5">
        <v>5</v>
      </c>
      <c r="C97" s="5">
        <v>1</v>
      </c>
      <c r="D97" s="5">
        <v>5</v>
      </c>
      <c r="E97" s="5">
        <v>5</v>
      </c>
      <c r="F97" s="5">
        <v>4</v>
      </c>
      <c r="G97" s="5">
        <v>5</v>
      </c>
      <c r="H97" s="5">
        <v>5</v>
      </c>
      <c r="I97" s="5">
        <v>5</v>
      </c>
      <c r="J97" s="5">
        <v>5</v>
      </c>
      <c r="K97" s="5">
        <v>5</v>
      </c>
      <c r="L97" s="5">
        <v>3</v>
      </c>
      <c r="M97" s="5">
        <v>5</v>
      </c>
      <c r="N97" s="16">
        <f t="shared" si="4"/>
        <v>4.416666666666667</v>
      </c>
      <c r="O97" s="5" t="str" cm="1">
        <f t="array" ref="O97">_xlfn.SWITCH(TRUE, N97&lt;=$Q$8, "Low", N97&gt;=$Q$9, "High", "Moderate")</f>
        <v>High</v>
      </c>
      <c r="P97" s="5" t="str">
        <f t="shared" si="5"/>
        <v>High</v>
      </c>
    </row>
    <row r="98" spans="1:16" x14ac:dyDescent="0.35">
      <c r="A98">
        <v>95</v>
      </c>
      <c r="B98" s="5">
        <v>5</v>
      </c>
      <c r="C98" s="5">
        <v>3</v>
      </c>
      <c r="D98" s="5">
        <v>5</v>
      </c>
      <c r="E98" s="5">
        <v>5</v>
      </c>
      <c r="F98" s="5">
        <v>5</v>
      </c>
      <c r="G98" s="5">
        <v>3</v>
      </c>
      <c r="H98" s="5">
        <v>5</v>
      </c>
      <c r="I98" s="5">
        <v>4</v>
      </c>
      <c r="J98" s="5">
        <v>5</v>
      </c>
      <c r="K98" s="5">
        <v>5</v>
      </c>
      <c r="L98" s="5">
        <v>5</v>
      </c>
      <c r="M98" s="5">
        <v>5</v>
      </c>
      <c r="N98" s="16">
        <f t="shared" si="4"/>
        <v>4.583333333333333</v>
      </c>
      <c r="O98" s="5" t="str" cm="1">
        <f t="array" ref="O98">_xlfn.SWITCH(TRUE, N98&lt;=$Q$8, "Low", N98&gt;=$Q$9, "High", "Moderate")</f>
        <v>High</v>
      </c>
      <c r="P98" s="5" t="str">
        <f t="shared" si="5"/>
        <v>High</v>
      </c>
    </row>
    <row r="99" spans="1:16" x14ac:dyDescent="0.35">
      <c r="A99">
        <v>96</v>
      </c>
      <c r="B99" s="5">
        <v>4</v>
      </c>
      <c r="C99" s="5">
        <v>5</v>
      </c>
      <c r="D99" s="5">
        <v>5</v>
      </c>
      <c r="E99" s="5">
        <v>4</v>
      </c>
      <c r="F99" s="5">
        <v>5</v>
      </c>
      <c r="G99" s="5">
        <v>1</v>
      </c>
      <c r="H99" s="5">
        <v>5</v>
      </c>
      <c r="I99" s="5">
        <v>4</v>
      </c>
      <c r="J99" s="5">
        <v>4</v>
      </c>
      <c r="K99" s="5">
        <v>5</v>
      </c>
      <c r="L99" s="5">
        <v>5</v>
      </c>
      <c r="M99" s="5">
        <v>5</v>
      </c>
      <c r="N99" s="16">
        <f t="shared" si="4"/>
        <v>4.333333333333333</v>
      </c>
      <c r="O99" s="5" t="str" cm="1">
        <f t="array" ref="O99">_xlfn.SWITCH(TRUE, N99&lt;=$Q$8, "Low", N99&gt;=$Q$9, "High", "Moderate")</f>
        <v>High</v>
      </c>
      <c r="P99" s="5" t="str">
        <f t="shared" si="5"/>
        <v>High</v>
      </c>
    </row>
    <row r="100" spans="1:16" x14ac:dyDescent="0.35">
      <c r="A100">
        <v>97</v>
      </c>
      <c r="B100" s="5">
        <v>4</v>
      </c>
      <c r="C100" s="5">
        <v>2</v>
      </c>
      <c r="D100" s="5">
        <v>3</v>
      </c>
      <c r="E100" s="5">
        <v>4</v>
      </c>
      <c r="F100" s="5">
        <v>5</v>
      </c>
      <c r="G100" s="5">
        <v>4</v>
      </c>
      <c r="H100" s="5">
        <v>3</v>
      </c>
      <c r="I100" s="5">
        <v>3</v>
      </c>
      <c r="J100" s="5">
        <v>3</v>
      </c>
      <c r="K100" s="5">
        <v>3</v>
      </c>
      <c r="L100" s="5">
        <v>3</v>
      </c>
      <c r="M100" s="5">
        <v>3</v>
      </c>
      <c r="N100" s="16">
        <f t="shared" si="4"/>
        <v>3.3333333333333335</v>
      </c>
      <c r="O100" s="5" t="str" cm="1">
        <f t="array" ref="O100">_xlfn.SWITCH(TRUE, N100&lt;=$Q$8, "Low", N100&gt;=$Q$9, "High", "Moderate")</f>
        <v>Low</v>
      </c>
      <c r="P100" s="5" t="str">
        <f t="shared" si="5"/>
        <v>Low</v>
      </c>
    </row>
    <row r="101" spans="1:16" x14ac:dyDescent="0.35">
      <c r="A101">
        <v>98</v>
      </c>
      <c r="B101" s="5">
        <v>5</v>
      </c>
      <c r="C101" s="5">
        <v>4</v>
      </c>
      <c r="D101" s="5">
        <v>5</v>
      </c>
      <c r="E101" s="5">
        <v>4</v>
      </c>
      <c r="F101" s="5">
        <v>5</v>
      </c>
      <c r="G101" s="5">
        <v>3</v>
      </c>
      <c r="H101" s="5">
        <v>4</v>
      </c>
      <c r="I101" s="5">
        <v>3</v>
      </c>
      <c r="J101" s="5">
        <v>3</v>
      </c>
      <c r="K101" s="5">
        <v>4</v>
      </c>
      <c r="L101" s="5">
        <v>5</v>
      </c>
      <c r="M101" s="5">
        <v>5</v>
      </c>
      <c r="N101" s="16">
        <f t="shared" si="4"/>
        <v>4.166666666666667</v>
      </c>
      <c r="O101" s="5" t="str" cm="1">
        <f t="array" ref="O101">_xlfn.SWITCH(TRUE, N101&lt;=$Q$8, "Low", N101&gt;=$Q$9, "High", "Moderate")</f>
        <v>High</v>
      </c>
      <c r="P101" s="5" t="str">
        <f t="shared" si="5"/>
        <v>High</v>
      </c>
    </row>
    <row r="102" spans="1:16" x14ac:dyDescent="0.35">
      <c r="A102">
        <v>99</v>
      </c>
      <c r="B102" s="5">
        <v>4</v>
      </c>
      <c r="C102" s="5">
        <v>3</v>
      </c>
      <c r="D102" s="5">
        <v>5</v>
      </c>
      <c r="E102" s="5">
        <v>2</v>
      </c>
      <c r="F102" s="5">
        <v>4</v>
      </c>
      <c r="G102" s="5">
        <v>2</v>
      </c>
      <c r="H102" s="5">
        <v>2</v>
      </c>
      <c r="I102" s="5">
        <v>2</v>
      </c>
      <c r="J102" s="5">
        <v>4</v>
      </c>
      <c r="K102" s="5">
        <v>4</v>
      </c>
      <c r="L102" s="5">
        <v>2</v>
      </c>
      <c r="M102" s="5">
        <v>3</v>
      </c>
      <c r="N102" s="16">
        <f t="shared" si="4"/>
        <v>3.0833333333333335</v>
      </c>
      <c r="O102" s="5" t="str" cm="1">
        <f t="array" ref="O102">_xlfn.SWITCH(TRUE, N102&lt;=$Q$8, "Low", N102&gt;=$Q$9, "High", "Moderate")</f>
        <v>Low</v>
      </c>
      <c r="P102" s="5" t="str">
        <f t="shared" si="5"/>
        <v>Low</v>
      </c>
    </row>
    <row r="103" spans="1:16" x14ac:dyDescent="0.35">
      <c r="A103">
        <v>100</v>
      </c>
      <c r="B103" s="5">
        <v>4</v>
      </c>
      <c r="C103" s="5">
        <v>5</v>
      </c>
      <c r="D103" s="5">
        <v>5</v>
      </c>
      <c r="E103" s="5">
        <v>3</v>
      </c>
      <c r="F103" s="5">
        <v>5</v>
      </c>
      <c r="G103" s="5">
        <v>1</v>
      </c>
      <c r="H103" s="5">
        <v>5</v>
      </c>
      <c r="I103" s="5">
        <v>3</v>
      </c>
      <c r="J103" s="5">
        <v>2</v>
      </c>
      <c r="K103" s="5">
        <v>4</v>
      </c>
      <c r="L103" s="5">
        <v>4</v>
      </c>
      <c r="M103" s="5">
        <v>3</v>
      </c>
      <c r="N103" s="16">
        <f t="shared" si="4"/>
        <v>3.6666666666666665</v>
      </c>
      <c r="O103" s="5" t="str" cm="1">
        <f t="array" ref="O103">_xlfn.SWITCH(TRUE, N103&lt;=$Q$8, "Low", N103&gt;=$Q$9, "High", "Moderate")</f>
        <v>Moderate</v>
      </c>
      <c r="P103" s="5" t="str">
        <f t="shared" si="5"/>
        <v>Low</v>
      </c>
    </row>
    <row r="104" spans="1:16" x14ac:dyDescent="0.35">
      <c r="A104">
        <v>101</v>
      </c>
      <c r="B104" s="5">
        <v>5</v>
      </c>
      <c r="C104" s="5">
        <v>4</v>
      </c>
      <c r="D104" s="5">
        <v>4</v>
      </c>
      <c r="E104" s="5">
        <v>4</v>
      </c>
      <c r="F104" s="5">
        <v>5</v>
      </c>
      <c r="G104" s="5">
        <v>2</v>
      </c>
      <c r="H104" s="5">
        <v>4</v>
      </c>
      <c r="I104" s="5">
        <v>4</v>
      </c>
      <c r="J104" s="5">
        <v>3</v>
      </c>
      <c r="K104" s="5">
        <v>3</v>
      </c>
      <c r="L104" s="5">
        <v>5</v>
      </c>
      <c r="M104" s="5">
        <v>4</v>
      </c>
      <c r="N104" s="16">
        <f t="shared" si="4"/>
        <v>3.9166666666666665</v>
      </c>
      <c r="O104" s="5" t="str" cm="1">
        <f t="array" ref="O104">_xlfn.SWITCH(TRUE, N104&lt;=$Q$8, "Low", N104&gt;=$Q$9, "High", "Moderate")</f>
        <v>Moderate</v>
      </c>
      <c r="P104" s="5" t="str">
        <f t="shared" si="5"/>
        <v>High</v>
      </c>
    </row>
    <row r="105" spans="1:16" x14ac:dyDescent="0.35">
      <c r="A105">
        <v>102</v>
      </c>
      <c r="B105" s="5">
        <v>4</v>
      </c>
      <c r="C105" s="5">
        <v>3</v>
      </c>
      <c r="D105" s="5">
        <v>3</v>
      </c>
      <c r="E105" s="5">
        <v>3</v>
      </c>
      <c r="F105" s="5">
        <v>4</v>
      </c>
      <c r="G105" s="5">
        <v>3</v>
      </c>
      <c r="H105" s="5">
        <v>4</v>
      </c>
      <c r="I105" s="5">
        <v>4</v>
      </c>
      <c r="J105" s="5">
        <v>3</v>
      </c>
      <c r="K105" s="5">
        <v>3</v>
      </c>
      <c r="L105" s="5">
        <v>4</v>
      </c>
      <c r="M105" s="5">
        <v>4</v>
      </c>
      <c r="N105" s="16">
        <f t="shared" si="4"/>
        <v>3.5</v>
      </c>
      <c r="O105" s="5" t="str" cm="1">
        <f t="array" ref="O105">_xlfn.SWITCH(TRUE, N105&lt;=$Q$8, "Low", N105&gt;=$Q$9, "High", "Moderate")</f>
        <v>Low</v>
      </c>
      <c r="P105" s="5" t="str">
        <f t="shared" si="5"/>
        <v>Low</v>
      </c>
    </row>
    <row r="106" spans="1:16" x14ac:dyDescent="0.35">
      <c r="A106">
        <v>103</v>
      </c>
      <c r="B106" s="5">
        <v>5</v>
      </c>
      <c r="C106" s="5">
        <v>5</v>
      </c>
      <c r="D106" s="5">
        <v>5</v>
      </c>
      <c r="E106" s="5">
        <v>5</v>
      </c>
      <c r="F106" s="5">
        <v>5</v>
      </c>
      <c r="G106" s="5">
        <v>1</v>
      </c>
      <c r="H106" s="5">
        <v>5</v>
      </c>
      <c r="I106" s="5">
        <v>2</v>
      </c>
      <c r="J106" s="5">
        <v>5</v>
      </c>
      <c r="K106" s="5">
        <v>5</v>
      </c>
      <c r="L106" s="5">
        <v>5</v>
      </c>
      <c r="M106" s="5">
        <v>5</v>
      </c>
      <c r="N106" s="16">
        <f t="shared" si="4"/>
        <v>4.416666666666667</v>
      </c>
      <c r="O106" s="5" t="str" cm="1">
        <f t="array" ref="O106">_xlfn.SWITCH(TRUE, N106&lt;=$Q$8, "Low", N106&gt;=$Q$9, "High", "Moderate")</f>
        <v>High</v>
      </c>
      <c r="P106" s="5" t="str">
        <f t="shared" si="5"/>
        <v>High</v>
      </c>
    </row>
    <row r="107" spans="1:16" x14ac:dyDescent="0.35">
      <c r="A107">
        <v>104</v>
      </c>
      <c r="B107" s="5">
        <v>5</v>
      </c>
      <c r="C107" s="5">
        <v>3</v>
      </c>
      <c r="D107" s="5">
        <v>4</v>
      </c>
      <c r="E107" s="5">
        <v>3</v>
      </c>
      <c r="F107" s="5">
        <v>5</v>
      </c>
      <c r="G107" s="5">
        <v>3</v>
      </c>
      <c r="H107" s="5">
        <v>3</v>
      </c>
      <c r="I107" s="5">
        <v>3</v>
      </c>
      <c r="J107" s="5">
        <v>3</v>
      </c>
      <c r="K107" s="5">
        <v>3</v>
      </c>
      <c r="L107" s="5">
        <v>4</v>
      </c>
      <c r="M107" s="5">
        <v>4</v>
      </c>
      <c r="N107" s="16">
        <f t="shared" si="4"/>
        <v>3.5833333333333335</v>
      </c>
      <c r="O107" s="5" t="str" cm="1">
        <f t="array" ref="O107">_xlfn.SWITCH(TRUE, N107&lt;=$Q$8, "Low", N107&gt;=$Q$9, "High", "Moderate")</f>
        <v>Low</v>
      </c>
      <c r="P107" s="5" t="str">
        <f t="shared" si="5"/>
        <v>Low</v>
      </c>
    </row>
    <row r="108" spans="1:16" x14ac:dyDescent="0.35">
      <c r="A108">
        <v>105</v>
      </c>
      <c r="B108" s="5">
        <v>5</v>
      </c>
      <c r="C108" s="5">
        <v>3</v>
      </c>
      <c r="D108" s="5">
        <v>5</v>
      </c>
      <c r="E108" s="5">
        <v>5</v>
      </c>
      <c r="F108" s="5">
        <v>5</v>
      </c>
      <c r="G108" s="5">
        <v>2</v>
      </c>
      <c r="H108" s="5">
        <v>5</v>
      </c>
      <c r="I108" s="5">
        <v>5</v>
      </c>
      <c r="J108" s="5">
        <v>5</v>
      </c>
      <c r="K108" s="5">
        <v>5</v>
      </c>
      <c r="L108" s="5">
        <v>1</v>
      </c>
      <c r="M108" s="5">
        <v>5</v>
      </c>
      <c r="N108" s="16">
        <f t="shared" si="4"/>
        <v>4.25</v>
      </c>
      <c r="O108" s="5" t="str" cm="1">
        <f t="array" ref="O108">_xlfn.SWITCH(TRUE, N108&lt;=$Q$8, "Low", N108&gt;=$Q$9, "High", "Moderate")</f>
        <v>High</v>
      </c>
      <c r="P108" s="5" t="str">
        <f t="shared" si="5"/>
        <v>High</v>
      </c>
    </row>
    <row r="109" spans="1:16" x14ac:dyDescent="0.35">
      <c r="A109">
        <v>106</v>
      </c>
      <c r="B109" s="5">
        <v>5</v>
      </c>
      <c r="C109" s="5">
        <v>5</v>
      </c>
      <c r="D109" s="5">
        <v>5</v>
      </c>
      <c r="E109" s="5">
        <v>5</v>
      </c>
      <c r="F109" s="5">
        <v>5</v>
      </c>
      <c r="G109" s="5">
        <v>1</v>
      </c>
      <c r="H109" s="5">
        <v>4</v>
      </c>
      <c r="I109" s="5">
        <v>2</v>
      </c>
      <c r="J109" s="5">
        <v>4</v>
      </c>
      <c r="K109" s="5">
        <v>4</v>
      </c>
      <c r="L109" s="5">
        <v>5</v>
      </c>
      <c r="M109" s="5">
        <v>5</v>
      </c>
    </row>
    <row r="110" spans="1:16" x14ac:dyDescent="0.35">
      <c r="A110">
        <v>107</v>
      </c>
      <c r="B110" s="5">
        <v>5</v>
      </c>
      <c r="C110" s="5">
        <v>4</v>
      </c>
      <c r="D110" s="5">
        <v>4</v>
      </c>
      <c r="E110" s="5">
        <v>5</v>
      </c>
      <c r="F110" s="5">
        <v>3</v>
      </c>
      <c r="G110" s="5">
        <v>2</v>
      </c>
      <c r="H110" s="5">
        <v>4</v>
      </c>
      <c r="I110" s="5">
        <v>4</v>
      </c>
      <c r="J110" s="5">
        <v>4</v>
      </c>
      <c r="K110" s="5">
        <v>4</v>
      </c>
      <c r="L110" s="5">
        <v>3</v>
      </c>
      <c r="M110" s="5">
        <v>4</v>
      </c>
    </row>
    <row r="111" spans="1:16" x14ac:dyDescent="0.35">
      <c r="A111">
        <v>108</v>
      </c>
      <c r="B111" s="5">
        <v>4</v>
      </c>
      <c r="C111" s="5">
        <v>4</v>
      </c>
      <c r="D111" s="5">
        <v>4</v>
      </c>
      <c r="E111" s="5">
        <v>3</v>
      </c>
      <c r="F111" s="5">
        <v>5</v>
      </c>
      <c r="G111" s="5">
        <v>3</v>
      </c>
      <c r="H111" s="5">
        <v>4</v>
      </c>
      <c r="I111" s="5">
        <v>4</v>
      </c>
      <c r="J111" s="5">
        <v>3</v>
      </c>
      <c r="K111" s="5">
        <v>5</v>
      </c>
      <c r="L111" s="5">
        <v>5</v>
      </c>
      <c r="M111" s="5">
        <v>4</v>
      </c>
    </row>
    <row r="112" spans="1:16" x14ac:dyDescent="0.35">
      <c r="A112">
        <v>109</v>
      </c>
      <c r="B112" s="5">
        <v>4</v>
      </c>
      <c r="C112" s="5">
        <v>2</v>
      </c>
      <c r="D112" s="5">
        <v>2</v>
      </c>
      <c r="E112" s="5">
        <v>5</v>
      </c>
      <c r="F112" s="5">
        <v>5</v>
      </c>
      <c r="G112" s="5">
        <v>1</v>
      </c>
      <c r="H112" s="5">
        <v>4</v>
      </c>
      <c r="I112" s="5">
        <v>2</v>
      </c>
      <c r="J112" s="5">
        <v>3</v>
      </c>
      <c r="K112" s="5">
        <v>3</v>
      </c>
      <c r="L112" s="5">
        <v>1</v>
      </c>
      <c r="M112" s="5">
        <v>4</v>
      </c>
    </row>
    <row r="113" spans="1:13" x14ac:dyDescent="0.35">
      <c r="A113">
        <v>110</v>
      </c>
      <c r="B113" s="5">
        <v>4</v>
      </c>
      <c r="C113" s="5">
        <v>4</v>
      </c>
      <c r="D113" s="5">
        <v>3</v>
      </c>
      <c r="E113" s="5">
        <v>3</v>
      </c>
      <c r="F113" s="5">
        <v>5</v>
      </c>
      <c r="G113" s="5">
        <v>1</v>
      </c>
      <c r="H113" s="5">
        <v>4</v>
      </c>
      <c r="I113" s="5">
        <v>3</v>
      </c>
      <c r="J113" s="5">
        <v>4</v>
      </c>
      <c r="K113" s="5">
        <v>4</v>
      </c>
      <c r="L113" s="5">
        <v>4</v>
      </c>
      <c r="M113" s="5">
        <v>5</v>
      </c>
    </row>
    <row r="114" spans="1:13" x14ac:dyDescent="0.35">
      <c r="A114">
        <v>111</v>
      </c>
      <c r="B114" s="5">
        <v>5</v>
      </c>
      <c r="C114" s="5">
        <v>4</v>
      </c>
      <c r="D114" s="5">
        <v>5</v>
      </c>
      <c r="E114" s="5">
        <v>5</v>
      </c>
      <c r="F114" s="5">
        <v>5</v>
      </c>
      <c r="G114" s="5">
        <v>2</v>
      </c>
      <c r="H114" s="5">
        <v>5</v>
      </c>
      <c r="I114" s="5">
        <v>5</v>
      </c>
      <c r="J114" s="5">
        <v>4</v>
      </c>
      <c r="K114" s="5">
        <v>5</v>
      </c>
      <c r="L114" s="5">
        <v>2</v>
      </c>
      <c r="M114" s="5">
        <v>5</v>
      </c>
    </row>
    <row r="115" spans="1:13" x14ac:dyDescent="0.35">
      <c r="A115">
        <v>112</v>
      </c>
      <c r="B115" s="5">
        <v>5</v>
      </c>
      <c r="C115" s="5">
        <v>2</v>
      </c>
      <c r="D115" s="5">
        <v>3</v>
      </c>
      <c r="E115" s="5">
        <v>1</v>
      </c>
      <c r="F115" s="5">
        <v>5</v>
      </c>
      <c r="G115" s="5">
        <v>2</v>
      </c>
      <c r="H115" s="5">
        <v>1</v>
      </c>
      <c r="I115" s="5">
        <v>4</v>
      </c>
      <c r="J115" s="5">
        <v>1</v>
      </c>
      <c r="K115" s="5">
        <v>5</v>
      </c>
      <c r="L115" s="5">
        <v>5</v>
      </c>
      <c r="M115" s="5">
        <v>2</v>
      </c>
    </row>
    <row r="116" spans="1:13" x14ac:dyDescent="0.35">
      <c r="A116">
        <v>113</v>
      </c>
      <c r="B116" s="5">
        <v>5</v>
      </c>
      <c r="C116" s="5">
        <v>5</v>
      </c>
      <c r="D116" s="5">
        <v>5</v>
      </c>
      <c r="E116" s="5">
        <v>3</v>
      </c>
      <c r="F116" s="5">
        <v>5</v>
      </c>
      <c r="G116" s="5">
        <v>1</v>
      </c>
      <c r="H116" s="5">
        <v>4</v>
      </c>
      <c r="I116" s="5">
        <v>5</v>
      </c>
      <c r="J116" s="5">
        <v>4</v>
      </c>
      <c r="K116" s="5">
        <v>4</v>
      </c>
      <c r="L116" s="5">
        <v>5</v>
      </c>
      <c r="M116" s="5">
        <v>4</v>
      </c>
    </row>
    <row r="117" spans="1:13" x14ac:dyDescent="0.35">
      <c r="A117">
        <v>114</v>
      </c>
      <c r="B117" s="5">
        <v>4</v>
      </c>
      <c r="C117" s="5">
        <v>4</v>
      </c>
      <c r="D117" s="5">
        <v>5</v>
      </c>
      <c r="E117" s="5">
        <v>5</v>
      </c>
      <c r="F117" s="5">
        <v>5</v>
      </c>
      <c r="G117" s="5">
        <v>2</v>
      </c>
      <c r="H117" s="5">
        <v>5</v>
      </c>
      <c r="I117" s="5">
        <v>4</v>
      </c>
      <c r="J117" s="5">
        <v>5</v>
      </c>
      <c r="K117" s="5">
        <v>4</v>
      </c>
      <c r="L117" s="5">
        <v>3</v>
      </c>
      <c r="M117" s="5">
        <v>5</v>
      </c>
    </row>
    <row r="118" spans="1:13" x14ac:dyDescent="0.35">
      <c r="A118">
        <v>115</v>
      </c>
      <c r="B118" s="5">
        <v>4</v>
      </c>
      <c r="C118" s="5">
        <v>4</v>
      </c>
      <c r="D118" s="5">
        <v>3</v>
      </c>
      <c r="E118" s="5">
        <v>2</v>
      </c>
      <c r="F118" s="5">
        <v>5</v>
      </c>
      <c r="G118" s="5">
        <v>2</v>
      </c>
      <c r="H118" s="5">
        <v>4</v>
      </c>
      <c r="I118" s="5">
        <v>5</v>
      </c>
      <c r="J118" s="5">
        <v>3</v>
      </c>
      <c r="K118" s="5">
        <v>4</v>
      </c>
      <c r="L118" s="5">
        <v>2</v>
      </c>
      <c r="M118" s="5">
        <v>3</v>
      </c>
    </row>
    <row r="119" spans="1:13" x14ac:dyDescent="0.35">
      <c r="A119">
        <v>116</v>
      </c>
      <c r="B119" s="5">
        <v>4</v>
      </c>
      <c r="C119" s="5">
        <v>5</v>
      </c>
      <c r="D119" s="5">
        <v>3</v>
      </c>
      <c r="E119" s="5">
        <v>2</v>
      </c>
      <c r="F119" s="5">
        <v>4</v>
      </c>
      <c r="G119" s="5">
        <v>1</v>
      </c>
      <c r="H119" s="5">
        <v>4</v>
      </c>
      <c r="I119" s="5">
        <v>1</v>
      </c>
      <c r="J119" s="5">
        <v>4</v>
      </c>
      <c r="K119" s="5">
        <v>3</v>
      </c>
      <c r="L119" s="5">
        <v>5</v>
      </c>
      <c r="M119" s="5">
        <v>2</v>
      </c>
    </row>
    <row r="120" spans="1:13" x14ac:dyDescent="0.35">
      <c r="A120">
        <v>117</v>
      </c>
      <c r="B120" s="5">
        <v>3</v>
      </c>
      <c r="C120" s="5">
        <v>2</v>
      </c>
      <c r="D120" s="5">
        <v>4</v>
      </c>
      <c r="E120" s="5">
        <v>2</v>
      </c>
      <c r="F120" s="5">
        <v>5</v>
      </c>
      <c r="G120" s="5">
        <v>3</v>
      </c>
      <c r="H120" s="5">
        <v>3</v>
      </c>
      <c r="I120" s="5">
        <v>3</v>
      </c>
      <c r="J120" s="5">
        <v>1</v>
      </c>
      <c r="K120" s="5">
        <v>3</v>
      </c>
      <c r="L120" s="5">
        <v>4</v>
      </c>
      <c r="M120" s="5">
        <v>2</v>
      </c>
    </row>
    <row r="121" spans="1:13" x14ac:dyDescent="0.35">
      <c r="A121">
        <v>118</v>
      </c>
      <c r="B121" s="5">
        <v>5</v>
      </c>
      <c r="C121" s="5">
        <v>4</v>
      </c>
      <c r="D121" s="5">
        <v>5</v>
      </c>
      <c r="E121" s="5">
        <v>4</v>
      </c>
      <c r="F121" s="5">
        <v>5</v>
      </c>
      <c r="G121" s="5">
        <v>2</v>
      </c>
      <c r="H121" s="5">
        <v>5</v>
      </c>
      <c r="I121" s="5">
        <v>3</v>
      </c>
      <c r="J121" s="5">
        <v>2</v>
      </c>
      <c r="K121" s="5">
        <v>4</v>
      </c>
      <c r="L121" s="5">
        <v>5</v>
      </c>
      <c r="M121" s="5">
        <v>4</v>
      </c>
    </row>
    <row r="122" spans="1:13" x14ac:dyDescent="0.35">
      <c r="A122">
        <v>119</v>
      </c>
      <c r="B122" s="5">
        <v>3</v>
      </c>
      <c r="C122" s="5">
        <v>4</v>
      </c>
      <c r="D122" s="5">
        <v>4</v>
      </c>
      <c r="E122" s="5">
        <v>2</v>
      </c>
      <c r="F122" s="5">
        <v>5</v>
      </c>
      <c r="G122" s="5">
        <v>1</v>
      </c>
      <c r="H122" s="5">
        <v>5</v>
      </c>
      <c r="I122" s="5">
        <v>3</v>
      </c>
      <c r="J122" s="5">
        <v>3</v>
      </c>
      <c r="K122" s="5">
        <v>5</v>
      </c>
      <c r="L122" s="5">
        <v>5</v>
      </c>
      <c r="M122" s="5">
        <v>4</v>
      </c>
    </row>
    <row r="123" spans="1:13" x14ac:dyDescent="0.35">
      <c r="A123">
        <v>120</v>
      </c>
      <c r="B123" s="5">
        <v>4</v>
      </c>
      <c r="C123" s="5">
        <v>3</v>
      </c>
      <c r="D123" s="5">
        <v>4</v>
      </c>
      <c r="E123" s="5">
        <v>3</v>
      </c>
      <c r="F123" s="5">
        <v>4</v>
      </c>
      <c r="G123" s="5">
        <v>3</v>
      </c>
      <c r="H123" s="5">
        <v>4</v>
      </c>
      <c r="I123" s="5">
        <v>4</v>
      </c>
      <c r="J123" s="5">
        <v>3</v>
      </c>
      <c r="K123" s="5">
        <v>3</v>
      </c>
      <c r="L123" s="5">
        <v>5</v>
      </c>
      <c r="M123" s="5">
        <v>2</v>
      </c>
    </row>
    <row r="124" spans="1:13" x14ac:dyDescent="0.35">
      <c r="A124">
        <v>121</v>
      </c>
      <c r="B124" s="5">
        <v>5</v>
      </c>
      <c r="C124" s="5">
        <v>4</v>
      </c>
      <c r="D124" s="5">
        <v>4</v>
      </c>
      <c r="E124" s="5">
        <v>3</v>
      </c>
      <c r="F124" s="5">
        <v>4</v>
      </c>
      <c r="G124" s="5">
        <v>3</v>
      </c>
      <c r="H124" s="5">
        <v>3</v>
      </c>
      <c r="I124" s="5">
        <v>4</v>
      </c>
      <c r="J124" s="5">
        <v>3</v>
      </c>
      <c r="K124" s="5">
        <v>4</v>
      </c>
      <c r="L124" s="5">
        <v>4</v>
      </c>
      <c r="M124" s="5">
        <v>4</v>
      </c>
    </row>
    <row r="125" spans="1:13" x14ac:dyDescent="0.35">
      <c r="A125">
        <v>122</v>
      </c>
      <c r="B125" s="5">
        <v>5</v>
      </c>
      <c r="C125" s="5">
        <v>2</v>
      </c>
      <c r="D125" s="5">
        <v>4</v>
      </c>
      <c r="E125" s="5">
        <v>5</v>
      </c>
      <c r="F125" s="5">
        <v>3</v>
      </c>
      <c r="G125" s="5">
        <v>3</v>
      </c>
      <c r="H125" s="5">
        <v>4</v>
      </c>
      <c r="I125" s="5">
        <v>5</v>
      </c>
      <c r="J125" s="5">
        <v>4</v>
      </c>
      <c r="K125" s="5">
        <v>4</v>
      </c>
      <c r="L125" s="5">
        <v>1</v>
      </c>
      <c r="M125" s="5">
        <v>4</v>
      </c>
    </row>
    <row r="126" spans="1:13" x14ac:dyDescent="0.35">
      <c r="A126">
        <v>123</v>
      </c>
      <c r="B126" s="5">
        <v>4</v>
      </c>
      <c r="C126" s="5">
        <v>3</v>
      </c>
      <c r="D126" s="5">
        <v>4</v>
      </c>
      <c r="E126" s="5">
        <v>4</v>
      </c>
      <c r="F126" s="5">
        <v>1</v>
      </c>
      <c r="G126" s="5">
        <v>2</v>
      </c>
      <c r="H126" s="5">
        <v>4</v>
      </c>
      <c r="I126" s="5">
        <v>4</v>
      </c>
      <c r="J126" s="5">
        <v>5</v>
      </c>
      <c r="K126" s="5">
        <v>5</v>
      </c>
      <c r="L126" s="5">
        <v>1</v>
      </c>
      <c r="M126" s="5">
        <v>2</v>
      </c>
    </row>
    <row r="127" spans="1:13" x14ac:dyDescent="0.35">
      <c r="A127">
        <v>124</v>
      </c>
      <c r="B127" s="5">
        <v>5</v>
      </c>
      <c r="C127" s="5">
        <v>5</v>
      </c>
      <c r="D127" s="5">
        <v>5</v>
      </c>
      <c r="E127" s="5">
        <v>5</v>
      </c>
      <c r="F127" s="5">
        <v>5</v>
      </c>
      <c r="G127" s="5">
        <v>1</v>
      </c>
      <c r="H127" s="5">
        <v>5</v>
      </c>
      <c r="I127" s="5">
        <v>5</v>
      </c>
      <c r="J127" s="5">
        <v>5</v>
      </c>
      <c r="K127" s="5">
        <v>5</v>
      </c>
      <c r="L127" s="5">
        <v>5</v>
      </c>
      <c r="M127" s="5">
        <v>5</v>
      </c>
    </row>
    <row r="128" spans="1:13" x14ac:dyDescent="0.35">
      <c r="A128">
        <v>125</v>
      </c>
      <c r="B128" s="5">
        <v>4</v>
      </c>
      <c r="C128" s="5">
        <v>4</v>
      </c>
      <c r="D128" s="5">
        <v>5</v>
      </c>
      <c r="E128" s="5">
        <v>4</v>
      </c>
      <c r="F128" s="5">
        <v>5</v>
      </c>
      <c r="G128" s="5">
        <v>1</v>
      </c>
      <c r="H128" s="5">
        <v>5</v>
      </c>
      <c r="I128" s="5">
        <v>5</v>
      </c>
      <c r="J128" s="5">
        <v>3</v>
      </c>
      <c r="K128" s="5">
        <v>5</v>
      </c>
      <c r="L128" s="5">
        <v>4</v>
      </c>
      <c r="M128" s="5">
        <v>5</v>
      </c>
    </row>
    <row r="129" spans="1:13" x14ac:dyDescent="0.35">
      <c r="A129">
        <v>126</v>
      </c>
      <c r="B129" s="5">
        <v>4</v>
      </c>
      <c r="C129" s="5">
        <v>4</v>
      </c>
      <c r="D129" s="5">
        <v>4</v>
      </c>
      <c r="E129" s="5">
        <v>4</v>
      </c>
      <c r="F129" s="5">
        <v>5</v>
      </c>
      <c r="G129" s="5">
        <v>2</v>
      </c>
      <c r="H129" s="5">
        <v>4</v>
      </c>
      <c r="I129" s="5">
        <v>4</v>
      </c>
      <c r="J129" s="5">
        <v>4</v>
      </c>
      <c r="K129" s="5">
        <v>4</v>
      </c>
      <c r="L129" s="5">
        <v>4</v>
      </c>
      <c r="M129" s="5">
        <v>4</v>
      </c>
    </row>
    <row r="130" spans="1:13" x14ac:dyDescent="0.35">
      <c r="A130">
        <v>127</v>
      </c>
      <c r="B130" s="5">
        <v>4</v>
      </c>
      <c r="C130" s="5">
        <v>4</v>
      </c>
      <c r="D130" s="5">
        <v>4</v>
      </c>
      <c r="E130" s="5">
        <v>4</v>
      </c>
      <c r="F130" s="5">
        <v>5</v>
      </c>
      <c r="G130" s="5">
        <v>1</v>
      </c>
      <c r="H130" s="5">
        <v>4</v>
      </c>
      <c r="I130" s="5">
        <v>3</v>
      </c>
      <c r="J130" s="5">
        <v>3</v>
      </c>
      <c r="K130" s="5">
        <v>3</v>
      </c>
      <c r="L130" s="5">
        <v>4</v>
      </c>
      <c r="M130" s="5">
        <v>3</v>
      </c>
    </row>
    <row r="131" spans="1:13" x14ac:dyDescent="0.35">
      <c r="A131">
        <v>128</v>
      </c>
      <c r="B131" s="5">
        <v>4</v>
      </c>
      <c r="C131" s="5">
        <v>2</v>
      </c>
      <c r="D131" s="5">
        <v>5</v>
      </c>
      <c r="E131" s="5">
        <v>4</v>
      </c>
      <c r="F131" s="5">
        <v>5</v>
      </c>
      <c r="G131" s="5">
        <v>2</v>
      </c>
      <c r="H131" s="5">
        <v>3</v>
      </c>
      <c r="I131" s="5">
        <v>4</v>
      </c>
      <c r="J131" s="5">
        <v>2</v>
      </c>
      <c r="K131" s="5">
        <v>3</v>
      </c>
      <c r="L131" s="5">
        <v>3</v>
      </c>
      <c r="M131" s="5">
        <v>4</v>
      </c>
    </row>
    <row r="132" spans="1:13" x14ac:dyDescent="0.35">
      <c r="A132">
        <v>129</v>
      </c>
      <c r="B132" s="5">
        <v>3</v>
      </c>
      <c r="C132" s="5">
        <v>4</v>
      </c>
      <c r="D132" s="5">
        <v>4</v>
      </c>
      <c r="E132" s="5">
        <v>4</v>
      </c>
      <c r="F132" s="5">
        <v>4</v>
      </c>
      <c r="G132" s="5">
        <v>2</v>
      </c>
      <c r="H132" s="5">
        <v>5</v>
      </c>
      <c r="I132" s="5">
        <v>3</v>
      </c>
      <c r="J132" s="5">
        <v>4</v>
      </c>
      <c r="K132" s="5">
        <v>4</v>
      </c>
      <c r="L132" s="5">
        <v>4</v>
      </c>
      <c r="M132" s="5">
        <v>3</v>
      </c>
    </row>
    <row r="133" spans="1:13" x14ac:dyDescent="0.35">
      <c r="A133">
        <v>130</v>
      </c>
      <c r="B133" s="5">
        <v>4</v>
      </c>
      <c r="C133" s="5">
        <v>4</v>
      </c>
      <c r="D133" s="5">
        <v>4</v>
      </c>
      <c r="E133" s="5">
        <v>4</v>
      </c>
      <c r="F133" s="5">
        <v>5</v>
      </c>
      <c r="G133" s="5">
        <v>2</v>
      </c>
      <c r="H133" s="5">
        <v>4</v>
      </c>
      <c r="I133" s="5">
        <v>3</v>
      </c>
      <c r="J133" s="5">
        <v>4</v>
      </c>
      <c r="K133" s="5">
        <v>3</v>
      </c>
      <c r="L133" s="5">
        <v>4</v>
      </c>
      <c r="M133" s="5">
        <v>5</v>
      </c>
    </row>
    <row r="134" spans="1:13" x14ac:dyDescent="0.35">
      <c r="A134">
        <v>131</v>
      </c>
      <c r="B134" s="5">
        <v>4</v>
      </c>
      <c r="C134" s="5">
        <v>4</v>
      </c>
      <c r="D134" s="5">
        <v>3</v>
      </c>
      <c r="E134" s="5">
        <v>3</v>
      </c>
      <c r="F134" s="5">
        <v>5</v>
      </c>
      <c r="G134" s="5">
        <v>3</v>
      </c>
      <c r="H134" s="5">
        <v>3</v>
      </c>
      <c r="I134" s="5">
        <v>2</v>
      </c>
      <c r="J134" s="5">
        <v>3</v>
      </c>
      <c r="K134" s="5">
        <v>5</v>
      </c>
      <c r="L134" s="5">
        <v>2</v>
      </c>
      <c r="M134" s="5">
        <v>3</v>
      </c>
    </row>
    <row r="135" spans="1:13" x14ac:dyDescent="0.35">
      <c r="A135">
        <v>132</v>
      </c>
      <c r="B135" s="5">
        <v>4</v>
      </c>
      <c r="C135" s="5">
        <v>5</v>
      </c>
      <c r="D135" s="5">
        <v>5</v>
      </c>
      <c r="E135" s="5">
        <v>4</v>
      </c>
      <c r="F135" s="5">
        <v>5</v>
      </c>
      <c r="G135" s="5">
        <v>2</v>
      </c>
      <c r="H135" s="5">
        <v>5</v>
      </c>
      <c r="I135" s="5">
        <v>4</v>
      </c>
      <c r="J135" s="5">
        <v>3</v>
      </c>
      <c r="K135" s="5">
        <v>4</v>
      </c>
      <c r="L135" s="5">
        <v>4</v>
      </c>
      <c r="M135" s="5">
        <v>4</v>
      </c>
    </row>
    <row r="136" spans="1:13" x14ac:dyDescent="0.35">
      <c r="A136">
        <v>133</v>
      </c>
      <c r="B136" s="5">
        <v>5</v>
      </c>
      <c r="C136" s="5">
        <v>2</v>
      </c>
      <c r="D136" s="5">
        <v>5</v>
      </c>
      <c r="E136" s="5">
        <v>5</v>
      </c>
      <c r="F136" s="5">
        <v>4</v>
      </c>
      <c r="G136" s="5">
        <v>2</v>
      </c>
      <c r="H136" s="5">
        <v>4</v>
      </c>
      <c r="I136" s="5">
        <v>4</v>
      </c>
      <c r="J136" s="5">
        <v>3</v>
      </c>
      <c r="K136" s="5">
        <v>4</v>
      </c>
      <c r="L136" s="5">
        <v>5</v>
      </c>
      <c r="M136" s="5">
        <v>3</v>
      </c>
    </row>
  </sheetData>
  <mergeCells count="1">
    <mergeCell ref="Q7:R7"/>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3BC6-FA84-4459-9540-AF00D278C7C7}">
  <sheetPr codeName="Worksheet______51">
    <tabColor theme="4" tint="0.39997558519241921"/>
  </sheetPr>
  <dimension ref="A1:AN136"/>
  <sheetViews>
    <sheetView workbookViewId="0">
      <selection activeCell="I12" sqref="I12"/>
    </sheetView>
  </sheetViews>
  <sheetFormatPr defaultRowHeight="14.5" x14ac:dyDescent="0.35"/>
  <cols>
    <col min="1" max="1" width="5.81640625" bestFit="1" customWidth="1"/>
    <col min="2" max="13" width="7.1796875" customWidth="1"/>
    <col min="14" max="14" width="6.453125" bestFit="1" customWidth="1"/>
    <col min="15" max="16" width="19.6328125" customWidth="1"/>
    <col min="17" max="17" width="8.7265625" customWidth="1"/>
    <col min="18" max="18" width="13.453125" bestFit="1" customWidth="1"/>
    <col min="19" max="19" width="3.81640625" bestFit="1" customWidth="1"/>
    <col min="20" max="20" width="8.7265625" customWidth="1"/>
    <col min="21" max="24" width="0" hidden="1" customWidth="1"/>
    <col min="26" max="29" width="0" hidden="1" customWidth="1"/>
    <col min="31" max="34" width="0" hidden="1" customWidth="1"/>
    <col min="36" max="39" width="0" hidden="1" customWidth="1"/>
  </cols>
  <sheetData>
    <row r="1" spans="1:40" x14ac:dyDescent="0.35">
      <c r="A1" s="4"/>
      <c r="B1" s="5">
        <v>3</v>
      </c>
      <c r="C1" s="5">
        <v>8</v>
      </c>
      <c r="D1" s="5">
        <v>14</v>
      </c>
      <c r="E1" s="5">
        <v>16</v>
      </c>
      <c r="F1" s="5">
        <v>19</v>
      </c>
      <c r="G1" s="5">
        <v>20</v>
      </c>
      <c r="H1" s="5">
        <v>24</v>
      </c>
      <c r="I1" s="5">
        <v>25</v>
      </c>
      <c r="J1" s="5">
        <v>31</v>
      </c>
      <c r="K1" s="5">
        <v>36</v>
      </c>
      <c r="L1" s="5">
        <v>41</v>
      </c>
      <c r="M1" s="5">
        <v>46</v>
      </c>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35">
      <c r="A2" s="4"/>
      <c r="B2" s="42" t="s">
        <v>591</v>
      </c>
      <c r="C2" s="42" t="s">
        <v>591</v>
      </c>
      <c r="D2" s="42" t="s">
        <v>591</v>
      </c>
      <c r="E2" s="42" t="s">
        <v>591</v>
      </c>
      <c r="F2" s="42" t="s">
        <v>591</v>
      </c>
      <c r="G2" s="42" t="s">
        <v>597</v>
      </c>
      <c r="H2" s="42" t="s">
        <v>591</v>
      </c>
      <c r="I2" s="42" t="s">
        <v>597</v>
      </c>
      <c r="J2" s="42" t="s">
        <v>591</v>
      </c>
      <c r="K2" s="42" t="s">
        <v>591</v>
      </c>
      <c r="L2" s="42" t="s">
        <v>591</v>
      </c>
      <c r="M2" s="42" t="s">
        <v>591</v>
      </c>
      <c r="N2" s="5"/>
      <c r="O2" s="5"/>
      <c r="P2" s="5"/>
      <c r="Q2" s="5"/>
      <c r="R2" s="5"/>
      <c r="S2" s="5"/>
      <c r="T2" s="5"/>
      <c r="U2" s="5"/>
      <c r="V2" s="5"/>
      <c r="W2" s="5"/>
      <c r="X2" s="5"/>
      <c r="Y2" s="5"/>
      <c r="Z2" s="5"/>
      <c r="AA2" s="5"/>
      <c r="AB2" s="5"/>
      <c r="AC2" s="5"/>
      <c r="AD2" s="5"/>
      <c r="AE2" s="5"/>
      <c r="AF2" s="5"/>
      <c r="AG2" s="5"/>
      <c r="AH2" s="5"/>
      <c r="AI2" s="5"/>
      <c r="AJ2" s="5"/>
      <c r="AK2" s="5"/>
      <c r="AL2" s="5"/>
      <c r="AM2" s="5"/>
      <c r="AN2" s="5"/>
    </row>
    <row r="3" spans="1:40" x14ac:dyDescent="0.35">
      <c r="A3" s="3" t="s">
        <v>599</v>
      </c>
      <c r="B3" s="3" t="s">
        <v>725</v>
      </c>
      <c r="C3" s="3" t="s">
        <v>729</v>
      </c>
      <c r="D3" s="3" t="s">
        <v>735</v>
      </c>
      <c r="E3" s="3" t="s">
        <v>737</v>
      </c>
      <c r="F3" s="3" t="s">
        <v>740</v>
      </c>
      <c r="G3" s="3" t="s">
        <v>741</v>
      </c>
      <c r="H3" s="3" t="s">
        <v>744</v>
      </c>
      <c r="I3" s="43" t="s">
        <v>745</v>
      </c>
      <c r="J3" s="3" t="s">
        <v>749</v>
      </c>
      <c r="K3" s="3" t="s">
        <v>753</v>
      </c>
      <c r="L3" s="3" t="s">
        <v>757</v>
      </c>
      <c r="M3" s="3" t="s">
        <v>761</v>
      </c>
      <c r="N3" s="5" t="s">
        <v>710</v>
      </c>
      <c r="O3" s="5" t="s">
        <v>774</v>
      </c>
      <c r="P3" s="5" t="s">
        <v>775</v>
      </c>
      <c r="Q3" s="5"/>
      <c r="R3" s="5"/>
      <c r="S3" s="5"/>
      <c r="T3" s="5"/>
      <c r="U3" s="5"/>
      <c r="V3" s="5"/>
      <c r="W3" s="5"/>
      <c r="X3" s="5"/>
      <c r="Y3" s="5"/>
      <c r="Z3" s="5"/>
      <c r="AA3" s="5"/>
      <c r="AB3" s="5"/>
      <c r="AC3" s="5"/>
      <c r="AD3" s="5"/>
      <c r="AE3" s="5"/>
      <c r="AF3" s="5"/>
      <c r="AG3" s="5"/>
      <c r="AH3" s="5"/>
      <c r="AI3" s="5"/>
      <c r="AJ3" s="5"/>
      <c r="AK3" s="5"/>
      <c r="AL3" s="5"/>
      <c r="AM3" s="5"/>
      <c r="AN3" s="5"/>
    </row>
    <row r="4" spans="1:40" x14ac:dyDescent="0.35">
      <c r="A4" s="5">
        <v>1</v>
      </c>
      <c r="B4" s="5">
        <v>5</v>
      </c>
      <c r="C4" s="5">
        <v>3</v>
      </c>
      <c r="D4" s="5">
        <v>5</v>
      </c>
      <c r="E4" s="5">
        <v>3</v>
      </c>
      <c r="F4" s="5">
        <v>3</v>
      </c>
      <c r="G4" s="5">
        <v>1</v>
      </c>
      <c r="H4" s="5">
        <v>4</v>
      </c>
      <c r="I4" s="5">
        <v>2</v>
      </c>
      <c r="J4" s="5">
        <v>5</v>
      </c>
      <c r="K4" s="5">
        <v>5</v>
      </c>
      <c r="L4" s="5">
        <v>4</v>
      </c>
      <c r="M4" s="5">
        <v>3</v>
      </c>
      <c r="N4" s="5">
        <f>AVERAGE(B4:M4)</f>
        <v>3.5833333333333335</v>
      </c>
      <c r="O4" s="5" t="str" cm="1">
        <f t="array" ref="O4">_xlfn.SWITCH(TRUE, M4&lt;$R$9, "Low", M4&gt;$R$10, "High", "Moderate")</f>
        <v>Moderate</v>
      </c>
      <c r="P4" s="5" t="str" cm="1">
        <f t="array" ref="P4">_xlfn.SWITCH(TRUE, M4&lt;$R$11, "Low", "High")</f>
        <v>High</v>
      </c>
      <c r="Q4" s="5"/>
      <c r="R4" s="5"/>
      <c r="S4" s="5"/>
      <c r="T4" s="5"/>
      <c r="W4" s="5"/>
      <c r="X4" s="5"/>
      <c r="Y4" s="5"/>
      <c r="Z4" s="5"/>
      <c r="AA4" s="5"/>
      <c r="AB4" s="5"/>
      <c r="AC4" s="5"/>
      <c r="AD4" s="5"/>
      <c r="AE4" s="5"/>
      <c r="AF4" s="5"/>
      <c r="AG4" s="5"/>
      <c r="AH4" s="5"/>
      <c r="AI4" s="5"/>
      <c r="AJ4" s="5"/>
      <c r="AK4" s="5"/>
      <c r="AL4" s="5"/>
      <c r="AM4" s="5"/>
      <c r="AN4" s="5"/>
    </row>
    <row r="5" spans="1:40" x14ac:dyDescent="0.35">
      <c r="A5" s="5">
        <v>2</v>
      </c>
      <c r="B5" s="5">
        <v>5</v>
      </c>
      <c r="C5" s="5">
        <v>4</v>
      </c>
      <c r="D5" s="5">
        <v>4</v>
      </c>
      <c r="E5" s="5">
        <v>5</v>
      </c>
      <c r="F5" s="5">
        <v>4</v>
      </c>
      <c r="G5" s="5">
        <v>1</v>
      </c>
      <c r="H5" s="5">
        <v>4</v>
      </c>
      <c r="I5" s="5">
        <v>4</v>
      </c>
      <c r="J5" s="5">
        <v>4</v>
      </c>
      <c r="K5" s="5">
        <v>3</v>
      </c>
      <c r="L5" s="5">
        <v>4</v>
      </c>
      <c r="M5" s="5">
        <v>2</v>
      </c>
      <c r="N5" s="5">
        <f t="shared" ref="N5:N68" si="0">AVERAGE(B5:M5)</f>
        <v>3.6666666666666665</v>
      </c>
      <c r="O5" s="5" t="str" cm="1">
        <f t="array" ref="O5">_xlfn.SWITCH(TRUE, M5&lt;$R$9, "Low", M5&gt;$R$10, "High", "Moderate")</f>
        <v>Moderate</v>
      </c>
      <c r="P5" s="5" t="str" cm="1">
        <f t="array" ref="P5">_xlfn.SWITCH(TRUE, M5&lt;$R$11, "Low", "High")</f>
        <v>High</v>
      </c>
      <c r="Q5" s="5"/>
      <c r="R5" s="5"/>
      <c r="S5" s="5"/>
      <c r="T5" s="5"/>
      <c r="W5" s="5"/>
      <c r="X5" s="5"/>
      <c r="Y5" s="5"/>
      <c r="Z5" s="5"/>
      <c r="AA5" s="5"/>
      <c r="AB5" s="5"/>
      <c r="AC5" s="5"/>
      <c r="AD5" s="5"/>
      <c r="AE5" s="5"/>
      <c r="AF5" s="5"/>
      <c r="AG5" s="5"/>
      <c r="AH5" s="5"/>
      <c r="AI5" s="5"/>
      <c r="AJ5" s="5"/>
      <c r="AK5" s="5"/>
      <c r="AL5" s="5"/>
      <c r="AM5" s="5"/>
      <c r="AN5" s="5"/>
    </row>
    <row r="6" spans="1:40" x14ac:dyDescent="0.35">
      <c r="A6" s="5">
        <v>3</v>
      </c>
      <c r="B6" s="5">
        <v>2</v>
      </c>
      <c r="C6" s="5">
        <v>5</v>
      </c>
      <c r="D6" s="5">
        <v>5</v>
      </c>
      <c r="E6" s="5">
        <v>5</v>
      </c>
      <c r="F6" s="5">
        <v>5</v>
      </c>
      <c r="G6" s="5">
        <v>1</v>
      </c>
      <c r="H6" s="5">
        <v>5</v>
      </c>
      <c r="I6" s="5">
        <v>5</v>
      </c>
      <c r="J6" s="5">
        <v>5</v>
      </c>
      <c r="K6" s="5">
        <v>5</v>
      </c>
      <c r="L6" s="5">
        <v>2</v>
      </c>
      <c r="M6" s="5">
        <v>2</v>
      </c>
      <c r="N6" s="5">
        <f t="shared" si="0"/>
        <v>3.9166666666666665</v>
      </c>
      <c r="O6" s="5" t="str" cm="1">
        <f t="array" ref="O6">_xlfn.SWITCH(TRUE, M6&lt;$R$9, "Low", M6&gt;$R$10, "High", "Moderate")</f>
        <v>Moderate</v>
      </c>
      <c r="P6" s="5" t="str" cm="1">
        <f t="array" ref="P6">_xlfn.SWITCH(TRUE, M6&lt;$R$11, "Low", "High")</f>
        <v>High</v>
      </c>
      <c r="Q6" s="5"/>
      <c r="R6" s="5"/>
      <c r="S6" s="5"/>
      <c r="T6" s="5"/>
      <c r="W6" s="5"/>
      <c r="X6" s="5"/>
      <c r="Y6" s="5"/>
      <c r="Z6" s="5"/>
      <c r="AA6" s="5"/>
      <c r="AB6" s="5"/>
      <c r="AC6" s="5"/>
      <c r="AD6" s="5"/>
      <c r="AE6" s="5"/>
      <c r="AF6" s="5"/>
      <c r="AG6" s="5"/>
      <c r="AH6" s="5"/>
      <c r="AI6" s="5"/>
      <c r="AJ6" s="5"/>
      <c r="AK6" s="5"/>
      <c r="AL6" s="5"/>
      <c r="AM6" s="5"/>
      <c r="AN6" s="5"/>
    </row>
    <row r="7" spans="1:40" x14ac:dyDescent="0.35">
      <c r="A7" s="5">
        <v>4</v>
      </c>
      <c r="B7" s="5">
        <v>4</v>
      </c>
      <c r="C7" s="5">
        <v>3</v>
      </c>
      <c r="D7" s="5">
        <v>5</v>
      </c>
      <c r="E7" s="5">
        <v>4</v>
      </c>
      <c r="F7" s="5">
        <v>5</v>
      </c>
      <c r="G7" s="5">
        <v>3</v>
      </c>
      <c r="H7" s="5">
        <v>4</v>
      </c>
      <c r="I7" s="5">
        <v>3</v>
      </c>
      <c r="J7" s="5">
        <v>4</v>
      </c>
      <c r="K7" s="5">
        <v>4</v>
      </c>
      <c r="L7" s="5">
        <v>3</v>
      </c>
      <c r="M7" s="5">
        <v>1</v>
      </c>
      <c r="N7" s="5">
        <f t="shared" si="0"/>
        <v>3.5833333333333335</v>
      </c>
      <c r="O7" s="5" t="str" cm="1">
        <f t="array" ref="O7">_xlfn.SWITCH(TRUE, M7&lt;$R$9, "Low", M7&gt;$R$10, "High", "Moderate")</f>
        <v>Low</v>
      </c>
      <c r="P7" s="5" t="str" cm="1">
        <f t="array" ref="P7">_xlfn.SWITCH(TRUE, M7&lt;$R$11, "Low", "High")</f>
        <v>Low</v>
      </c>
      <c r="Q7" s="5"/>
      <c r="R7" s="5"/>
      <c r="S7" s="5"/>
      <c r="T7" s="5"/>
      <c r="W7" s="5"/>
      <c r="X7" s="5"/>
      <c r="Y7" s="5"/>
      <c r="Z7" s="5"/>
      <c r="AA7" s="5"/>
      <c r="AB7" s="5"/>
      <c r="AC7" s="5"/>
      <c r="AD7" s="5"/>
      <c r="AE7" s="5"/>
      <c r="AF7" s="5"/>
      <c r="AG7" s="5"/>
      <c r="AH7" s="5"/>
      <c r="AI7" s="5"/>
      <c r="AJ7" s="5"/>
      <c r="AK7" s="5"/>
      <c r="AL7" s="5"/>
      <c r="AM7" s="5"/>
      <c r="AN7" s="5"/>
    </row>
    <row r="8" spans="1:40" x14ac:dyDescent="0.35">
      <c r="A8" s="5">
        <v>5</v>
      </c>
      <c r="B8" s="5">
        <v>4</v>
      </c>
      <c r="C8" s="5">
        <v>4</v>
      </c>
      <c r="D8" s="5">
        <v>4</v>
      </c>
      <c r="E8" s="5">
        <v>5</v>
      </c>
      <c r="F8" s="5">
        <v>4</v>
      </c>
      <c r="G8" s="5">
        <v>1</v>
      </c>
      <c r="H8" s="5">
        <v>4</v>
      </c>
      <c r="I8" s="5">
        <v>3</v>
      </c>
      <c r="J8" s="5">
        <v>5</v>
      </c>
      <c r="K8" s="5">
        <v>5</v>
      </c>
      <c r="L8" s="5">
        <v>4</v>
      </c>
      <c r="M8" s="5">
        <v>3</v>
      </c>
      <c r="N8" s="5">
        <f t="shared" si="0"/>
        <v>3.8333333333333335</v>
      </c>
      <c r="O8" s="5" t="str" cm="1">
        <f t="array" ref="O8">_xlfn.SWITCH(TRUE, M8&lt;$R$9, "Low", M8&gt;$R$10, "High", "Moderate")</f>
        <v>Moderate</v>
      </c>
      <c r="P8" s="5" t="str" cm="1">
        <f t="array" ref="P8">_xlfn.SWITCH(TRUE, M8&lt;$R$11, "Low", "High")</f>
        <v>High</v>
      </c>
      <c r="Q8" s="5"/>
      <c r="R8" s="53" t="s">
        <v>709</v>
      </c>
      <c r="S8" s="53"/>
      <c r="T8" s="5"/>
      <c r="W8" s="5"/>
      <c r="X8" s="5"/>
      <c r="Y8" s="5"/>
      <c r="Z8" s="5"/>
      <c r="AA8" s="5"/>
      <c r="AB8" s="5"/>
      <c r="AC8" s="5"/>
      <c r="AD8" s="5"/>
      <c r="AE8" s="5"/>
      <c r="AF8" s="5"/>
      <c r="AG8" s="5"/>
      <c r="AH8" s="5"/>
      <c r="AI8" s="5"/>
      <c r="AJ8" s="5"/>
      <c r="AK8" s="5"/>
      <c r="AL8" s="5"/>
      <c r="AM8" s="5"/>
      <c r="AN8" s="5"/>
    </row>
    <row r="9" spans="1:40" x14ac:dyDescent="0.35">
      <c r="A9" s="5">
        <v>6</v>
      </c>
      <c r="B9" s="5">
        <v>2</v>
      </c>
      <c r="C9" s="5">
        <v>2</v>
      </c>
      <c r="D9" s="5">
        <v>2</v>
      </c>
      <c r="E9" s="5">
        <v>3</v>
      </c>
      <c r="F9" s="5">
        <v>4</v>
      </c>
      <c r="G9" s="5">
        <v>4</v>
      </c>
      <c r="H9" s="5">
        <v>3</v>
      </c>
      <c r="I9" s="5">
        <v>3</v>
      </c>
      <c r="J9" s="5">
        <v>2</v>
      </c>
      <c r="K9" s="5">
        <v>3</v>
      </c>
      <c r="L9" s="5">
        <v>1</v>
      </c>
      <c r="M9" s="5">
        <v>1</v>
      </c>
      <c r="N9" s="5">
        <f t="shared" si="0"/>
        <v>2.5</v>
      </c>
      <c r="O9" s="5" t="str" cm="1">
        <f t="array" ref="O9">_xlfn.SWITCH(TRUE, M9&lt;$R$9, "Low", M9&gt;$R$10, "High", "Moderate")</f>
        <v>Low</v>
      </c>
      <c r="P9" s="5" t="str" cm="1">
        <f t="array" ref="P9">_xlfn.SWITCH(TRUE, M9&lt;$R$11, "Low", "High")</f>
        <v>Low</v>
      </c>
      <c r="Q9" s="5"/>
      <c r="R9" s="21">
        <f>_xlfn.PERCENTILE.EXC($M$4:$M$108,S9)</f>
        <v>2</v>
      </c>
      <c r="S9" s="15">
        <v>0.33333333333333331</v>
      </c>
      <c r="T9" s="5"/>
      <c r="W9" s="5"/>
      <c r="X9" s="5"/>
      <c r="Y9" s="5"/>
      <c r="Z9" s="5"/>
      <c r="AA9" s="5"/>
      <c r="AB9" s="5"/>
      <c r="AC9" s="5"/>
      <c r="AD9" s="5"/>
      <c r="AE9" s="5"/>
      <c r="AF9" s="5"/>
      <c r="AG9" s="5"/>
      <c r="AH9" s="5"/>
      <c r="AI9" s="5"/>
      <c r="AJ9" s="5"/>
      <c r="AK9" s="5"/>
      <c r="AL9" s="5"/>
      <c r="AM9" s="5"/>
      <c r="AN9" s="5"/>
    </row>
    <row r="10" spans="1:40" x14ac:dyDescent="0.35">
      <c r="A10" s="5">
        <v>7</v>
      </c>
      <c r="B10" s="5">
        <v>4</v>
      </c>
      <c r="C10" s="5">
        <v>3</v>
      </c>
      <c r="D10" s="5">
        <v>4</v>
      </c>
      <c r="E10" s="5">
        <v>3</v>
      </c>
      <c r="F10" s="5">
        <v>3</v>
      </c>
      <c r="G10" s="5">
        <v>3</v>
      </c>
      <c r="H10" s="5">
        <v>2</v>
      </c>
      <c r="I10" s="5">
        <v>3</v>
      </c>
      <c r="J10" s="5">
        <v>3</v>
      </c>
      <c r="K10" s="5">
        <v>3</v>
      </c>
      <c r="L10" s="5">
        <v>3</v>
      </c>
      <c r="M10" s="5">
        <v>2</v>
      </c>
      <c r="N10" s="5">
        <f t="shared" si="0"/>
        <v>3</v>
      </c>
      <c r="O10" s="5" t="str" cm="1">
        <f t="array" ref="O10">_xlfn.SWITCH(TRUE, M10&lt;$R$9, "Low", M10&gt;$R$10, "High", "Moderate")</f>
        <v>Moderate</v>
      </c>
      <c r="P10" s="5" t="str" cm="1">
        <f t="array" ref="P10">_xlfn.SWITCH(TRUE, M10&lt;$R$11, "Low", "High")</f>
        <v>High</v>
      </c>
      <c r="Q10" s="5"/>
      <c r="R10" s="21">
        <f t="shared" ref="R10:R11" si="1">_xlfn.PERCENTILE.EXC($M$4:$M$108,S10)</f>
        <v>3</v>
      </c>
      <c r="S10" s="15">
        <v>0.66666666666666663</v>
      </c>
      <c r="T10" s="5"/>
      <c r="W10" s="5"/>
      <c r="X10" s="5"/>
      <c r="Y10" s="5"/>
      <c r="Z10" s="5"/>
      <c r="AA10" s="5"/>
      <c r="AB10" s="5"/>
      <c r="AC10" s="5"/>
      <c r="AD10" s="5"/>
      <c r="AE10" s="5"/>
      <c r="AF10" s="5"/>
      <c r="AG10" s="5"/>
      <c r="AH10" s="5"/>
      <c r="AI10" s="5"/>
      <c r="AJ10" s="5"/>
      <c r="AK10" s="5"/>
      <c r="AL10" s="5"/>
      <c r="AM10" s="5"/>
      <c r="AN10" s="5"/>
    </row>
    <row r="11" spans="1:40" x14ac:dyDescent="0.35">
      <c r="A11" s="5">
        <v>8</v>
      </c>
      <c r="B11" s="5">
        <v>4</v>
      </c>
      <c r="C11" s="5">
        <v>4</v>
      </c>
      <c r="D11" s="5">
        <v>5</v>
      </c>
      <c r="E11" s="5">
        <v>5</v>
      </c>
      <c r="F11" s="5">
        <v>5</v>
      </c>
      <c r="G11" s="5">
        <v>2</v>
      </c>
      <c r="H11" s="5">
        <v>5</v>
      </c>
      <c r="I11" s="5">
        <v>4</v>
      </c>
      <c r="J11" s="5">
        <v>4</v>
      </c>
      <c r="K11" s="5">
        <v>4</v>
      </c>
      <c r="L11" s="5">
        <v>3</v>
      </c>
      <c r="M11" s="5">
        <v>3</v>
      </c>
      <c r="N11" s="5">
        <f t="shared" si="0"/>
        <v>4</v>
      </c>
      <c r="O11" s="5" t="str" cm="1">
        <f t="array" ref="O11">_xlfn.SWITCH(TRUE, M11&lt;$R$9, "Low", M11&gt;$R$10, "High", "Moderate")</f>
        <v>Moderate</v>
      </c>
      <c r="P11" s="5" t="str" cm="1">
        <f t="array" ref="P11">_xlfn.SWITCH(TRUE, M11&lt;$R$11, "Low", "High")</f>
        <v>High</v>
      </c>
      <c r="Q11" s="5"/>
      <c r="R11" s="21">
        <f t="shared" si="1"/>
        <v>2</v>
      </c>
      <c r="S11" s="15">
        <v>0.5</v>
      </c>
      <c r="T11" s="5"/>
      <c r="W11" s="5"/>
      <c r="X11" s="5"/>
      <c r="Y11" s="5"/>
      <c r="Z11" s="5"/>
      <c r="AA11" s="5"/>
      <c r="AB11" s="5"/>
      <c r="AC11" s="5"/>
      <c r="AD11" s="5"/>
      <c r="AE11" s="5"/>
      <c r="AF11" s="5"/>
      <c r="AG11" s="5"/>
      <c r="AH11" s="5"/>
      <c r="AI11" s="5"/>
      <c r="AJ11" s="5"/>
      <c r="AK11" s="5"/>
      <c r="AL11" s="5"/>
      <c r="AM11" s="5"/>
      <c r="AN11" s="5"/>
    </row>
    <row r="12" spans="1:40" x14ac:dyDescent="0.35">
      <c r="A12" s="5">
        <v>9</v>
      </c>
      <c r="B12" s="5">
        <v>4</v>
      </c>
      <c r="C12" s="5">
        <v>1</v>
      </c>
      <c r="D12" s="5">
        <v>5</v>
      </c>
      <c r="E12" s="5">
        <v>1</v>
      </c>
      <c r="F12" s="5">
        <v>1</v>
      </c>
      <c r="G12" s="5">
        <v>1</v>
      </c>
      <c r="H12" s="5">
        <v>1</v>
      </c>
      <c r="I12" s="5">
        <v>2</v>
      </c>
      <c r="J12" s="5">
        <v>5</v>
      </c>
      <c r="K12" s="5">
        <v>1</v>
      </c>
      <c r="L12" s="5">
        <v>1</v>
      </c>
      <c r="M12" s="5">
        <v>1</v>
      </c>
      <c r="N12" s="5">
        <f t="shared" si="0"/>
        <v>2</v>
      </c>
      <c r="O12" s="5" t="str" cm="1">
        <f t="array" ref="O12">_xlfn.SWITCH(TRUE, M12&lt;$R$9, "Low", M12&gt;$R$10, "High", "Moderate")</f>
        <v>Low</v>
      </c>
      <c r="P12" s="5" t="str" cm="1">
        <f t="array" ref="P12">_xlfn.SWITCH(TRUE, M12&lt;$R$11, "Low", "High")</f>
        <v>Low</v>
      </c>
      <c r="Q12" s="5"/>
      <c r="R12" s="5"/>
      <c r="S12" s="5"/>
      <c r="T12" s="5"/>
      <c r="W12" s="5"/>
      <c r="X12" s="5"/>
      <c r="Y12" s="5"/>
      <c r="Z12" s="5"/>
      <c r="AA12" s="5"/>
      <c r="AB12" s="5"/>
      <c r="AC12" s="5"/>
      <c r="AD12" s="5"/>
      <c r="AE12" s="5"/>
      <c r="AF12" s="5"/>
      <c r="AG12" s="5"/>
      <c r="AH12" s="5"/>
      <c r="AI12" s="5"/>
      <c r="AJ12" s="5"/>
      <c r="AK12" s="5"/>
      <c r="AL12" s="5"/>
      <c r="AM12" s="5"/>
      <c r="AN12" s="5"/>
    </row>
    <row r="13" spans="1:40" x14ac:dyDescent="0.35">
      <c r="A13" s="5">
        <v>10</v>
      </c>
      <c r="B13" s="5">
        <v>4</v>
      </c>
      <c r="C13" s="5">
        <v>4</v>
      </c>
      <c r="D13" s="5">
        <v>3</v>
      </c>
      <c r="E13" s="5">
        <v>4</v>
      </c>
      <c r="F13" s="5">
        <v>2</v>
      </c>
      <c r="G13" s="5">
        <v>2</v>
      </c>
      <c r="H13" s="5">
        <v>2</v>
      </c>
      <c r="I13" s="5">
        <v>3</v>
      </c>
      <c r="J13" s="5">
        <v>2</v>
      </c>
      <c r="K13" s="5">
        <v>2</v>
      </c>
      <c r="L13" s="5">
        <v>2</v>
      </c>
      <c r="M13" s="5">
        <v>2</v>
      </c>
      <c r="N13" s="5">
        <f t="shared" si="0"/>
        <v>2.6666666666666665</v>
      </c>
      <c r="O13" s="5" t="str" cm="1">
        <f t="array" ref="O13">_xlfn.SWITCH(TRUE, M13&lt;$R$9, "Low", M13&gt;$R$10, "High", "Moderate")</f>
        <v>Moderate</v>
      </c>
      <c r="P13" s="5" t="str" cm="1">
        <f t="array" ref="P13">_xlfn.SWITCH(TRUE, M13&lt;$R$11, "Low", "High")</f>
        <v>High</v>
      </c>
      <c r="Q13" s="5"/>
      <c r="R13" s="5"/>
      <c r="T13" s="5"/>
      <c r="W13" s="5"/>
      <c r="X13" s="5"/>
      <c r="Y13" s="5"/>
      <c r="Z13" s="5"/>
      <c r="AA13" s="5"/>
      <c r="AB13" s="5"/>
      <c r="AC13" s="5"/>
      <c r="AD13" s="5"/>
      <c r="AE13" s="5"/>
      <c r="AF13" s="5"/>
      <c r="AG13" s="5"/>
      <c r="AH13" s="5"/>
      <c r="AI13" s="5"/>
      <c r="AJ13" s="5"/>
      <c r="AK13" s="5"/>
      <c r="AL13" s="5"/>
      <c r="AM13" s="5"/>
      <c r="AN13" s="5"/>
    </row>
    <row r="14" spans="1:40" x14ac:dyDescent="0.35">
      <c r="A14" s="5">
        <v>11</v>
      </c>
      <c r="B14" s="5">
        <v>3</v>
      </c>
      <c r="C14" s="5">
        <v>2</v>
      </c>
      <c r="D14" s="5">
        <v>2</v>
      </c>
      <c r="E14" s="5">
        <v>4</v>
      </c>
      <c r="F14" s="5">
        <v>4</v>
      </c>
      <c r="G14" s="5">
        <v>4</v>
      </c>
      <c r="H14" s="5">
        <v>2</v>
      </c>
      <c r="I14" s="5">
        <v>2</v>
      </c>
      <c r="J14" s="5">
        <v>2</v>
      </c>
      <c r="K14" s="5">
        <v>1</v>
      </c>
      <c r="L14" s="5">
        <v>1</v>
      </c>
      <c r="M14" s="5">
        <v>2</v>
      </c>
      <c r="N14" s="5">
        <f t="shared" si="0"/>
        <v>2.4166666666666665</v>
      </c>
      <c r="O14" s="5" t="str" cm="1">
        <f t="array" ref="O14">_xlfn.SWITCH(TRUE, M14&lt;$R$9, "Low", M14&gt;$R$10, "High", "Moderate")</f>
        <v>Moderate</v>
      </c>
      <c r="P14" s="5" t="str" cm="1">
        <f t="array" ref="P14">_xlfn.SWITCH(TRUE, M14&lt;$R$11, "Low", "High")</f>
        <v>High</v>
      </c>
      <c r="Q14" s="5"/>
      <c r="R14" s="5"/>
      <c r="S14" s="5"/>
      <c r="T14" s="5"/>
      <c r="W14" s="5"/>
      <c r="X14" s="5"/>
      <c r="Y14" s="5"/>
      <c r="Z14" s="5"/>
      <c r="AA14" s="5"/>
      <c r="AB14" s="5"/>
      <c r="AC14" s="5"/>
      <c r="AD14" s="5"/>
      <c r="AE14" s="5"/>
      <c r="AF14" s="5"/>
      <c r="AG14" s="5"/>
      <c r="AH14" s="5"/>
      <c r="AI14" s="5"/>
      <c r="AJ14" s="5"/>
      <c r="AK14" s="5"/>
      <c r="AL14" s="5"/>
      <c r="AM14" s="5"/>
      <c r="AN14" s="5"/>
    </row>
    <row r="15" spans="1:40" x14ac:dyDescent="0.35">
      <c r="A15" s="5">
        <v>12</v>
      </c>
      <c r="B15" s="5">
        <v>2</v>
      </c>
      <c r="C15" s="5">
        <v>3</v>
      </c>
      <c r="D15" s="5">
        <v>3</v>
      </c>
      <c r="E15" s="5">
        <v>3</v>
      </c>
      <c r="F15" s="5">
        <v>3</v>
      </c>
      <c r="G15" s="5">
        <v>2</v>
      </c>
      <c r="H15" s="5">
        <v>3</v>
      </c>
      <c r="I15" s="5">
        <v>3</v>
      </c>
      <c r="J15" s="5">
        <v>3</v>
      </c>
      <c r="K15" s="5">
        <v>3</v>
      </c>
      <c r="L15" s="5">
        <v>2</v>
      </c>
      <c r="M15" s="5">
        <v>3</v>
      </c>
      <c r="N15" s="5">
        <f t="shared" si="0"/>
        <v>2.75</v>
      </c>
      <c r="O15" s="5" t="str" cm="1">
        <f t="array" ref="O15">_xlfn.SWITCH(TRUE, M15&lt;$R$9, "Low", M15&gt;$R$10, "High", "Moderate")</f>
        <v>Moderate</v>
      </c>
      <c r="P15" s="5" t="str" cm="1">
        <f t="array" ref="P15">_xlfn.SWITCH(TRUE, M15&lt;$R$11, "Low", "High")</f>
        <v>High</v>
      </c>
      <c r="Q15" s="5"/>
      <c r="R15" s="5"/>
      <c r="S15" s="5"/>
      <c r="T15" s="5"/>
      <c r="W15" s="5"/>
      <c r="X15" s="5"/>
      <c r="Y15" s="5"/>
      <c r="Z15" s="5"/>
      <c r="AA15" s="5"/>
      <c r="AB15" s="5"/>
      <c r="AC15" s="5"/>
      <c r="AD15" s="5"/>
      <c r="AE15" s="5"/>
      <c r="AF15" s="5"/>
      <c r="AG15" s="5"/>
      <c r="AH15" s="5"/>
      <c r="AI15" s="5"/>
      <c r="AJ15" s="5"/>
      <c r="AK15" s="5"/>
      <c r="AL15" s="5"/>
      <c r="AM15" s="5"/>
      <c r="AN15" s="5"/>
    </row>
    <row r="16" spans="1:40" x14ac:dyDescent="0.35">
      <c r="A16" s="5">
        <v>13</v>
      </c>
      <c r="B16" s="5">
        <v>2</v>
      </c>
      <c r="C16" s="5">
        <v>1</v>
      </c>
      <c r="D16" s="5">
        <v>3</v>
      </c>
      <c r="E16" s="5">
        <v>4</v>
      </c>
      <c r="F16" s="5">
        <v>4</v>
      </c>
      <c r="G16" s="5">
        <v>2</v>
      </c>
      <c r="H16" s="5">
        <v>3</v>
      </c>
      <c r="I16" s="5">
        <v>3</v>
      </c>
      <c r="J16" s="5">
        <v>2</v>
      </c>
      <c r="K16" s="5">
        <v>2</v>
      </c>
      <c r="L16" s="5">
        <v>1</v>
      </c>
      <c r="M16" s="5">
        <v>3</v>
      </c>
      <c r="N16" s="5">
        <f t="shared" si="0"/>
        <v>2.5</v>
      </c>
      <c r="O16" s="5" t="str" cm="1">
        <f t="array" ref="O16">_xlfn.SWITCH(TRUE, M16&lt;$R$9, "Low", M16&gt;$R$10, "High", "Moderate")</f>
        <v>Moderate</v>
      </c>
      <c r="P16" s="5" t="str" cm="1">
        <f t="array" ref="P16">_xlfn.SWITCH(TRUE, M16&lt;$R$11, "Low", "High")</f>
        <v>High</v>
      </c>
      <c r="Q16" s="5"/>
      <c r="R16" s="5"/>
      <c r="S16" s="5"/>
      <c r="T16" s="5"/>
      <c r="W16" s="5"/>
      <c r="X16" s="5"/>
      <c r="Y16" s="5"/>
      <c r="Z16" s="5"/>
      <c r="AA16" s="5"/>
      <c r="AB16" s="5"/>
      <c r="AC16" s="5"/>
      <c r="AD16" s="5"/>
      <c r="AE16" s="5"/>
      <c r="AF16" s="5"/>
      <c r="AG16" s="5"/>
      <c r="AH16" s="5"/>
      <c r="AI16" s="5"/>
      <c r="AJ16" s="5"/>
      <c r="AK16" s="5"/>
      <c r="AL16" s="5"/>
      <c r="AM16" s="5"/>
      <c r="AN16" s="5"/>
    </row>
    <row r="17" spans="1:40" x14ac:dyDescent="0.35">
      <c r="A17" s="5">
        <v>14</v>
      </c>
      <c r="B17" s="5">
        <v>4</v>
      </c>
      <c r="C17" s="5">
        <v>2</v>
      </c>
      <c r="D17" s="5">
        <v>4</v>
      </c>
      <c r="E17" s="5">
        <v>2</v>
      </c>
      <c r="F17" s="5">
        <v>1</v>
      </c>
      <c r="G17" s="5">
        <v>1</v>
      </c>
      <c r="H17" s="5">
        <v>1</v>
      </c>
      <c r="I17" s="5">
        <v>2</v>
      </c>
      <c r="J17" s="5">
        <v>4</v>
      </c>
      <c r="K17" s="5">
        <v>2</v>
      </c>
      <c r="L17" s="5">
        <v>3</v>
      </c>
      <c r="M17" s="5">
        <v>1</v>
      </c>
      <c r="N17" s="5">
        <f t="shared" si="0"/>
        <v>2.25</v>
      </c>
      <c r="O17" s="5" t="str" cm="1">
        <f t="array" ref="O17">_xlfn.SWITCH(TRUE, M17&lt;$R$9, "Low", M17&gt;$R$10, "High", "Moderate")</f>
        <v>Low</v>
      </c>
      <c r="P17" s="5" t="str" cm="1">
        <f t="array" ref="P17">_xlfn.SWITCH(TRUE, M17&lt;$R$11, "Low", "High")</f>
        <v>Low</v>
      </c>
      <c r="Q17" s="5"/>
      <c r="R17" s="5"/>
      <c r="S17" s="5"/>
      <c r="T17" s="5"/>
      <c r="W17" s="5"/>
      <c r="X17" s="5"/>
      <c r="Y17" s="5"/>
      <c r="Z17" s="5"/>
      <c r="AA17" s="5"/>
      <c r="AB17" s="5"/>
      <c r="AC17" s="5"/>
      <c r="AD17" s="5"/>
      <c r="AE17" s="5"/>
      <c r="AF17" s="5"/>
      <c r="AG17" s="5"/>
      <c r="AH17" s="5"/>
      <c r="AI17" s="5"/>
      <c r="AJ17" s="5"/>
      <c r="AK17" s="5"/>
      <c r="AL17" s="5"/>
      <c r="AM17" s="5"/>
      <c r="AN17" s="5"/>
    </row>
    <row r="18" spans="1:40" x14ac:dyDescent="0.35">
      <c r="A18" s="5">
        <v>15</v>
      </c>
      <c r="B18" s="5">
        <v>3</v>
      </c>
      <c r="C18" s="5">
        <v>3</v>
      </c>
      <c r="D18" s="5">
        <v>5</v>
      </c>
      <c r="E18" s="5">
        <v>2</v>
      </c>
      <c r="F18" s="5">
        <v>4</v>
      </c>
      <c r="G18" s="5">
        <v>3</v>
      </c>
      <c r="H18" s="5">
        <v>3</v>
      </c>
      <c r="I18" s="5">
        <v>3</v>
      </c>
      <c r="J18" s="5">
        <v>4</v>
      </c>
      <c r="K18" s="5">
        <v>4</v>
      </c>
      <c r="L18" s="5">
        <v>3</v>
      </c>
      <c r="M18" s="5">
        <v>4</v>
      </c>
      <c r="N18" s="5">
        <f t="shared" si="0"/>
        <v>3.4166666666666665</v>
      </c>
      <c r="O18" s="5" t="str" cm="1">
        <f t="array" ref="O18">_xlfn.SWITCH(TRUE, M18&lt;$R$9, "Low", M18&gt;$R$10, "High", "Moderate")</f>
        <v>High</v>
      </c>
      <c r="P18" s="5" t="str" cm="1">
        <f t="array" ref="P18">_xlfn.SWITCH(TRUE, M18&lt;$R$11, "Low", "High")</f>
        <v>High</v>
      </c>
      <c r="Q18" s="5"/>
      <c r="R18" s="5"/>
      <c r="S18" s="5"/>
      <c r="T18" s="5"/>
      <c r="W18" s="5"/>
      <c r="X18" s="5"/>
      <c r="Y18" s="5"/>
      <c r="Z18" s="5"/>
      <c r="AA18" s="5"/>
      <c r="AB18" s="5"/>
      <c r="AC18" s="5"/>
      <c r="AD18" s="5"/>
      <c r="AE18" s="5"/>
      <c r="AF18" s="5"/>
      <c r="AG18" s="5"/>
      <c r="AH18" s="5"/>
      <c r="AI18" s="5"/>
      <c r="AJ18" s="5"/>
      <c r="AK18" s="5"/>
      <c r="AL18" s="5"/>
      <c r="AM18" s="5"/>
      <c r="AN18" s="5"/>
    </row>
    <row r="19" spans="1:40" x14ac:dyDescent="0.35">
      <c r="A19" s="5">
        <v>16</v>
      </c>
      <c r="B19" s="5">
        <v>5</v>
      </c>
      <c r="C19" s="5">
        <v>4</v>
      </c>
      <c r="D19" s="5">
        <v>5</v>
      </c>
      <c r="E19" s="5">
        <v>4</v>
      </c>
      <c r="F19" s="5">
        <v>3</v>
      </c>
      <c r="G19" s="5">
        <v>1</v>
      </c>
      <c r="H19" s="5">
        <v>5</v>
      </c>
      <c r="I19" s="5">
        <v>2</v>
      </c>
      <c r="J19" s="5">
        <v>3</v>
      </c>
      <c r="K19" s="5">
        <v>3</v>
      </c>
      <c r="L19" s="5">
        <v>3</v>
      </c>
      <c r="M19" s="5">
        <v>5</v>
      </c>
      <c r="N19" s="5">
        <f t="shared" si="0"/>
        <v>3.5833333333333335</v>
      </c>
      <c r="O19" s="5" t="str" cm="1">
        <f t="array" ref="O19">_xlfn.SWITCH(TRUE, M19&lt;$R$9, "Low", M19&gt;$R$10, "High", "Moderate")</f>
        <v>High</v>
      </c>
      <c r="P19" s="5" t="str" cm="1">
        <f t="array" ref="P19">_xlfn.SWITCH(TRUE, M19&lt;$R$11, "Low", "High")</f>
        <v>High</v>
      </c>
      <c r="Q19" s="5"/>
      <c r="R19" s="5"/>
      <c r="S19" s="5"/>
      <c r="T19" s="5"/>
      <c r="W19" s="5"/>
      <c r="X19" s="5"/>
      <c r="Y19" s="5"/>
      <c r="Z19" s="5"/>
      <c r="AA19" s="5"/>
      <c r="AB19" s="5"/>
      <c r="AC19" s="5"/>
      <c r="AD19" s="5"/>
      <c r="AE19" s="5"/>
      <c r="AF19" s="5"/>
      <c r="AG19" s="5"/>
      <c r="AH19" s="5"/>
      <c r="AI19" s="5"/>
      <c r="AJ19" s="5"/>
      <c r="AK19" s="5"/>
      <c r="AL19" s="5"/>
      <c r="AM19" s="5"/>
      <c r="AN19" s="5"/>
    </row>
    <row r="20" spans="1:40" x14ac:dyDescent="0.35">
      <c r="A20" s="5">
        <v>17</v>
      </c>
      <c r="B20" s="5">
        <v>2</v>
      </c>
      <c r="C20" s="5">
        <v>2</v>
      </c>
      <c r="D20" s="5">
        <v>2</v>
      </c>
      <c r="E20" s="5">
        <v>3</v>
      </c>
      <c r="F20" s="5">
        <v>2</v>
      </c>
      <c r="G20" s="5">
        <v>4</v>
      </c>
      <c r="H20" s="5">
        <v>2</v>
      </c>
      <c r="I20" s="5">
        <v>3</v>
      </c>
      <c r="J20" s="5">
        <v>2</v>
      </c>
      <c r="K20" s="5">
        <v>3</v>
      </c>
      <c r="L20" s="5">
        <v>2</v>
      </c>
      <c r="M20" s="5">
        <v>2</v>
      </c>
      <c r="N20" s="5">
        <f t="shared" si="0"/>
        <v>2.4166666666666665</v>
      </c>
      <c r="O20" s="5" t="str" cm="1">
        <f t="array" ref="O20">_xlfn.SWITCH(TRUE, M20&lt;$R$9, "Low", M20&gt;$R$10, "High", "Moderate")</f>
        <v>Moderate</v>
      </c>
      <c r="P20" s="5" t="str" cm="1">
        <f t="array" ref="P20">_xlfn.SWITCH(TRUE, M20&lt;$R$11, "Low", "High")</f>
        <v>High</v>
      </c>
      <c r="Q20" s="5"/>
      <c r="R20" s="5"/>
      <c r="S20" s="5"/>
      <c r="T20" s="5"/>
      <c r="W20" s="5"/>
      <c r="X20" s="5"/>
      <c r="Y20" s="5"/>
      <c r="Z20" s="5"/>
      <c r="AA20" s="5"/>
      <c r="AB20" s="5"/>
      <c r="AC20" s="5"/>
      <c r="AD20" s="5"/>
      <c r="AE20" s="5"/>
      <c r="AF20" s="5"/>
      <c r="AG20" s="5"/>
      <c r="AH20" s="5"/>
      <c r="AI20" s="5"/>
      <c r="AJ20" s="5"/>
      <c r="AK20" s="5"/>
      <c r="AL20" s="5"/>
      <c r="AM20" s="5"/>
      <c r="AN20" s="5"/>
    </row>
    <row r="21" spans="1:40" x14ac:dyDescent="0.35">
      <c r="A21" s="5">
        <v>18</v>
      </c>
      <c r="B21" s="5">
        <v>5</v>
      </c>
      <c r="C21" s="5">
        <v>1</v>
      </c>
      <c r="D21" s="5">
        <v>4</v>
      </c>
      <c r="E21" s="5">
        <v>3</v>
      </c>
      <c r="F21" s="5">
        <v>1</v>
      </c>
      <c r="G21" s="5">
        <v>5</v>
      </c>
      <c r="H21" s="5">
        <v>1</v>
      </c>
      <c r="I21" s="5">
        <v>1</v>
      </c>
      <c r="J21" s="5">
        <v>4</v>
      </c>
      <c r="K21" s="5">
        <v>1</v>
      </c>
      <c r="L21" s="5">
        <v>1</v>
      </c>
      <c r="M21" s="5">
        <v>1</v>
      </c>
      <c r="N21" s="5">
        <f t="shared" si="0"/>
        <v>2.3333333333333335</v>
      </c>
      <c r="O21" s="5" t="str" cm="1">
        <f t="array" ref="O21">_xlfn.SWITCH(TRUE, M21&lt;$R$9, "Low", M21&gt;$R$10, "High", "Moderate")</f>
        <v>Low</v>
      </c>
      <c r="P21" s="5" t="str" cm="1">
        <f t="array" ref="P21">_xlfn.SWITCH(TRUE, M21&lt;$R$11, "Low", "High")</f>
        <v>Low</v>
      </c>
      <c r="Q21" s="5"/>
      <c r="R21" s="5"/>
      <c r="S21" s="5"/>
      <c r="T21" s="5"/>
      <c r="W21" s="5"/>
      <c r="X21" s="5"/>
      <c r="Y21" s="5"/>
      <c r="Z21" s="5"/>
      <c r="AA21" s="5"/>
      <c r="AB21" s="5"/>
      <c r="AC21" s="5"/>
      <c r="AD21" s="5"/>
      <c r="AE21" s="5"/>
      <c r="AF21" s="5"/>
      <c r="AG21" s="5"/>
      <c r="AH21" s="5"/>
      <c r="AI21" s="5"/>
      <c r="AJ21" s="5"/>
      <c r="AK21" s="5"/>
      <c r="AL21" s="5"/>
      <c r="AM21" s="5"/>
      <c r="AN21" s="5"/>
    </row>
    <row r="22" spans="1:40" x14ac:dyDescent="0.35">
      <c r="A22" s="5">
        <v>19</v>
      </c>
      <c r="B22" s="5">
        <v>4</v>
      </c>
      <c r="C22" s="5">
        <v>4</v>
      </c>
      <c r="D22" s="5">
        <v>5</v>
      </c>
      <c r="E22" s="5">
        <v>3</v>
      </c>
      <c r="F22" s="5">
        <v>4</v>
      </c>
      <c r="G22" s="5">
        <v>2</v>
      </c>
      <c r="H22" s="5">
        <v>5</v>
      </c>
      <c r="I22" s="5">
        <v>1</v>
      </c>
      <c r="J22" s="5">
        <v>4</v>
      </c>
      <c r="K22" s="5">
        <v>3</v>
      </c>
      <c r="L22" s="5">
        <v>3</v>
      </c>
      <c r="M22" s="5">
        <v>3</v>
      </c>
      <c r="N22" s="5">
        <f t="shared" si="0"/>
        <v>3.4166666666666665</v>
      </c>
      <c r="O22" s="5" t="str" cm="1">
        <f t="array" ref="O22">_xlfn.SWITCH(TRUE, M22&lt;$R$9, "Low", M22&gt;$R$10, "High", "Moderate")</f>
        <v>Moderate</v>
      </c>
      <c r="P22" s="5" t="str" cm="1">
        <f t="array" ref="P22">_xlfn.SWITCH(TRUE, M22&lt;$R$11, "Low", "High")</f>
        <v>High</v>
      </c>
      <c r="Q22" s="5"/>
      <c r="R22" s="5"/>
      <c r="S22" s="5"/>
      <c r="T22" s="5"/>
      <c r="W22" s="5"/>
      <c r="X22" s="5"/>
      <c r="Y22" s="5"/>
      <c r="Z22" s="5"/>
      <c r="AA22" s="5"/>
      <c r="AB22" s="5"/>
      <c r="AC22" s="5"/>
      <c r="AD22" s="5"/>
      <c r="AE22" s="5"/>
      <c r="AF22" s="5"/>
      <c r="AG22" s="5"/>
      <c r="AH22" s="5"/>
      <c r="AI22" s="5"/>
      <c r="AJ22" s="5"/>
      <c r="AK22" s="5"/>
      <c r="AL22" s="5"/>
      <c r="AM22" s="5"/>
      <c r="AN22" s="5"/>
    </row>
    <row r="23" spans="1:40" x14ac:dyDescent="0.35">
      <c r="A23" s="5">
        <v>20</v>
      </c>
      <c r="B23" s="5">
        <v>5</v>
      </c>
      <c r="C23" s="5">
        <v>4</v>
      </c>
      <c r="D23" s="5">
        <v>4</v>
      </c>
      <c r="E23" s="5">
        <v>5</v>
      </c>
      <c r="F23" s="5">
        <v>5</v>
      </c>
      <c r="G23" s="5">
        <v>1</v>
      </c>
      <c r="H23" s="5">
        <v>5</v>
      </c>
      <c r="I23" s="5">
        <v>5</v>
      </c>
      <c r="J23" s="5">
        <v>5</v>
      </c>
      <c r="K23" s="5">
        <v>5</v>
      </c>
      <c r="L23" s="5">
        <v>5</v>
      </c>
      <c r="M23" s="5">
        <v>3</v>
      </c>
      <c r="N23" s="5">
        <f t="shared" si="0"/>
        <v>4.333333333333333</v>
      </c>
      <c r="O23" s="5" t="str" cm="1">
        <f t="array" ref="O23">_xlfn.SWITCH(TRUE, M23&lt;$R$9, "Low", M23&gt;$R$10, "High", "Moderate")</f>
        <v>Moderate</v>
      </c>
      <c r="P23" s="5" t="str" cm="1">
        <f t="array" ref="P23">_xlfn.SWITCH(TRUE, M23&lt;$R$11, "Low", "High")</f>
        <v>High</v>
      </c>
      <c r="Q23" s="5"/>
      <c r="R23" s="5"/>
      <c r="S23" s="5"/>
      <c r="T23" s="5"/>
      <c r="W23" s="5"/>
      <c r="X23" s="5"/>
      <c r="Y23" s="5"/>
      <c r="Z23" s="5"/>
      <c r="AA23" s="5"/>
      <c r="AB23" s="5"/>
      <c r="AC23" s="5"/>
      <c r="AD23" s="5"/>
      <c r="AE23" s="5"/>
      <c r="AF23" s="5"/>
      <c r="AG23" s="5"/>
      <c r="AH23" s="5"/>
      <c r="AI23" s="5"/>
      <c r="AJ23" s="5"/>
      <c r="AK23" s="5"/>
      <c r="AL23" s="5"/>
      <c r="AM23" s="5"/>
      <c r="AN23" s="5"/>
    </row>
    <row r="24" spans="1:40" x14ac:dyDescent="0.35">
      <c r="A24" s="5">
        <v>21</v>
      </c>
      <c r="B24" s="5">
        <v>3</v>
      </c>
      <c r="C24" s="5">
        <v>5</v>
      </c>
      <c r="D24" s="5">
        <v>4</v>
      </c>
      <c r="E24" s="5">
        <v>1</v>
      </c>
      <c r="F24" s="5">
        <v>2</v>
      </c>
      <c r="G24" s="5">
        <v>3</v>
      </c>
      <c r="H24" s="5">
        <v>3</v>
      </c>
      <c r="I24" s="5">
        <v>2</v>
      </c>
      <c r="J24" s="5">
        <v>3</v>
      </c>
      <c r="K24" s="5">
        <v>2</v>
      </c>
      <c r="L24" s="5">
        <v>5</v>
      </c>
      <c r="M24" s="5">
        <v>2</v>
      </c>
      <c r="N24" s="5">
        <f t="shared" si="0"/>
        <v>2.9166666666666665</v>
      </c>
      <c r="O24" s="5" t="str" cm="1">
        <f t="array" ref="O24">_xlfn.SWITCH(TRUE, M24&lt;$R$9, "Low", M24&gt;$R$10, "High", "Moderate")</f>
        <v>Moderate</v>
      </c>
      <c r="P24" s="5" t="str" cm="1">
        <f t="array" ref="P24">_xlfn.SWITCH(TRUE, M24&lt;$R$11, "Low", "High")</f>
        <v>High</v>
      </c>
      <c r="Q24" s="5"/>
      <c r="R24" s="5"/>
      <c r="S24" s="5"/>
      <c r="T24" s="5"/>
      <c r="W24" s="5"/>
      <c r="X24" s="5"/>
      <c r="Y24" s="5"/>
      <c r="Z24" s="5"/>
      <c r="AA24" s="5"/>
      <c r="AB24" s="5"/>
      <c r="AC24" s="5"/>
      <c r="AD24" s="5"/>
      <c r="AE24" s="5"/>
      <c r="AF24" s="5"/>
      <c r="AG24" s="5"/>
      <c r="AH24" s="5"/>
      <c r="AI24" s="5"/>
      <c r="AJ24" s="5"/>
      <c r="AK24" s="5"/>
      <c r="AL24" s="5"/>
      <c r="AM24" s="5"/>
      <c r="AN24" s="5"/>
    </row>
    <row r="25" spans="1:40" x14ac:dyDescent="0.35">
      <c r="A25" s="5">
        <v>22</v>
      </c>
      <c r="B25" s="5">
        <v>2</v>
      </c>
      <c r="C25" s="5">
        <v>2</v>
      </c>
      <c r="D25" s="5">
        <v>3</v>
      </c>
      <c r="E25" s="5">
        <v>3</v>
      </c>
      <c r="F25" s="5">
        <v>2</v>
      </c>
      <c r="G25" s="5">
        <v>4</v>
      </c>
      <c r="H25" s="5">
        <v>2</v>
      </c>
      <c r="I25" s="5">
        <v>5</v>
      </c>
      <c r="J25" s="5">
        <v>4</v>
      </c>
      <c r="K25" s="5">
        <v>3</v>
      </c>
      <c r="L25" s="5">
        <v>1</v>
      </c>
      <c r="M25" s="5">
        <v>2</v>
      </c>
      <c r="N25" s="5">
        <f t="shared" si="0"/>
        <v>2.75</v>
      </c>
      <c r="O25" s="5" t="str" cm="1">
        <f t="array" ref="O25">_xlfn.SWITCH(TRUE, M25&lt;$R$9, "Low", M25&gt;$R$10, "High", "Moderate")</f>
        <v>Moderate</v>
      </c>
      <c r="P25" s="5" t="str" cm="1">
        <f t="array" ref="P25">_xlfn.SWITCH(TRUE, M25&lt;$R$11, "Low", "High")</f>
        <v>High</v>
      </c>
      <c r="Q25" s="5"/>
      <c r="R25" s="5"/>
      <c r="S25" s="5"/>
      <c r="T25" s="5"/>
      <c r="W25" s="5"/>
      <c r="X25" s="5"/>
      <c r="Y25" s="5"/>
      <c r="Z25" s="5"/>
      <c r="AA25" s="5"/>
      <c r="AB25" s="5"/>
      <c r="AC25" s="5"/>
      <c r="AD25" s="5"/>
      <c r="AE25" s="5"/>
      <c r="AF25" s="5"/>
      <c r="AG25" s="5"/>
      <c r="AH25" s="5"/>
      <c r="AI25" s="5"/>
      <c r="AJ25" s="5"/>
      <c r="AK25" s="5"/>
      <c r="AL25" s="5"/>
      <c r="AM25" s="5"/>
      <c r="AN25" s="5"/>
    </row>
    <row r="26" spans="1:40" x14ac:dyDescent="0.35">
      <c r="A26" s="5">
        <v>23</v>
      </c>
      <c r="B26" s="5">
        <v>3</v>
      </c>
      <c r="C26" s="5">
        <v>2</v>
      </c>
      <c r="D26" s="5">
        <v>4</v>
      </c>
      <c r="E26" s="5">
        <v>4</v>
      </c>
      <c r="F26" s="5">
        <v>3</v>
      </c>
      <c r="G26" s="5">
        <v>3</v>
      </c>
      <c r="H26" s="5">
        <v>3</v>
      </c>
      <c r="I26" s="5">
        <v>2</v>
      </c>
      <c r="J26" s="5">
        <v>3</v>
      </c>
      <c r="K26" s="5">
        <v>5</v>
      </c>
      <c r="L26" s="5">
        <v>2</v>
      </c>
      <c r="M26" s="5">
        <v>3</v>
      </c>
      <c r="N26" s="5">
        <f t="shared" si="0"/>
        <v>3.0833333333333335</v>
      </c>
      <c r="O26" s="5" t="str" cm="1">
        <f t="array" ref="O26">_xlfn.SWITCH(TRUE, M26&lt;$R$9, "Low", M26&gt;$R$10, "High", "Moderate")</f>
        <v>Moderate</v>
      </c>
      <c r="P26" s="5" t="str" cm="1">
        <f t="array" ref="P26">_xlfn.SWITCH(TRUE, M26&lt;$R$11, "Low", "High")</f>
        <v>High</v>
      </c>
      <c r="Q26" s="5"/>
      <c r="R26" s="5"/>
      <c r="S26" s="5"/>
      <c r="T26" s="5"/>
      <c r="W26" s="5"/>
      <c r="X26" s="5"/>
      <c r="Y26" s="5"/>
      <c r="Z26" s="5"/>
      <c r="AA26" s="5"/>
      <c r="AB26" s="5"/>
      <c r="AC26" s="5"/>
      <c r="AD26" s="5"/>
      <c r="AE26" s="5"/>
      <c r="AF26" s="5"/>
      <c r="AG26" s="5"/>
      <c r="AH26" s="5"/>
      <c r="AI26" s="5"/>
      <c r="AJ26" s="5"/>
      <c r="AK26" s="5"/>
      <c r="AL26" s="5"/>
      <c r="AM26" s="5"/>
      <c r="AN26" s="5"/>
    </row>
    <row r="27" spans="1:40" x14ac:dyDescent="0.35">
      <c r="A27" s="5">
        <v>24</v>
      </c>
      <c r="B27" s="5">
        <v>4</v>
      </c>
      <c r="C27" s="5">
        <v>3</v>
      </c>
      <c r="D27" s="5">
        <v>4</v>
      </c>
      <c r="E27" s="5">
        <v>4</v>
      </c>
      <c r="F27" s="5">
        <v>4</v>
      </c>
      <c r="G27" s="5">
        <v>2</v>
      </c>
      <c r="H27" s="5">
        <v>4</v>
      </c>
      <c r="I27" s="5">
        <v>4</v>
      </c>
      <c r="J27" s="5">
        <v>3</v>
      </c>
      <c r="K27" s="5">
        <v>4</v>
      </c>
      <c r="L27" s="5">
        <v>3</v>
      </c>
      <c r="M27" s="5">
        <v>4</v>
      </c>
      <c r="N27" s="5">
        <f t="shared" si="0"/>
        <v>3.5833333333333335</v>
      </c>
      <c r="O27" s="5" t="str" cm="1">
        <f t="array" ref="O27">_xlfn.SWITCH(TRUE, M27&lt;$R$9, "Low", M27&gt;$R$10, "High", "Moderate")</f>
        <v>High</v>
      </c>
      <c r="P27" s="5" t="str" cm="1">
        <f t="array" ref="P27">_xlfn.SWITCH(TRUE, M27&lt;$R$11, "Low", "High")</f>
        <v>High</v>
      </c>
      <c r="Q27" s="5"/>
      <c r="R27" s="5"/>
      <c r="S27" s="5"/>
      <c r="T27" s="5"/>
      <c r="W27" s="5"/>
      <c r="X27" s="5"/>
      <c r="Y27" s="5"/>
      <c r="Z27" s="5"/>
      <c r="AA27" s="5"/>
      <c r="AB27" s="5"/>
      <c r="AC27" s="5"/>
      <c r="AD27" s="5"/>
      <c r="AE27" s="5"/>
      <c r="AF27" s="5"/>
      <c r="AG27" s="5"/>
      <c r="AH27" s="5"/>
      <c r="AI27" s="5"/>
      <c r="AJ27" s="5"/>
      <c r="AK27" s="5"/>
      <c r="AL27" s="5"/>
      <c r="AM27" s="5"/>
      <c r="AN27" s="5"/>
    </row>
    <row r="28" spans="1:40" x14ac:dyDescent="0.35">
      <c r="A28" s="5">
        <v>25</v>
      </c>
      <c r="B28" s="5">
        <v>5</v>
      </c>
      <c r="C28" s="5">
        <v>2</v>
      </c>
      <c r="D28" s="5">
        <v>5</v>
      </c>
      <c r="E28" s="5">
        <v>2</v>
      </c>
      <c r="F28" s="5">
        <v>1</v>
      </c>
      <c r="G28" s="5">
        <v>2</v>
      </c>
      <c r="H28" s="5">
        <v>3</v>
      </c>
      <c r="I28" s="5">
        <v>1</v>
      </c>
      <c r="J28" s="5">
        <v>2</v>
      </c>
      <c r="K28" s="5">
        <v>2</v>
      </c>
      <c r="L28" s="5">
        <v>5</v>
      </c>
      <c r="M28" s="5">
        <v>1</v>
      </c>
      <c r="N28" s="5">
        <f t="shared" si="0"/>
        <v>2.5833333333333335</v>
      </c>
      <c r="O28" s="5" t="str" cm="1">
        <f t="array" ref="O28">_xlfn.SWITCH(TRUE, M28&lt;$R$9, "Low", M28&gt;$R$10, "High", "Moderate")</f>
        <v>Low</v>
      </c>
      <c r="P28" s="5" t="str" cm="1">
        <f t="array" ref="P28">_xlfn.SWITCH(TRUE, M28&lt;$R$11, "Low", "High")</f>
        <v>Low</v>
      </c>
      <c r="Q28" s="5"/>
      <c r="R28" s="5"/>
      <c r="S28" s="5"/>
      <c r="T28" s="5"/>
      <c r="W28" s="5"/>
      <c r="X28" s="5"/>
      <c r="Y28" s="5"/>
      <c r="Z28" s="5"/>
      <c r="AA28" s="5"/>
      <c r="AB28" s="5"/>
      <c r="AC28" s="5"/>
      <c r="AD28" s="5"/>
      <c r="AE28" s="5"/>
      <c r="AF28" s="5"/>
      <c r="AG28" s="5"/>
      <c r="AH28" s="5"/>
      <c r="AI28" s="5"/>
      <c r="AJ28" s="5"/>
      <c r="AK28" s="5"/>
      <c r="AL28" s="5"/>
      <c r="AM28" s="5"/>
      <c r="AN28" s="5"/>
    </row>
    <row r="29" spans="1:40" x14ac:dyDescent="0.35">
      <c r="A29" s="5">
        <v>26</v>
      </c>
      <c r="B29" s="5">
        <v>2</v>
      </c>
      <c r="C29" s="5">
        <v>2</v>
      </c>
      <c r="D29" s="5">
        <v>5</v>
      </c>
      <c r="E29" s="5">
        <v>3</v>
      </c>
      <c r="F29" s="5">
        <v>4</v>
      </c>
      <c r="G29" s="5">
        <v>3</v>
      </c>
      <c r="H29" s="5">
        <v>3</v>
      </c>
      <c r="I29" s="5">
        <v>4</v>
      </c>
      <c r="J29" s="5">
        <v>4</v>
      </c>
      <c r="K29" s="5">
        <v>5</v>
      </c>
      <c r="L29" s="5">
        <v>2</v>
      </c>
      <c r="M29" s="5">
        <v>3</v>
      </c>
      <c r="N29" s="5">
        <f t="shared" si="0"/>
        <v>3.3333333333333335</v>
      </c>
      <c r="O29" s="5" t="str" cm="1">
        <f t="array" ref="O29">_xlfn.SWITCH(TRUE, M29&lt;$R$9, "Low", M29&gt;$R$10, "High", "Moderate")</f>
        <v>Moderate</v>
      </c>
      <c r="P29" s="5" t="str" cm="1">
        <f t="array" ref="P29">_xlfn.SWITCH(TRUE, M29&lt;$R$11, "Low", "High")</f>
        <v>High</v>
      </c>
      <c r="Q29" s="5"/>
      <c r="R29" s="5"/>
      <c r="S29" s="5"/>
      <c r="T29" s="5"/>
      <c r="W29" s="5"/>
      <c r="X29" s="5"/>
      <c r="Y29" s="5"/>
      <c r="Z29" s="5"/>
      <c r="AA29" s="5"/>
      <c r="AB29" s="5"/>
      <c r="AC29" s="5"/>
      <c r="AD29" s="5"/>
      <c r="AE29" s="5"/>
      <c r="AF29" s="5"/>
      <c r="AG29" s="5"/>
      <c r="AH29" s="5"/>
      <c r="AI29" s="5"/>
      <c r="AJ29" s="5"/>
      <c r="AK29" s="5"/>
      <c r="AL29" s="5"/>
      <c r="AM29" s="5"/>
      <c r="AN29" s="5"/>
    </row>
    <row r="30" spans="1:40" x14ac:dyDescent="0.35">
      <c r="A30" s="5">
        <v>27</v>
      </c>
      <c r="B30" s="5">
        <v>2</v>
      </c>
      <c r="C30" s="5">
        <v>2</v>
      </c>
      <c r="D30" s="5">
        <v>3</v>
      </c>
      <c r="E30" s="5">
        <v>3</v>
      </c>
      <c r="F30" s="5">
        <v>2</v>
      </c>
      <c r="G30" s="5">
        <v>4</v>
      </c>
      <c r="H30" s="5">
        <v>2</v>
      </c>
      <c r="I30" s="5">
        <v>3</v>
      </c>
      <c r="J30" s="5">
        <v>2</v>
      </c>
      <c r="K30" s="5">
        <v>2</v>
      </c>
      <c r="L30" s="5">
        <v>5</v>
      </c>
      <c r="M30" s="5">
        <v>5</v>
      </c>
      <c r="N30" s="5">
        <f t="shared" si="0"/>
        <v>2.9166666666666665</v>
      </c>
      <c r="O30" s="5" t="str" cm="1">
        <f t="array" ref="O30">_xlfn.SWITCH(TRUE, M30&lt;$R$9, "Low", M30&gt;$R$10, "High", "Moderate")</f>
        <v>High</v>
      </c>
      <c r="P30" s="5" t="str" cm="1">
        <f t="array" ref="P30">_xlfn.SWITCH(TRUE, M30&lt;$R$11, "Low", "High")</f>
        <v>High</v>
      </c>
      <c r="Q30" s="5"/>
      <c r="R30" s="5"/>
      <c r="S30" s="5"/>
      <c r="T30" s="5"/>
      <c r="W30" s="5"/>
      <c r="X30" s="5"/>
      <c r="Y30" s="5"/>
      <c r="Z30" s="5"/>
      <c r="AA30" s="5"/>
      <c r="AB30" s="5"/>
      <c r="AC30" s="5"/>
      <c r="AD30" s="5"/>
      <c r="AE30" s="5"/>
      <c r="AF30" s="5"/>
      <c r="AG30" s="5"/>
      <c r="AH30" s="5"/>
      <c r="AI30" s="5"/>
      <c r="AJ30" s="5"/>
      <c r="AK30" s="5"/>
      <c r="AL30" s="5"/>
      <c r="AM30" s="5"/>
      <c r="AN30" s="5"/>
    </row>
    <row r="31" spans="1:40" x14ac:dyDescent="0.35">
      <c r="A31" s="5">
        <v>28</v>
      </c>
      <c r="B31" s="5">
        <v>2</v>
      </c>
      <c r="C31" s="5">
        <v>2</v>
      </c>
      <c r="D31" s="5">
        <v>2</v>
      </c>
      <c r="E31" s="5">
        <v>1</v>
      </c>
      <c r="F31" s="5">
        <v>1</v>
      </c>
      <c r="G31" s="5">
        <v>3</v>
      </c>
      <c r="H31" s="5">
        <v>1</v>
      </c>
      <c r="I31" s="5">
        <v>2</v>
      </c>
      <c r="J31" s="5">
        <v>2</v>
      </c>
      <c r="K31" s="5">
        <v>2</v>
      </c>
      <c r="L31" s="5">
        <v>2</v>
      </c>
      <c r="M31" s="5">
        <v>2</v>
      </c>
      <c r="N31" s="5">
        <f t="shared" si="0"/>
        <v>1.8333333333333333</v>
      </c>
      <c r="O31" s="5" t="str" cm="1">
        <f t="array" ref="O31">_xlfn.SWITCH(TRUE, M31&lt;$R$9, "Low", M31&gt;$R$10, "High", "Moderate")</f>
        <v>Moderate</v>
      </c>
      <c r="P31" s="5" t="str" cm="1">
        <f t="array" ref="P31">_xlfn.SWITCH(TRUE, M31&lt;$R$11, "Low", "High")</f>
        <v>High</v>
      </c>
      <c r="Q31" s="5"/>
      <c r="R31" s="5"/>
      <c r="S31" s="5"/>
      <c r="T31" s="5"/>
      <c r="W31" s="5"/>
      <c r="X31" s="5"/>
      <c r="Y31" s="5"/>
      <c r="Z31" s="5"/>
      <c r="AA31" s="5"/>
      <c r="AB31" s="5"/>
      <c r="AC31" s="5"/>
      <c r="AD31" s="5"/>
      <c r="AE31" s="5"/>
      <c r="AF31" s="5"/>
      <c r="AG31" s="5"/>
      <c r="AH31" s="5"/>
      <c r="AI31" s="5"/>
      <c r="AJ31" s="5"/>
      <c r="AK31" s="5"/>
      <c r="AL31" s="5"/>
      <c r="AM31" s="5"/>
      <c r="AN31" s="5"/>
    </row>
    <row r="32" spans="1:40" x14ac:dyDescent="0.35">
      <c r="A32" s="5">
        <v>29</v>
      </c>
      <c r="B32" s="5">
        <v>2</v>
      </c>
      <c r="C32" s="5">
        <v>1</v>
      </c>
      <c r="D32" s="5">
        <v>3</v>
      </c>
      <c r="E32" s="5">
        <v>3</v>
      </c>
      <c r="F32" s="5">
        <v>2</v>
      </c>
      <c r="G32" s="5">
        <v>4</v>
      </c>
      <c r="H32" s="5">
        <v>2</v>
      </c>
      <c r="I32" s="5">
        <v>3</v>
      </c>
      <c r="J32" s="5">
        <v>1</v>
      </c>
      <c r="K32" s="5">
        <v>2</v>
      </c>
      <c r="L32" s="5">
        <v>1</v>
      </c>
      <c r="M32" s="5">
        <v>2</v>
      </c>
      <c r="N32" s="5">
        <f t="shared" si="0"/>
        <v>2.1666666666666665</v>
      </c>
      <c r="O32" s="5" t="str" cm="1">
        <f t="array" ref="O32">_xlfn.SWITCH(TRUE, M32&lt;$R$9, "Low", M32&gt;$R$10, "High", "Moderate")</f>
        <v>Moderate</v>
      </c>
      <c r="P32" s="5" t="str" cm="1">
        <f t="array" ref="P32">_xlfn.SWITCH(TRUE, M32&lt;$R$11, "Low", "High")</f>
        <v>High</v>
      </c>
      <c r="Q32" s="5"/>
      <c r="R32" s="5"/>
      <c r="S32" s="5"/>
      <c r="T32" s="5"/>
      <c r="W32" s="5"/>
      <c r="X32" s="5"/>
      <c r="Y32" s="5"/>
      <c r="Z32" s="5"/>
      <c r="AA32" s="5"/>
      <c r="AB32" s="5"/>
      <c r="AC32" s="5"/>
      <c r="AD32" s="5"/>
      <c r="AE32" s="5"/>
      <c r="AF32" s="5"/>
      <c r="AG32" s="5"/>
      <c r="AH32" s="5"/>
      <c r="AI32" s="5"/>
      <c r="AJ32" s="5"/>
      <c r="AK32" s="5"/>
      <c r="AL32" s="5"/>
      <c r="AM32" s="5"/>
      <c r="AN32" s="5"/>
    </row>
    <row r="33" spans="1:40" x14ac:dyDescent="0.35">
      <c r="A33" s="5">
        <v>30</v>
      </c>
      <c r="B33" s="5">
        <v>3</v>
      </c>
      <c r="C33" s="5">
        <v>2</v>
      </c>
      <c r="D33" s="5">
        <v>5</v>
      </c>
      <c r="E33" s="5">
        <v>5</v>
      </c>
      <c r="F33" s="5">
        <v>5</v>
      </c>
      <c r="G33" s="5">
        <v>1</v>
      </c>
      <c r="H33" s="5">
        <v>3</v>
      </c>
      <c r="I33" s="5">
        <v>4</v>
      </c>
      <c r="J33" s="5">
        <v>2</v>
      </c>
      <c r="K33" s="5">
        <v>3</v>
      </c>
      <c r="L33" s="5">
        <v>2</v>
      </c>
      <c r="M33" s="5">
        <v>4</v>
      </c>
      <c r="N33" s="5">
        <f t="shared" si="0"/>
        <v>3.25</v>
      </c>
      <c r="O33" s="5" t="str" cm="1">
        <f t="array" ref="O33">_xlfn.SWITCH(TRUE, M33&lt;$R$9, "Low", M33&gt;$R$10, "High", "Moderate")</f>
        <v>High</v>
      </c>
      <c r="P33" s="5" t="str" cm="1">
        <f t="array" ref="P33">_xlfn.SWITCH(TRUE, M33&lt;$R$11, "Low", "High")</f>
        <v>High</v>
      </c>
      <c r="Q33" s="5"/>
      <c r="R33" s="5"/>
      <c r="S33" s="5"/>
      <c r="T33" s="5"/>
      <c r="W33" s="5"/>
      <c r="X33" s="5"/>
      <c r="Y33" s="5"/>
      <c r="Z33" s="5"/>
      <c r="AA33" s="5"/>
      <c r="AB33" s="5"/>
      <c r="AC33" s="5"/>
      <c r="AD33" s="5"/>
      <c r="AE33" s="5"/>
      <c r="AF33" s="5"/>
      <c r="AG33" s="5"/>
      <c r="AH33" s="5"/>
      <c r="AI33" s="5"/>
      <c r="AJ33" s="5"/>
      <c r="AK33" s="5"/>
      <c r="AL33" s="5"/>
      <c r="AM33" s="5"/>
      <c r="AN33" s="5"/>
    </row>
    <row r="34" spans="1:40" x14ac:dyDescent="0.35">
      <c r="A34" s="5">
        <v>31</v>
      </c>
      <c r="B34" s="5">
        <v>3</v>
      </c>
      <c r="C34" s="5">
        <v>1</v>
      </c>
      <c r="D34" s="5">
        <v>3</v>
      </c>
      <c r="E34" s="5">
        <v>3</v>
      </c>
      <c r="F34" s="5">
        <v>3</v>
      </c>
      <c r="G34" s="5">
        <v>5</v>
      </c>
      <c r="H34" s="5">
        <v>1</v>
      </c>
      <c r="I34" s="5">
        <v>2</v>
      </c>
      <c r="J34" s="5">
        <v>2</v>
      </c>
      <c r="K34" s="5">
        <v>2</v>
      </c>
      <c r="L34" s="5">
        <v>1</v>
      </c>
      <c r="M34" s="5">
        <v>1</v>
      </c>
      <c r="N34" s="5">
        <f t="shared" si="0"/>
        <v>2.25</v>
      </c>
      <c r="O34" s="5" t="str" cm="1">
        <f t="array" ref="O34">_xlfn.SWITCH(TRUE, M34&lt;$R$9, "Low", M34&gt;$R$10, "High", "Moderate")</f>
        <v>Low</v>
      </c>
      <c r="P34" s="5" t="str" cm="1">
        <f t="array" ref="P34">_xlfn.SWITCH(TRUE, M34&lt;$R$11, "Low", "High")</f>
        <v>Low</v>
      </c>
      <c r="Q34" s="5"/>
      <c r="R34" s="5"/>
      <c r="S34" s="5"/>
      <c r="T34" s="5"/>
      <c r="W34" s="5"/>
      <c r="X34" s="5"/>
      <c r="Y34" s="5"/>
      <c r="Z34" s="5"/>
      <c r="AA34" s="5"/>
      <c r="AB34" s="5"/>
      <c r="AC34" s="5"/>
      <c r="AD34" s="5"/>
      <c r="AE34" s="5"/>
      <c r="AF34" s="5"/>
      <c r="AG34" s="5"/>
      <c r="AH34" s="5"/>
      <c r="AI34" s="5"/>
      <c r="AJ34" s="5"/>
      <c r="AK34" s="5"/>
      <c r="AL34" s="5"/>
      <c r="AM34" s="5"/>
      <c r="AN34" s="5"/>
    </row>
    <row r="35" spans="1:40" x14ac:dyDescent="0.35">
      <c r="A35" s="5">
        <v>32</v>
      </c>
      <c r="B35" s="5">
        <v>5</v>
      </c>
      <c r="C35" s="5">
        <v>3</v>
      </c>
      <c r="D35" s="5">
        <v>4</v>
      </c>
      <c r="E35" s="5">
        <v>2</v>
      </c>
      <c r="F35" s="5">
        <v>2</v>
      </c>
      <c r="G35" s="5">
        <v>2</v>
      </c>
      <c r="H35" s="5">
        <v>3</v>
      </c>
      <c r="I35" s="5">
        <v>2</v>
      </c>
      <c r="J35" s="5">
        <v>3</v>
      </c>
      <c r="K35" s="5">
        <v>4</v>
      </c>
      <c r="L35" s="5">
        <v>3</v>
      </c>
      <c r="M35" s="5">
        <v>2</v>
      </c>
      <c r="N35" s="5">
        <f t="shared" si="0"/>
        <v>2.9166666666666665</v>
      </c>
      <c r="O35" s="5" t="str" cm="1">
        <f t="array" ref="O35">_xlfn.SWITCH(TRUE, M35&lt;$R$9, "Low", M35&gt;$R$10, "High", "Moderate")</f>
        <v>Moderate</v>
      </c>
      <c r="P35" s="5" t="str" cm="1">
        <f t="array" ref="P35">_xlfn.SWITCH(TRUE, M35&lt;$R$11, "Low", "High")</f>
        <v>High</v>
      </c>
      <c r="Q35" s="5"/>
      <c r="R35" s="5"/>
      <c r="S35" s="5"/>
      <c r="T35" s="5"/>
      <c r="W35" s="5"/>
      <c r="X35" s="5"/>
      <c r="Y35" s="5"/>
      <c r="Z35" s="5"/>
      <c r="AA35" s="5"/>
      <c r="AB35" s="5"/>
      <c r="AC35" s="5"/>
      <c r="AD35" s="5"/>
      <c r="AE35" s="5"/>
      <c r="AF35" s="5"/>
      <c r="AG35" s="5"/>
      <c r="AH35" s="5"/>
      <c r="AI35" s="5"/>
      <c r="AJ35" s="5"/>
      <c r="AK35" s="5"/>
      <c r="AL35" s="5"/>
      <c r="AM35" s="5"/>
      <c r="AN35" s="5"/>
    </row>
    <row r="36" spans="1:40" x14ac:dyDescent="0.35">
      <c r="A36" s="5">
        <v>33</v>
      </c>
      <c r="B36" s="5">
        <v>3</v>
      </c>
      <c r="C36" s="5">
        <v>4</v>
      </c>
      <c r="D36" s="5">
        <v>4</v>
      </c>
      <c r="E36" s="5">
        <v>5</v>
      </c>
      <c r="F36" s="5">
        <v>4</v>
      </c>
      <c r="G36" s="5">
        <v>2</v>
      </c>
      <c r="H36" s="5">
        <v>3</v>
      </c>
      <c r="I36" s="5">
        <v>3</v>
      </c>
      <c r="J36" s="5">
        <v>2</v>
      </c>
      <c r="K36" s="5">
        <v>4</v>
      </c>
      <c r="L36" s="5">
        <v>3</v>
      </c>
      <c r="M36" s="5">
        <v>3</v>
      </c>
      <c r="N36" s="5">
        <f t="shared" si="0"/>
        <v>3.3333333333333335</v>
      </c>
      <c r="O36" s="5" t="str" cm="1">
        <f t="array" ref="O36">_xlfn.SWITCH(TRUE, M36&lt;$R$9, "Low", M36&gt;$R$10, "High", "Moderate")</f>
        <v>Moderate</v>
      </c>
      <c r="P36" s="5" t="str" cm="1">
        <f t="array" ref="P36">_xlfn.SWITCH(TRUE, M36&lt;$R$11, "Low", "High")</f>
        <v>High</v>
      </c>
      <c r="Q36" s="5"/>
      <c r="R36" s="5"/>
      <c r="S36" s="5"/>
      <c r="T36" s="5"/>
      <c r="W36" s="5"/>
      <c r="X36" s="5"/>
      <c r="Y36" s="5"/>
      <c r="Z36" s="5"/>
      <c r="AA36" s="5"/>
      <c r="AB36" s="5"/>
      <c r="AC36" s="5"/>
      <c r="AD36" s="5"/>
      <c r="AE36" s="5"/>
      <c r="AF36" s="5"/>
      <c r="AG36" s="5"/>
      <c r="AH36" s="5"/>
      <c r="AI36" s="5"/>
      <c r="AJ36" s="5"/>
      <c r="AK36" s="5"/>
      <c r="AL36" s="5"/>
      <c r="AM36" s="5"/>
      <c r="AN36" s="5"/>
    </row>
    <row r="37" spans="1:40" x14ac:dyDescent="0.35">
      <c r="A37" s="5">
        <v>34</v>
      </c>
      <c r="B37" s="5">
        <v>2</v>
      </c>
      <c r="C37" s="5">
        <v>3</v>
      </c>
      <c r="D37" s="5">
        <v>2</v>
      </c>
      <c r="E37" s="5">
        <v>4</v>
      </c>
      <c r="F37" s="5">
        <v>4</v>
      </c>
      <c r="G37" s="5">
        <v>2</v>
      </c>
      <c r="H37" s="5">
        <v>3</v>
      </c>
      <c r="I37" s="5">
        <v>2</v>
      </c>
      <c r="J37" s="5">
        <v>2</v>
      </c>
      <c r="K37" s="5">
        <v>4</v>
      </c>
      <c r="L37" s="5">
        <v>2</v>
      </c>
      <c r="M37" s="5">
        <v>2</v>
      </c>
      <c r="N37" s="5">
        <f t="shared" si="0"/>
        <v>2.6666666666666665</v>
      </c>
      <c r="O37" s="5" t="str" cm="1">
        <f t="array" ref="O37">_xlfn.SWITCH(TRUE, M37&lt;$R$9, "Low", M37&gt;$R$10, "High", "Moderate")</f>
        <v>Moderate</v>
      </c>
      <c r="P37" s="5" t="str" cm="1">
        <f t="array" ref="P37">_xlfn.SWITCH(TRUE, M37&lt;$R$11, "Low", "High")</f>
        <v>High</v>
      </c>
      <c r="Q37" s="5"/>
      <c r="R37" s="5"/>
      <c r="S37" s="5"/>
      <c r="T37" s="5"/>
      <c r="W37" s="5"/>
      <c r="X37" s="5"/>
      <c r="Y37" s="5"/>
      <c r="Z37" s="5"/>
      <c r="AA37" s="5"/>
      <c r="AB37" s="5"/>
      <c r="AC37" s="5"/>
      <c r="AD37" s="5"/>
      <c r="AE37" s="5"/>
      <c r="AF37" s="5"/>
      <c r="AG37" s="5"/>
      <c r="AH37" s="5"/>
      <c r="AI37" s="5"/>
      <c r="AJ37" s="5"/>
      <c r="AK37" s="5"/>
      <c r="AL37" s="5"/>
      <c r="AM37" s="5"/>
      <c r="AN37" s="5"/>
    </row>
    <row r="38" spans="1:40" x14ac:dyDescent="0.35">
      <c r="A38" s="5">
        <v>35</v>
      </c>
      <c r="B38" s="5">
        <v>1</v>
      </c>
      <c r="C38" s="5">
        <v>1</v>
      </c>
      <c r="D38" s="5">
        <v>1</v>
      </c>
      <c r="E38" s="5">
        <v>1</v>
      </c>
      <c r="F38" s="5">
        <v>1</v>
      </c>
      <c r="G38" s="5">
        <v>5</v>
      </c>
      <c r="H38" s="5">
        <v>1</v>
      </c>
      <c r="I38" s="5">
        <v>1</v>
      </c>
      <c r="J38" s="5">
        <v>1</v>
      </c>
      <c r="K38" s="5">
        <v>1</v>
      </c>
      <c r="L38" s="5">
        <v>1</v>
      </c>
      <c r="M38" s="5">
        <v>1</v>
      </c>
      <c r="N38" s="5">
        <f t="shared" si="0"/>
        <v>1.3333333333333333</v>
      </c>
      <c r="O38" s="5" t="str" cm="1">
        <f t="array" ref="O38">_xlfn.SWITCH(TRUE, M38&lt;$R$9, "Low", M38&gt;$R$10, "High", "Moderate")</f>
        <v>Low</v>
      </c>
      <c r="P38" s="5" t="str" cm="1">
        <f t="array" ref="P38">_xlfn.SWITCH(TRUE, M38&lt;$R$11, "Low", "High")</f>
        <v>Low</v>
      </c>
      <c r="Q38" s="5"/>
      <c r="R38" s="5"/>
      <c r="S38" s="5"/>
      <c r="T38" s="5"/>
      <c r="W38" s="5"/>
      <c r="X38" s="5"/>
      <c r="Y38" s="5"/>
      <c r="Z38" s="5"/>
      <c r="AA38" s="5"/>
      <c r="AB38" s="5"/>
      <c r="AC38" s="5"/>
      <c r="AD38" s="5"/>
      <c r="AE38" s="5"/>
      <c r="AF38" s="5"/>
      <c r="AG38" s="5"/>
      <c r="AH38" s="5"/>
      <c r="AI38" s="5"/>
      <c r="AJ38" s="5"/>
      <c r="AK38" s="5"/>
      <c r="AL38" s="5"/>
      <c r="AM38" s="5"/>
      <c r="AN38" s="5"/>
    </row>
    <row r="39" spans="1:40" x14ac:dyDescent="0.35">
      <c r="A39" s="5">
        <v>36</v>
      </c>
      <c r="B39" s="5">
        <v>5</v>
      </c>
      <c r="C39" s="5">
        <v>3</v>
      </c>
      <c r="D39" s="5">
        <v>3</v>
      </c>
      <c r="E39" s="5">
        <v>2</v>
      </c>
      <c r="F39" s="5">
        <v>2</v>
      </c>
      <c r="G39" s="5">
        <v>3</v>
      </c>
      <c r="H39" s="5">
        <v>2</v>
      </c>
      <c r="I39" s="5">
        <v>3</v>
      </c>
      <c r="J39" s="5">
        <v>3</v>
      </c>
      <c r="K39" s="5">
        <v>3</v>
      </c>
      <c r="L39" s="5">
        <v>2</v>
      </c>
      <c r="M39" s="5">
        <v>2</v>
      </c>
      <c r="N39" s="5">
        <f t="shared" si="0"/>
        <v>2.75</v>
      </c>
      <c r="O39" s="5" t="str" cm="1">
        <f t="array" ref="O39">_xlfn.SWITCH(TRUE, M39&lt;$R$9, "Low", M39&gt;$R$10, "High", "Moderate")</f>
        <v>Moderate</v>
      </c>
      <c r="P39" s="5" t="str" cm="1">
        <f t="array" ref="P39">_xlfn.SWITCH(TRUE, M39&lt;$R$11, "Low", "High")</f>
        <v>High</v>
      </c>
      <c r="Q39" s="5"/>
      <c r="R39" s="5"/>
      <c r="S39" s="5"/>
      <c r="T39" s="5"/>
      <c r="W39" s="5"/>
      <c r="X39" s="5"/>
      <c r="Y39" s="5"/>
      <c r="Z39" s="5"/>
      <c r="AA39" s="5"/>
      <c r="AB39" s="5"/>
      <c r="AC39" s="5"/>
      <c r="AD39" s="5"/>
      <c r="AE39" s="5"/>
      <c r="AF39" s="5"/>
      <c r="AG39" s="5"/>
      <c r="AH39" s="5"/>
      <c r="AI39" s="5"/>
      <c r="AJ39" s="5"/>
      <c r="AK39" s="5"/>
      <c r="AL39" s="5"/>
      <c r="AM39" s="5"/>
      <c r="AN39" s="5"/>
    </row>
    <row r="40" spans="1:40" x14ac:dyDescent="0.35">
      <c r="A40" s="5">
        <v>37</v>
      </c>
      <c r="B40" s="5">
        <v>1</v>
      </c>
      <c r="C40" s="5">
        <v>2</v>
      </c>
      <c r="D40" s="5">
        <v>5</v>
      </c>
      <c r="E40" s="5">
        <v>4</v>
      </c>
      <c r="F40" s="5">
        <v>5</v>
      </c>
      <c r="G40" s="5">
        <v>3</v>
      </c>
      <c r="H40" s="5">
        <v>4</v>
      </c>
      <c r="I40" s="5">
        <v>5</v>
      </c>
      <c r="J40" s="5">
        <v>2</v>
      </c>
      <c r="K40" s="5">
        <v>4</v>
      </c>
      <c r="L40" s="5">
        <v>1</v>
      </c>
      <c r="M40" s="5">
        <v>4</v>
      </c>
      <c r="N40" s="5">
        <f t="shared" si="0"/>
        <v>3.3333333333333335</v>
      </c>
      <c r="O40" s="5" t="str" cm="1">
        <f t="array" ref="O40">_xlfn.SWITCH(TRUE, M40&lt;$R$9, "Low", M40&gt;$R$10, "High", "Moderate")</f>
        <v>High</v>
      </c>
      <c r="P40" s="5" t="str" cm="1">
        <f t="array" ref="P40">_xlfn.SWITCH(TRUE, M40&lt;$R$11, "Low", "High")</f>
        <v>High</v>
      </c>
      <c r="Q40" s="5"/>
      <c r="R40" s="5"/>
      <c r="S40" s="5"/>
      <c r="T40" s="5"/>
      <c r="W40" s="5"/>
      <c r="X40" s="5"/>
      <c r="Y40" s="5"/>
      <c r="Z40" s="5"/>
      <c r="AA40" s="5"/>
      <c r="AB40" s="5"/>
      <c r="AC40" s="5"/>
      <c r="AD40" s="5"/>
      <c r="AE40" s="5"/>
      <c r="AF40" s="5"/>
      <c r="AG40" s="5"/>
      <c r="AH40" s="5"/>
      <c r="AI40" s="5"/>
      <c r="AJ40" s="5"/>
      <c r="AK40" s="5"/>
      <c r="AL40" s="5"/>
      <c r="AM40" s="5"/>
      <c r="AN40" s="5"/>
    </row>
    <row r="41" spans="1:40" x14ac:dyDescent="0.35">
      <c r="A41" s="5">
        <v>38</v>
      </c>
      <c r="B41" s="5">
        <v>5</v>
      </c>
      <c r="C41" s="5">
        <v>5</v>
      </c>
      <c r="D41" s="5">
        <v>5</v>
      </c>
      <c r="E41" s="5">
        <v>5</v>
      </c>
      <c r="F41" s="5">
        <v>5</v>
      </c>
      <c r="G41" s="5">
        <v>1</v>
      </c>
      <c r="H41" s="5">
        <v>5</v>
      </c>
      <c r="I41" s="5">
        <v>4</v>
      </c>
      <c r="J41" s="5">
        <v>3</v>
      </c>
      <c r="K41" s="5">
        <v>4</v>
      </c>
      <c r="L41" s="5">
        <v>3</v>
      </c>
      <c r="M41" s="5">
        <v>1</v>
      </c>
      <c r="N41" s="5">
        <f t="shared" si="0"/>
        <v>3.8333333333333335</v>
      </c>
      <c r="O41" s="5" t="str" cm="1">
        <f t="array" ref="O41">_xlfn.SWITCH(TRUE, M41&lt;$R$9, "Low", M41&gt;$R$10, "High", "Moderate")</f>
        <v>Low</v>
      </c>
      <c r="P41" s="5" t="str" cm="1">
        <f t="array" ref="P41">_xlfn.SWITCH(TRUE, M41&lt;$R$11, "Low", "High")</f>
        <v>Low</v>
      </c>
      <c r="Q41" s="5"/>
      <c r="R41" s="5"/>
      <c r="S41" s="5"/>
      <c r="T41" s="5"/>
      <c r="W41" s="5"/>
      <c r="X41" s="5"/>
      <c r="Y41" s="5"/>
      <c r="Z41" s="5"/>
      <c r="AA41" s="5"/>
      <c r="AB41" s="5"/>
      <c r="AC41" s="5"/>
      <c r="AD41" s="5"/>
      <c r="AE41" s="5"/>
      <c r="AF41" s="5"/>
      <c r="AG41" s="5"/>
      <c r="AH41" s="5"/>
      <c r="AI41" s="5"/>
      <c r="AJ41" s="5"/>
      <c r="AK41" s="5"/>
      <c r="AL41" s="5"/>
      <c r="AM41" s="5"/>
      <c r="AN41" s="5"/>
    </row>
    <row r="42" spans="1:40" x14ac:dyDescent="0.35">
      <c r="A42" s="5">
        <v>39</v>
      </c>
      <c r="B42" s="5">
        <v>2</v>
      </c>
      <c r="C42" s="5">
        <v>4</v>
      </c>
      <c r="D42" s="5">
        <v>4</v>
      </c>
      <c r="E42" s="5">
        <v>4</v>
      </c>
      <c r="F42" s="5">
        <v>4</v>
      </c>
      <c r="G42" s="5">
        <v>3</v>
      </c>
      <c r="H42" s="5">
        <v>2</v>
      </c>
      <c r="I42" s="5">
        <v>4</v>
      </c>
      <c r="J42" s="5">
        <v>4</v>
      </c>
      <c r="K42" s="5">
        <v>3</v>
      </c>
      <c r="L42" s="5">
        <v>4</v>
      </c>
      <c r="M42" s="5">
        <v>4</v>
      </c>
      <c r="N42" s="5">
        <f t="shared" si="0"/>
        <v>3.5</v>
      </c>
      <c r="O42" s="5" t="str" cm="1">
        <f t="array" ref="O42">_xlfn.SWITCH(TRUE, M42&lt;$R$9, "Low", M42&gt;$R$10, "High", "Moderate")</f>
        <v>High</v>
      </c>
      <c r="P42" s="5" t="str" cm="1">
        <f t="array" ref="P42">_xlfn.SWITCH(TRUE, M42&lt;$R$11, "Low", "High")</f>
        <v>High</v>
      </c>
      <c r="Q42" s="5"/>
      <c r="R42" s="5"/>
      <c r="S42" s="5"/>
      <c r="T42" s="5"/>
      <c r="W42" s="5"/>
      <c r="X42" s="5"/>
      <c r="Y42" s="5"/>
      <c r="Z42" s="5"/>
      <c r="AA42" s="5"/>
      <c r="AB42" s="5"/>
      <c r="AC42" s="5"/>
      <c r="AD42" s="5"/>
      <c r="AE42" s="5"/>
      <c r="AF42" s="5"/>
      <c r="AG42" s="5"/>
      <c r="AH42" s="5"/>
      <c r="AI42" s="5"/>
      <c r="AJ42" s="5"/>
      <c r="AK42" s="5"/>
      <c r="AL42" s="5"/>
      <c r="AM42" s="5"/>
      <c r="AN42" s="5"/>
    </row>
    <row r="43" spans="1:40" x14ac:dyDescent="0.35">
      <c r="A43" s="5">
        <v>40</v>
      </c>
      <c r="B43" s="5">
        <v>3</v>
      </c>
      <c r="C43" s="5">
        <v>2</v>
      </c>
      <c r="D43" s="5">
        <v>2</v>
      </c>
      <c r="E43" s="5">
        <v>1</v>
      </c>
      <c r="F43" s="5">
        <v>2</v>
      </c>
      <c r="G43" s="5">
        <v>3</v>
      </c>
      <c r="H43" s="5">
        <v>1</v>
      </c>
      <c r="I43" s="5">
        <v>1</v>
      </c>
      <c r="J43" s="5">
        <v>2</v>
      </c>
      <c r="K43" s="5">
        <v>2</v>
      </c>
      <c r="L43" s="5">
        <v>3</v>
      </c>
      <c r="M43" s="5">
        <v>2</v>
      </c>
      <c r="N43" s="5">
        <f t="shared" si="0"/>
        <v>2</v>
      </c>
      <c r="O43" s="5" t="str" cm="1">
        <f t="array" ref="O43">_xlfn.SWITCH(TRUE, M43&lt;$R$9, "Low", M43&gt;$R$10, "High", "Moderate")</f>
        <v>Moderate</v>
      </c>
      <c r="P43" s="5" t="str" cm="1">
        <f t="array" ref="P43">_xlfn.SWITCH(TRUE, M43&lt;$R$11, "Low", "High")</f>
        <v>High</v>
      </c>
      <c r="Q43" s="5"/>
      <c r="R43" s="5"/>
      <c r="S43" s="5"/>
      <c r="T43" s="5"/>
      <c r="W43" s="5"/>
      <c r="X43" s="5"/>
      <c r="Y43" s="5"/>
      <c r="Z43" s="5"/>
      <c r="AA43" s="5"/>
      <c r="AB43" s="5"/>
      <c r="AC43" s="5"/>
      <c r="AD43" s="5"/>
      <c r="AE43" s="5"/>
      <c r="AF43" s="5"/>
      <c r="AG43" s="5"/>
      <c r="AH43" s="5"/>
      <c r="AI43" s="5"/>
      <c r="AJ43" s="5"/>
      <c r="AK43" s="5"/>
      <c r="AL43" s="5"/>
      <c r="AM43" s="5"/>
      <c r="AN43" s="5"/>
    </row>
    <row r="44" spans="1:40" x14ac:dyDescent="0.35">
      <c r="A44" s="5">
        <v>41</v>
      </c>
      <c r="B44" s="5">
        <v>3</v>
      </c>
      <c r="C44" s="5">
        <v>3</v>
      </c>
      <c r="D44" s="5">
        <v>4</v>
      </c>
      <c r="E44" s="5">
        <v>3</v>
      </c>
      <c r="F44" s="5">
        <v>3</v>
      </c>
      <c r="G44" s="5">
        <v>3</v>
      </c>
      <c r="H44" s="5">
        <v>3</v>
      </c>
      <c r="I44" s="5">
        <v>1</v>
      </c>
      <c r="J44" s="5">
        <v>3</v>
      </c>
      <c r="K44" s="5">
        <v>3</v>
      </c>
      <c r="L44" s="5">
        <v>2</v>
      </c>
      <c r="M44" s="5">
        <v>3</v>
      </c>
      <c r="N44" s="5">
        <f t="shared" si="0"/>
        <v>2.8333333333333335</v>
      </c>
      <c r="O44" s="5" t="str" cm="1">
        <f t="array" ref="O44">_xlfn.SWITCH(TRUE, M44&lt;$R$9, "Low", M44&gt;$R$10, "High", "Moderate")</f>
        <v>Moderate</v>
      </c>
      <c r="P44" s="5" t="str" cm="1">
        <f t="array" ref="P44">_xlfn.SWITCH(TRUE, M44&lt;$R$11, "Low", "High")</f>
        <v>High</v>
      </c>
      <c r="Q44" s="5"/>
      <c r="R44" s="5"/>
      <c r="S44" s="5"/>
      <c r="T44" s="5"/>
      <c r="W44" s="5"/>
      <c r="X44" s="5"/>
      <c r="Y44" s="5"/>
      <c r="Z44" s="5"/>
      <c r="AA44" s="5"/>
      <c r="AB44" s="5"/>
      <c r="AC44" s="5"/>
      <c r="AD44" s="5"/>
      <c r="AE44" s="5"/>
      <c r="AF44" s="5"/>
      <c r="AG44" s="5"/>
      <c r="AH44" s="5"/>
      <c r="AI44" s="5"/>
      <c r="AJ44" s="5"/>
      <c r="AK44" s="5"/>
      <c r="AL44" s="5"/>
      <c r="AM44" s="5"/>
      <c r="AN44" s="5"/>
    </row>
    <row r="45" spans="1:40" x14ac:dyDescent="0.35">
      <c r="A45" s="5">
        <v>42</v>
      </c>
      <c r="B45" s="5">
        <v>2</v>
      </c>
      <c r="C45" s="5">
        <v>1</v>
      </c>
      <c r="D45" s="5">
        <v>2</v>
      </c>
      <c r="E45" s="5">
        <v>2</v>
      </c>
      <c r="F45" s="5">
        <v>2</v>
      </c>
      <c r="G45" s="5">
        <v>4</v>
      </c>
      <c r="H45" s="5">
        <v>2</v>
      </c>
      <c r="I45" s="5">
        <v>2</v>
      </c>
      <c r="J45" s="5">
        <v>2</v>
      </c>
      <c r="K45" s="5">
        <v>2</v>
      </c>
      <c r="L45" s="5">
        <v>2</v>
      </c>
      <c r="M45" s="5">
        <v>2</v>
      </c>
      <c r="N45" s="5">
        <f t="shared" si="0"/>
        <v>2.0833333333333335</v>
      </c>
      <c r="O45" s="5" t="str" cm="1">
        <f t="array" ref="O45">_xlfn.SWITCH(TRUE, M45&lt;$R$9, "Low", M45&gt;$R$10, "High", "Moderate")</f>
        <v>Moderate</v>
      </c>
      <c r="P45" s="5" t="str" cm="1">
        <f t="array" ref="P45">_xlfn.SWITCH(TRUE, M45&lt;$R$11, "Low", "High")</f>
        <v>High</v>
      </c>
      <c r="Q45" s="5"/>
      <c r="R45" s="5"/>
      <c r="S45" s="5"/>
      <c r="T45" s="5"/>
      <c r="W45" s="5"/>
      <c r="X45" s="5"/>
      <c r="Y45" s="5"/>
      <c r="Z45" s="5"/>
      <c r="AA45" s="5"/>
      <c r="AB45" s="5"/>
      <c r="AC45" s="5"/>
      <c r="AD45" s="5"/>
      <c r="AE45" s="5"/>
      <c r="AF45" s="5"/>
      <c r="AG45" s="5"/>
      <c r="AH45" s="5"/>
      <c r="AI45" s="5"/>
      <c r="AJ45" s="5"/>
      <c r="AK45" s="5"/>
      <c r="AL45" s="5"/>
      <c r="AM45" s="5"/>
      <c r="AN45" s="5"/>
    </row>
    <row r="46" spans="1:40" x14ac:dyDescent="0.35">
      <c r="A46" s="5">
        <v>43</v>
      </c>
      <c r="B46" s="5">
        <v>5</v>
      </c>
      <c r="C46" s="5">
        <v>5</v>
      </c>
      <c r="D46" s="5">
        <v>5</v>
      </c>
      <c r="E46" s="5">
        <v>5</v>
      </c>
      <c r="F46" s="5">
        <v>5</v>
      </c>
      <c r="G46" s="5">
        <v>1</v>
      </c>
      <c r="H46" s="5">
        <v>5</v>
      </c>
      <c r="I46" s="5">
        <v>5</v>
      </c>
      <c r="J46" s="5">
        <v>3</v>
      </c>
      <c r="K46" s="5">
        <v>5</v>
      </c>
      <c r="L46" s="5">
        <v>4</v>
      </c>
      <c r="M46" s="5">
        <v>3</v>
      </c>
      <c r="N46" s="5">
        <f t="shared" si="0"/>
        <v>4.25</v>
      </c>
      <c r="O46" s="5" t="str" cm="1">
        <f t="array" ref="O46">_xlfn.SWITCH(TRUE, M46&lt;$R$9, "Low", M46&gt;$R$10, "High", "Moderate")</f>
        <v>Moderate</v>
      </c>
      <c r="P46" s="5" t="str" cm="1">
        <f t="array" ref="P46">_xlfn.SWITCH(TRUE, M46&lt;$R$11, "Low", "High")</f>
        <v>High</v>
      </c>
      <c r="Q46" s="5"/>
      <c r="R46" s="5"/>
      <c r="S46" s="5"/>
      <c r="T46" s="5"/>
      <c r="W46" s="5"/>
      <c r="X46" s="5"/>
      <c r="Y46" s="5"/>
      <c r="Z46" s="5"/>
      <c r="AA46" s="5"/>
      <c r="AB46" s="5"/>
      <c r="AC46" s="5"/>
      <c r="AD46" s="5"/>
      <c r="AE46" s="5"/>
      <c r="AF46" s="5"/>
      <c r="AG46" s="5"/>
      <c r="AH46" s="5"/>
      <c r="AI46" s="5"/>
      <c r="AJ46" s="5"/>
      <c r="AK46" s="5"/>
      <c r="AL46" s="5"/>
      <c r="AM46" s="5"/>
      <c r="AN46" s="5"/>
    </row>
    <row r="47" spans="1:40" x14ac:dyDescent="0.35">
      <c r="A47" s="5">
        <v>44</v>
      </c>
      <c r="B47" s="5">
        <v>4</v>
      </c>
      <c r="C47" s="5">
        <v>3</v>
      </c>
      <c r="D47" s="5">
        <v>4</v>
      </c>
      <c r="E47" s="5">
        <v>4</v>
      </c>
      <c r="F47" s="5">
        <v>2</v>
      </c>
      <c r="G47" s="5">
        <v>2</v>
      </c>
      <c r="H47" s="5">
        <v>4</v>
      </c>
      <c r="I47" s="5">
        <v>3</v>
      </c>
      <c r="J47" s="5">
        <v>3</v>
      </c>
      <c r="K47" s="5">
        <v>3</v>
      </c>
      <c r="L47" s="5">
        <v>3</v>
      </c>
      <c r="M47" s="5">
        <v>3</v>
      </c>
      <c r="N47" s="5">
        <f t="shared" si="0"/>
        <v>3.1666666666666665</v>
      </c>
      <c r="O47" s="5" t="str" cm="1">
        <f t="array" ref="O47">_xlfn.SWITCH(TRUE, M47&lt;$R$9, "Low", M47&gt;$R$10, "High", "Moderate")</f>
        <v>Moderate</v>
      </c>
      <c r="P47" s="5" t="str" cm="1">
        <f t="array" ref="P47">_xlfn.SWITCH(TRUE, M47&lt;$R$11, "Low", "High")</f>
        <v>High</v>
      </c>
      <c r="Q47" s="5"/>
      <c r="R47" s="5"/>
      <c r="S47" s="5"/>
      <c r="T47" s="5"/>
      <c r="W47" s="5"/>
      <c r="X47" s="5"/>
      <c r="Y47" s="5"/>
      <c r="Z47" s="5"/>
      <c r="AA47" s="5"/>
      <c r="AB47" s="5"/>
      <c r="AC47" s="5"/>
      <c r="AD47" s="5"/>
      <c r="AE47" s="5"/>
      <c r="AF47" s="5"/>
      <c r="AG47" s="5"/>
      <c r="AH47" s="5"/>
      <c r="AI47" s="5"/>
      <c r="AJ47" s="5"/>
      <c r="AK47" s="5"/>
      <c r="AL47" s="5"/>
      <c r="AM47" s="5"/>
      <c r="AN47" s="5"/>
    </row>
    <row r="48" spans="1:40" x14ac:dyDescent="0.35">
      <c r="A48" s="5">
        <v>45</v>
      </c>
      <c r="B48" s="5">
        <v>1</v>
      </c>
      <c r="C48" s="5">
        <v>1</v>
      </c>
      <c r="D48" s="5">
        <v>4</v>
      </c>
      <c r="E48" s="5">
        <v>1</v>
      </c>
      <c r="F48" s="5">
        <v>1</v>
      </c>
      <c r="G48" s="5">
        <v>1</v>
      </c>
      <c r="H48" s="5">
        <v>1</v>
      </c>
      <c r="I48" s="5">
        <v>1</v>
      </c>
      <c r="J48" s="5">
        <v>2</v>
      </c>
      <c r="K48" s="5">
        <v>1</v>
      </c>
      <c r="L48" s="5">
        <v>1</v>
      </c>
      <c r="M48" s="5">
        <v>1</v>
      </c>
      <c r="N48" s="5">
        <f t="shared" si="0"/>
        <v>1.3333333333333333</v>
      </c>
      <c r="O48" s="5" t="str" cm="1">
        <f t="array" ref="O48">_xlfn.SWITCH(TRUE, M48&lt;$R$9, "Low", M48&gt;$R$10, "High", "Moderate")</f>
        <v>Low</v>
      </c>
      <c r="P48" s="5" t="str" cm="1">
        <f t="array" ref="P48">_xlfn.SWITCH(TRUE, M48&lt;$R$11, "Low", "High")</f>
        <v>Low</v>
      </c>
      <c r="Q48" s="5"/>
      <c r="R48" s="5"/>
      <c r="S48" s="5"/>
      <c r="T48" s="5"/>
      <c r="W48" s="5"/>
      <c r="X48" s="5"/>
      <c r="Y48" s="5"/>
      <c r="Z48" s="5"/>
      <c r="AA48" s="5"/>
      <c r="AB48" s="5"/>
      <c r="AC48" s="5"/>
      <c r="AD48" s="5"/>
      <c r="AE48" s="5"/>
      <c r="AF48" s="5"/>
      <c r="AG48" s="5"/>
      <c r="AH48" s="5"/>
      <c r="AI48" s="5"/>
      <c r="AJ48" s="5"/>
      <c r="AK48" s="5"/>
      <c r="AL48" s="5"/>
      <c r="AM48" s="5"/>
      <c r="AN48" s="5"/>
    </row>
    <row r="49" spans="1:40" x14ac:dyDescent="0.35">
      <c r="A49" s="5">
        <v>46</v>
      </c>
      <c r="B49" s="5">
        <v>4</v>
      </c>
      <c r="C49" s="5">
        <v>3</v>
      </c>
      <c r="D49" s="5">
        <v>5</v>
      </c>
      <c r="E49" s="5">
        <v>5</v>
      </c>
      <c r="F49" s="5">
        <v>1</v>
      </c>
      <c r="G49" s="5">
        <v>3</v>
      </c>
      <c r="H49" s="5">
        <v>3</v>
      </c>
      <c r="I49" s="5">
        <v>1</v>
      </c>
      <c r="J49" s="5">
        <v>3</v>
      </c>
      <c r="K49" s="5">
        <v>3</v>
      </c>
      <c r="L49" s="5">
        <v>3</v>
      </c>
      <c r="M49" s="5">
        <v>3</v>
      </c>
      <c r="N49" s="5">
        <f t="shared" si="0"/>
        <v>3.0833333333333335</v>
      </c>
      <c r="O49" s="5" t="str" cm="1">
        <f t="array" ref="O49">_xlfn.SWITCH(TRUE, M49&lt;$R$9, "Low", M49&gt;$R$10, "High", "Moderate")</f>
        <v>Moderate</v>
      </c>
      <c r="P49" s="5" t="str" cm="1">
        <f t="array" ref="P49">_xlfn.SWITCH(TRUE, M49&lt;$R$11, "Low", "High")</f>
        <v>High</v>
      </c>
      <c r="Q49" s="5"/>
      <c r="R49" s="5"/>
      <c r="S49" s="5"/>
      <c r="T49" s="5"/>
      <c r="W49" s="5"/>
      <c r="X49" s="5"/>
      <c r="Y49" s="5"/>
      <c r="Z49" s="5"/>
      <c r="AA49" s="5"/>
      <c r="AB49" s="5"/>
      <c r="AC49" s="5"/>
      <c r="AD49" s="5"/>
      <c r="AE49" s="5"/>
      <c r="AF49" s="5"/>
      <c r="AG49" s="5"/>
      <c r="AH49" s="5"/>
      <c r="AI49" s="5"/>
      <c r="AJ49" s="5"/>
      <c r="AK49" s="5"/>
      <c r="AL49" s="5"/>
      <c r="AM49" s="5"/>
      <c r="AN49" s="5"/>
    </row>
    <row r="50" spans="1:40" x14ac:dyDescent="0.35">
      <c r="A50" s="5">
        <v>47</v>
      </c>
      <c r="B50" s="5">
        <v>3</v>
      </c>
      <c r="C50" s="5">
        <v>2</v>
      </c>
      <c r="D50" s="5">
        <v>2</v>
      </c>
      <c r="E50" s="5">
        <v>3</v>
      </c>
      <c r="F50" s="5">
        <v>2</v>
      </c>
      <c r="G50" s="5">
        <v>2</v>
      </c>
      <c r="H50" s="5">
        <v>2</v>
      </c>
      <c r="I50" s="5">
        <v>2</v>
      </c>
      <c r="J50" s="5">
        <v>2</v>
      </c>
      <c r="K50" s="5">
        <v>2</v>
      </c>
      <c r="L50" s="5">
        <v>2</v>
      </c>
      <c r="M50" s="5">
        <v>2</v>
      </c>
      <c r="N50" s="5">
        <f t="shared" si="0"/>
        <v>2.1666666666666665</v>
      </c>
      <c r="O50" s="5" t="str" cm="1">
        <f t="array" ref="O50">_xlfn.SWITCH(TRUE, M50&lt;$R$9, "Low", M50&gt;$R$10, "High", "Moderate")</f>
        <v>Moderate</v>
      </c>
      <c r="P50" s="5" t="str" cm="1">
        <f t="array" ref="P50">_xlfn.SWITCH(TRUE, M50&lt;$R$11, "Low", "High")</f>
        <v>High</v>
      </c>
      <c r="Q50" s="5"/>
      <c r="R50" s="5"/>
      <c r="S50" s="5"/>
      <c r="T50" s="5"/>
      <c r="W50" s="5"/>
      <c r="X50" s="5"/>
      <c r="Y50" s="5"/>
      <c r="Z50" s="5"/>
      <c r="AA50" s="5"/>
      <c r="AB50" s="5"/>
      <c r="AC50" s="5"/>
      <c r="AD50" s="5"/>
      <c r="AE50" s="5"/>
      <c r="AF50" s="5"/>
      <c r="AG50" s="5"/>
      <c r="AH50" s="5"/>
      <c r="AI50" s="5"/>
      <c r="AJ50" s="5"/>
      <c r="AK50" s="5"/>
      <c r="AL50" s="5"/>
      <c r="AM50" s="5"/>
      <c r="AN50" s="5"/>
    </row>
    <row r="51" spans="1:40" x14ac:dyDescent="0.35">
      <c r="A51" s="5">
        <v>48</v>
      </c>
      <c r="B51" s="5">
        <v>4</v>
      </c>
      <c r="C51" s="5">
        <v>4</v>
      </c>
      <c r="D51" s="5">
        <v>5</v>
      </c>
      <c r="E51" s="5">
        <v>4</v>
      </c>
      <c r="F51" s="5">
        <v>5</v>
      </c>
      <c r="G51" s="5">
        <v>1</v>
      </c>
      <c r="H51" s="5">
        <v>4</v>
      </c>
      <c r="I51" s="5">
        <v>3</v>
      </c>
      <c r="J51" s="5">
        <v>4</v>
      </c>
      <c r="K51" s="5">
        <v>4</v>
      </c>
      <c r="L51" s="5">
        <v>3</v>
      </c>
      <c r="M51" s="5">
        <v>2</v>
      </c>
      <c r="N51" s="5">
        <f t="shared" si="0"/>
        <v>3.5833333333333335</v>
      </c>
      <c r="O51" s="5" t="str" cm="1">
        <f t="array" ref="O51">_xlfn.SWITCH(TRUE, M51&lt;$R$9, "Low", M51&gt;$R$10, "High", "Moderate")</f>
        <v>Moderate</v>
      </c>
      <c r="P51" s="5" t="str" cm="1">
        <f t="array" ref="P51">_xlfn.SWITCH(TRUE, M51&lt;$R$11, "Low", "High")</f>
        <v>High</v>
      </c>
      <c r="Q51" s="5"/>
      <c r="R51" s="5"/>
      <c r="S51" s="5"/>
      <c r="T51" s="5"/>
      <c r="W51" s="5"/>
      <c r="X51" s="5"/>
      <c r="Y51" s="5"/>
      <c r="Z51" s="5"/>
      <c r="AA51" s="5"/>
      <c r="AB51" s="5"/>
      <c r="AC51" s="5"/>
      <c r="AD51" s="5"/>
      <c r="AE51" s="5"/>
      <c r="AF51" s="5"/>
      <c r="AG51" s="5"/>
      <c r="AH51" s="5"/>
      <c r="AI51" s="5"/>
      <c r="AJ51" s="5"/>
      <c r="AK51" s="5"/>
      <c r="AL51" s="5"/>
      <c r="AM51" s="5"/>
      <c r="AN51" s="5"/>
    </row>
    <row r="52" spans="1:40" x14ac:dyDescent="0.35">
      <c r="A52" s="5">
        <v>49</v>
      </c>
      <c r="B52" s="5">
        <v>3</v>
      </c>
      <c r="C52" s="5">
        <v>3</v>
      </c>
      <c r="D52" s="5">
        <v>2</v>
      </c>
      <c r="E52" s="5">
        <v>3</v>
      </c>
      <c r="F52" s="5">
        <v>2</v>
      </c>
      <c r="G52" s="5">
        <v>3</v>
      </c>
      <c r="H52" s="5">
        <v>1</v>
      </c>
      <c r="I52" s="5">
        <v>3</v>
      </c>
      <c r="J52" s="5">
        <v>3</v>
      </c>
      <c r="K52" s="5">
        <v>3</v>
      </c>
      <c r="L52" s="5">
        <v>2</v>
      </c>
      <c r="M52" s="5">
        <v>2</v>
      </c>
      <c r="N52" s="5">
        <f t="shared" si="0"/>
        <v>2.5</v>
      </c>
      <c r="O52" s="5" t="str" cm="1">
        <f t="array" ref="O52">_xlfn.SWITCH(TRUE, M52&lt;$R$9, "Low", M52&gt;$R$10, "High", "Moderate")</f>
        <v>Moderate</v>
      </c>
      <c r="P52" s="5" t="str" cm="1">
        <f t="array" ref="P52">_xlfn.SWITCH(TRUE, M52&lt;$R$11, "Low", "High")</f>
        <v>High</v>
      </c>
      <c r="Q52" s="5"/>
      <c r="R52" s="5"/>
      <c r="S52" s="5"/>
      <c r="T52" s="5"/>
      <c r="W52" s="5"/>
      <c r="X52" s="5"/>
      <c r="Y52" s="5"/>
      <c r="Z52" s="5"/>
      <c r="AA52" s="5"/>
      <c r="AB52" s="5"/>
      <c r="AC52" s="5"/>
      <c r="AD52" s="5"/>
      <c r="AE52" s="5"/>
      <c r="AF52" s="5"/>
      <c r="AG52" s="5"/>
      <c r="AH52" s="5"/>
      <c r="AI52" s="5"/>
      <c r="AJ52" s="5"/>
      <c r="AK52" s="5"/>
      <c r="AL52" s="5"/>
      <c r="AM52" s="5"/>
      <c r="AN52" s="5"/>
    </row>
    <row r="53" spans="1:40" x14ac:dyDescent="0.35">
      <c r="A53" s="5">
        <v>50</v>
      </c>
      <c r="B53" s="5">
        <v>3</v>
      </c>
      <c r="C53" s="5">
        <v>4</v>
      </c>
      <c r="D53" s="5">
        <v>5</v>
      </c>
      <c r="E53" s="5">
        <v>4</v>
      </c>
      <c r="F53" s="5">
        <v>5</v>
      </c>
      <c r="G53" s="5">
        <v>1</v>
      </c>
      <c r="H53" s="5">
        <v>4</v>
      </c>
      <c r="I53" s="5">
        <v>3</v>
      </c>
      <c r="J53" s="5">
        <v>4</v>
      </c>
      <c r="K53" s="5">
        <v>4</v>
      </c>
      <c r="L53" s="5">
        <v>4</v>
      </c>
      <c r="M53" s="5">
        <v>4</v>
      </c>
      <c r="N53" s="5">
        <f t="shared" si="0"/>
        <v>3.75</v>
      </c>
      <c r="O53" s="5" t="str" cm="1">
        <f t="array" ref="O53">_xlfn.SWITCH(TRUE, M53&lt;$R$9, "Low", M53&gt;$R$10, "High", "Moderate")</f>
        <v>High</v>
      </c>
      <c r="P53" s="5" t="str" cm="1">
        <f t="array" ref="P53">_xlfn.SWITCH(TRUE, M53&lt;$R$11, "Low", "High")</f>
        <v>High</v>
      </c>
      <c r="Q53" s="5"/>
      <c r="R53" s="5"/>
      <c r="S53" s="5"/>
      <c r="T53" s="5"/>
      <c r="W53" s="5"/>
      <c r="X53" s="5"/>
      <c r="Y53" s="5"/>
      <c r="Z53" s="5"/>
      <c r="AA53" s="5"/>
      <c r="AB53" s="5"/>
      <c r="AC53" s="5"/>
      <c r="AD53" s="5"/>
      <c r="AE53" s="5"/>
      <c r="AF53" s="5"/>
      <c r="AG53" s="5"/>
      <c r="AH53" s="5"/>
      <c r="AI53" s="5"/>
      <c r="AJ53" s="5"/>
      <c r="AK53" s="5"/>
      <c r="AL53" s="5"/>
      <c r="AM53" s="5"/>
      <c r="AN53" s="5"/>
    </row>
    <row r="54" spans="1:40" x14ac:dyDescent="0.35">
      <c r="A54" s="5">
        <v>51</v>
      </c>
      <c r="B54" s="5">
        <v>2</v>
      </c>
      <c r="C54" s="5">
        <v>3</v>
      </c>
      <c r="D54" s="5">
        <v>2</v>
      </c>
      <c r="E54" s="5">
        <v>1</v>
      </c>
      <c r="F54" s="5">
        <v>2</v>
      </c>
      <c r="G54" s="5">
        <v>2</v>
      </c>
      <c r="H54" s="5">
        <v>2</v>
      </c>
      <c r="I54" s="5">
        <v>2</v>
      </c>
      <c r="J54" s="5">
        <v>3</v>
      </c>
      <c r="K54" s="5">
        <v>2</v>
      </c>
      <c r="L54" s="5">
        <v>2</v>
      </c>
      <c r="M54" s="5">
        <v>3</v>
      </c>
      <c r="N54" s="5">
        <f t="shared" si="0"/>
        <v>2.1666666666666665</v>
      </c>
      <c r="O54" s="5" t="str" cm="1">
        <f t="array" ref="O54">_xlfn.SWITCH(TRUE, M54&lt;$R$9, "Low", M54&gt;$R$10, "High", "Moderate")</f>
        <v>Moderate</v>
      </c>
      <c r="P54" s="5" t="str" cm="1">
        <f t="array" ref="P54">_xlfn.SWITCH(TRUE, M54&lt;$R$11, "Low", "High")</f>
        <v>High</v>
      </c>
      <c r="Q54" s="5"/>
      <c r="R54" s="5"/>
      <c r="S54" s="5"/>
      <c r="T54" s="5"/>
      <c r="W54" s="5"/>
      <c r="X54" s="5"/>
      <c r="Y54" s="5"/>
      <c r="Z54" s="5"/>
      <c r="AA54" s="5"/>
      <c r="AB54" s="5"/>
      <c r="AC54" s="5"/>
      <c r="AD54" s="5"/>
      <c r="AE54" s="5"/>
      <c r="AF54" s="5"/>
      <c r="AG54" s="5"/>
      <c r="AH54" s="5"/>
      <c r="AI54" s="5"/>
      <c r="AJ54" s="5"/>
      <c r="AK54" s="5"/>
      <c r="AL54" s="5"/>
      <c r="AM54" s="5"/>
      <c r="AN54" s="5"/>
    </row>
    <row r="55" spans="1:40" x14ac:dyDescent="0.35">
      <c r="A55" s="5">
        <v>52</v>
      </c>
      <c r="B55" s="5">
        <v>1</v>
      </c>
      <c r="C55" s="5">
        <v>5</v>
      </c>
      <c r="D55" s="5">
        <v>1</v>
      </c>
      <c r="E55" s="5">
        <v>1</v>
      </c>
      <c r="F55" s="5">
        <v>1</v>
      </c>
      <c r="G55" s="5">
        <v>1</v>
      </c>
      <c r="H55" s="5">
        <v>1</v>
      </c>
      <c r="I55" s="5">
        <v>1</v>
      </c>
      <c r="J55" s="5">
        <v>3</v>
      </c>
      <c r="K55" s="5">
        <v>1</v>
      </c>
      <c r="L55" s="5">
        <v>1</v>
      </c>
      <c r="M55" s="5">
        <v>1</v>
      </c>
      <c r="N55" s="5">
        <f t="shared" si="0"/>
        <v>1.5</v>
      </c>
      <c r="O55" s="5" t="str" cm="1">
        <f t="array" ref="O55">_xlfn.SWITCH(TRUE, M55&lt;$R$9, "Low", M55&gt;$R$10, "High", "Moderate")</f>
        <v>Low</v>
      </c>
      <c r="P55" s="5" t="str" cm="1">
        <f t="array" ref="P55">_xlfn.SWITCH(TRUE, M55&lt;$R$11, "Low", "High")</f>
        <v>Low</v>
      </c>
      <c r="Q55" s="5"/>
      <c r="R55" s="5"/>
      <c r="S55" s="5"/>
      <c r="T55" s="5"/>
      <c r="W55" s="5"/>
      <c r="X55" s="5"/>
      <c r="Y55" s="5"/>
      <c r="Z55" s="5"/>
      <c r="AA55" s="5"/>
      <c r="AB55" s="5"/>
      <c r="AC55" s="5"/>
      <c r="AD55" s="5"/>
      <c r="AE55" s="5"/>
      <c r="AF55" s="5"/>
      <c r="AG55" s="5"/>
      <c r="AH55" s="5"/>
      <c r="AI55" s="5"/>
      <c r="AJ55" s="5"/>
      <c r="AK55" s="5"/>
      <c r="AL55" s="5"/>
      <c r="AM55" s="5"/>
      <c r="AN55" s="5"/>
    </row>
    <row r="56" spans="1:40" x14ac:dyDescent="0.35">
      <c r="A56" s="5">
        <v>53</v>
      </c>
      <c r="B56" s="5">
        <v>4</v>
      </c>
      <c r="C56" s="5">
        <v>4</v>
      </c>
      <c r="D56" s="5">
        <v>4</v>
      </c>
      <c r="E56" s="5">
        <v>4</v>
      </c>
      <c r="F56" s="5">
        <v>4</v>
      </c>
      <c r="G56" s="5">
        <v>1</v>
      </c>
      <c r="H56" s="5">
        <v>3</v>
      </c>
      <c r="I56" s="5">
        <v>2</v>
      </c>
      <c r="J56" s="5">
        <v>4</v>
      </c>
      <c r="K56" s="5">
        <v>3</v>
      </c>
      <c r="L56" s="5">
        <v>4</v>
      </c>
      <c r="M56" s="5">
        <v>4</v>
      </c>
      <c r="N56" s="5">
        <f t="shared" si="0"/>
        <v>3.4166666666666665</v>
      </c>
      <c r="O56" s="5" t="str" cm="1">
        <f t="array" ref="O56">_xlfn.SWITCH(TRUE, M56&lt;$R$9, "Low", M56&gt;$R$10, "High", "Moderate")</f>
        <v>High</v>
      </c>
      <c r="P56" s="5" t="str" cm="1">
        <f t="array" ref="P56">_xlfn.SWITCH(TRUE, M56&lt;$R$11, "Low", "High")</f>
        <v>High</v>
      </c>
      <c r="Q56" s="5"/>
      <c r="R56" s="5"/>
      <c r="S56" s="5"/>
      <c r="T56" s="5"/>
      <c r="W56" s="5"/>
      <c r="X56" s="5"/>
      <c r="Y56" s="5"/>
      <c r="Z56" s="5"/>
      <c r="AA56" s="5"/>
      <c r="AB56" s="5"/>
      <c r="AC56" s="5"/>
      <c r="AD56" s="5"/>
      <c r="AE56" s="5"/>
      <c r="AF56" s="5"/>
      <c r="AG56" s="5"/>
      <c r="AH56" s="5"/>
      <c r="AI56" s="5"/>
      <c r="AJ56" s="5"/>
      <c r="AK56" s="5"/>
      <c r="AL56" s="5"/>
      <c r="AM56" s="5"/>
      <c r="AN56" s="5"/>
    </row>
    <row r="57" spans="1:40" x14ac:dyDescent="0.35">
      <c r="A57" s="5">
        <v>54</v>
      </c>
      <c r="B57" s="5">
        <v>4</v>
      </c>
      <c r="C57" s="5">
        <v>3</v>
      </c>
      <c r="D57" s="5">
        <v>5</v>
      </c>
      <c r="E57" s="5">
        <v>4</v>
      </c>
      <c r="F57" s="5">
        <v>3</v>
      </c>
      <c r="G57" s="5">
        <v>3</v>
      </c>
      <c r="H57" s="5">
        <v>4</v>
      </c>
      <c r="I57" s="5">
        <v>3</v>
      </c>
      <c r="J57" s="5">
        <v>4</v>
      </c>
      <c r="K57" s="5">
        <v>4</v>
      </c>
      <c r="L57" s="5">
        <v>4</v>
      </c>
      <c r="M57" s="5">
        <v>3</v>
      </c>
      <c r="N57" s="5">
        <f t="shared" si="0"/>
        <v>3.6666666666666665</v>
      </c>
      <c r="O57" s="5" t="str" cm="1">
        <f t="array" ref="O57">_xlfn.SWITCH(TRUE, M57&lt;$R$9, "Low", M57&gt;$R$10, "High", "Moderate")</f>
        <v>Moderate</v>
      </c>
      <c r="P57" s="5" t="str" cm="1">
        <f t="array" ref="P57">_xlfn.SWITCH(TRUE, M57&lt;$R$11, "Low", "High")</f>
        <v>High</v>
      </c>
      <c r="Q57" s="5"/>
      <c r="R57" s="5"/>
      <c r="S57" s="5"/>
      <c r="T57" s="5"/>
      <c r="W57" s="5"/>
      <c r="X57" s="5"/>
      <c r="Y57" s="5"/>
      <c r="Z57" s="5"/>
      <c r="AA57" s="5"/>
      <c r="AB57" s="5"/>
      <c r="AC57" s="5"/>
      <c r="AD57" s="5"/>
      <c r="AE57" s="5"/>
      <c r="AF57" s="5"/>
      <c r="AG57" s="5"/>
      <c r="AH57" s="5"/>
      <c r="AI57" s="5"/>
      <c r="AJ57" s="5"/>
      <c r="AK57" s="5"/>
      <c r="AL57" s="5"/>
      <c r="AM57" s="5"/>
      <c r="AN57" s="5"/>
    </row>
    <row r="58" spans="1:40" x14ac:dyDescent="0.35">
      <c r="A58" s="5">
        <v>55</v>
      </c>
      <c r="B58" s="5">
        <v>2</v>
      </c>
      <c r="C58" s="5">
        <v>2</v>
      </c>
      <c r="D58" s="5">
        <v>5</v>
      </c>
      <c r="E58" s="5">
        <v>4</v>
      </c>
      <c r="F58" s="5">
        <v>4</v>
      </c>
      <c r="G58" s="5">
        <v>1</v>
      </c>
      <c r="H58" s="5">
        <v>3</v>
      </c>
      <c r="I58" s="5">
        <v>3</v>
      </c>
      <c r="J58" s="5">
        <v>4</v>
      </c>
      <c r="K58" s="5">
        <v>3</v>
      </c>
      <c r="L58" s="5">
        <v>3</v>
      </c>
      <c r="M58" s="5">
        <v>4</v>
      </c>
      <c r="N58" s="5">
        <f t="shared" si="0"/>
        <v>3.1666666666666665</v>
      </c>
      <c r="O58" s="5" t="str" cm="1">
        <f t="array" ref="O58">_xlfn.SWITCH(TRUE, M58&lt;$R$9, "Low", M58&gt;$R$10, "High", "Moderate")</f>
        <v>High</v>
      </c>
      <c r="P58" s="5" t="str" cm="1">
        <f t="array" ref="P58">_xlfn.SWITCH(TRUE, M58&lt;$R$11, "Low", "High")</f>
        <v>High</v>
      </c>
      <c r="Q58" s="5"/>
      <c r="R58" s="5"/>
      <c r="S58" s="5"/>
      <c r="T58" s="5"/>
      <c r="W58" s="5"/>
      <c r="X58" s="5"/>
      <c r="Y58" s="5"/>
      <c r="Z58" s="5"/>
      <c r="AA58" s="5"/>
      <c r="AB58" s="5"/>
      <c r="AC58" s="5"/>
      <c r="AD58" s="5"/>
      <c r="AE58" s="5"/>
      <c r="AF58" s="5"/>
      <c r="AG58" s="5"/>
      <c r="AH58" s="5"/>
      <c r="AI58" s="5"/>
      <c r="AJ58" s="5"/>
      <c r="AK58" s="5"/>
      <c r="AL58" s="5"/>
      <c r="AM58" s="5"/>
      <c r="AN58" s="5"/>
    </row>
    <row r="59" spans="1:40" x14ac:dyDescent="0.35">
      <c r="A59" s="5">
        <v>56</v>
      </c>
      <c r="B59" s="5">
        <v>3</v>
      </c>
      <c r="C59" s="5">
        <v>3</v>
      </c>
      <c r="D59" s="5">
        <v>3</v>
      </c>
      <c r="E59" s="5">
        <v>4</v>
      </c>
      <c r="F59" s="5">
        <v>3</v>
      </c>
      <c r="G59" s="5">
        <v>1</v>
      </c>
      <c r="H59" s="5">
        <v>3</v>
      </c>
      <c r="I59" s="5">
        <v>3</v>
      </c>
      <c r="J59" s="5">
        <v>1</v>
      </c>
      <c r="K59" s="5">
        <v>2</v>
      </c>
      <c r="L59" s="5">
        <v>1</v>
      </c>
      <c r="M59" s="5">
        <v>3</v>
      </c>
      <c r="N59" s="5">
        <f t="shared" si="0"/>
        <v>2.5</v>
      </c>
      <c r="O59" s="5" t="str" cm="1">
        <f t="array" ref="O59">_xlfn.SWITCH(TRUE, M59&lt;$R$9, "Low", M59&gt;$R$10, "High", "Moderate")</f>
        <v>Moderate</v>
      </c>
      <c r="P59" s="5" t="str" cm="1">
        <f t="array" ref="P59">_xlfn.SWITCH(TRUE, M59&lt;$R$11, "Low", "High")</f>
        <v>High</v>
      </c>
      <c r="Q59" s="5"/>
      <c r="R59" s="5"/>
      <c r="S59" s="5"/>
      <c r="T59" s="5"/>
      <c r="W59" s="5"/>
      <c r="X59" s="5"/>
      <c r="Y59" s="5"/>
      <c r="Z59" s="5"/>
      <c r="AA59" s="5"/>
      <c r="AB59" s="5"/>
      <c r="AC59" s="5"/>
      <c r="AD59" s="5"/>
      <c r="AE59" s="5"/>
      <c r="AF59" s="5"/>
      <c r="AG59" s="5"/>
      <c r="AH59" s="5"/>
      <c r="AI59" s="5"/>
      <c r="AJ59" s="5"/>
      <c r="AK59" s="5"/>
      <c r="AL59" s="5"/>
      <c r="AM59" s="5"/>
      <c r="AN59" s="5"/>
    </row>
    <row r="60" spans="1:40" x14ac:dyDescent="0.35">
      <c r="A60" s="5">
        <v>57</v>
      </c>
      <c r="B60" s="5">
        <v>4</v>
      </c>
      <c r="C60" s="5">
        <v>4</v>
      </c>
      <c r="D60" s="5">
        <v>5</v>
      </c>
      <c r="E60" s="5">
        <v>4</v>
      </c>
      <c r="F60" s="5">
        <v>5</v>
      </c>
      <c r="G60" s="5">
        <v>5</v>
      </c>
      <c r="H60" s="5">
        <v>5</v>
      </c>
      <c r="I60" s="5">
        <v>1</v>
      </c>
      <c r="J60" s="5">
        <v>4</v>
      </c>
      <c r="K60" s="5">
        <v>5</v>
      </c>
      <c r="L60" s="5">
        <v>5</v>
      </c>
      <c r="M60" s="5">
        <v>3</v>
      </c>
      <c r="N60" s="5">
        <f t="shared" si="0"/>
        <v>4.166666666666667</v>
      </c>
      <c r="O60" s="5" t="str" cm="1">
        <f t="array" ref="O60">_xlfn.SWITCH(TRUE, M60&lt;$R$9, "Low", M60&gt;$R$10, "High", "Moderate")</f>
        <v>Moderate</v>
      </c>
      <c r="P60" s="5" t="str" cm="1">
        <f t="array" ref="P60">_xlfn.SWITCH(TRUE, M60&lt;$R$11, "Low", "High")</f>
        <v>High</v>
      </c>
      <c r="Q60" s="5"/>
      <c r="R60" s="5"/>
      <c r="S60" s="5"/>
      <c r="T60" s="5"/>
      <c r="W60" s="5"/>
      <c r="X60" s="5"/>
      <c r="Y60" s="5"/>
      <c r="Z60" s="5"/>
      <c r="AA60" s="5"/>
      <c r="AB60" s="5"/>
      <c r="AC60" s="5"/>
      <c r="AD60" s="5"/>
      <c r="AE60" s="5"/>
      <c r="AF60" s="5"/>
      <c r="AG60" s="5"/>
      <c r="AH60" s="5"/>
      <c r="AI60" s="5"/>
      <c r="AJ60" s="5"/>
      <c r="AK60" s="5"/>
      <c r="AL60" s="5"/>
      <c r="AM60" s="5"/>
      <c r="AN60" s="5"/>
    </row>
    <row r="61" spans="1:40" x14ac:dyDescent="0.35">
      <c r="A61" s="5">
        <v>58</v>
      </c>
      <c r="B61" s="5">
        <v>3</v>
      </c>
      <c r="C61" s="5">
        <v>3</v>
      </c>
      <c r="D61" s="5">
        <v>3</v>
      </c>
      <c r="E61" s="5">
        <v>2</v>
      </c>
      <c r="F61" s="5">
        <v>3</v>
      </c>
      <c r="G61" s="5">
        <v>2</v>
      </c>
      <c r="H61" s="5">
        <v>3</v>
      </c>
      <c r="I61" s="5">
        <v>3</v>
      </c>
      <c r="J61" s="5">
        <v>2</v>
      </c>
      <c r="K61" s="5">
        <v>2</v>
      </c>
      <c r="L61" s="5">
        <v>2</v>
      </c>
      <c r="M61" s="5">
        <v>3</v>
      </c>
      <c r="N61" s="5">
        <f t="shared" si="0"/>
        <v>2.5833333333333335</v>
      </c>
      <c r="O61" s="5" t="str" cm="1">
        <f t="array" ref="O61">_xlfn.SWITCH(TRUE, M61&lt;$R$9, "Low", M61&gt;$R$10, "High", "Moderate")</f>
        <v>Moderate</v>
      </c>
      <c r="P61" s="5" t="str" cm="1">
        <f t="array" ref="P61">_xlfn.SWITCH(TRUE, M61&lt;$R$11, "Low", "High")</f>
        <v>High</v>
      </c>
      <c r="Q61" s="5"/>
      <c r="R61" s="5"/>
      <c r="S61" s="5"/>
      <c r="T61" s="5"/>
      <c r="W61" s="5"/>
      <c r="X61" s="5"/>
      <c r="Y61" s="5"/>
      <c r="Z61" s="5"/>
      <c r="AA61" s="5"/>
      <c r="AB61" s="5"/>
      <c r="AC61" s="5"/>
      <c r="AD61" s="5"/>
      <c r="AE61" s="5"/>
      <c r="AF61" s="5"/>
      <c r="AG61" s="5"/>
      <c r="AH61" s="5"/>
      <c r="AI61" s="5"/>
      <c r="AJ61" s="5"/>
      <c r="AK61" s="5"/>
      <c r="AL61" s="5"/>
      <c r="AM61" s="5"/>
      <c r="AN61" s="5"/>
    </row>
    <row r="62" spans="1:40" x14ac:dyDescent="0.35">
      <c r="A62" s="5">
        <v>59</v>
      </c>
      <c r="B62" s="5">
        <v>4</v>
      </c>
      <c r="C62" s="5">
        <v>3</v>
      </c>
      <c r="D62" s="5">
        <v>3</v>
      </c>
      <c r="E62" s="5">
        <v>5</v>
      </c>
      <c r="F62" s="5">
        <v>5</v>
      </c>
      <c r="G62" s="5">
        <v>1</v>
      </c>
      <c r="H62" s="5">
        <v>1</v>
      </c>
      <c r="I62" s="5">
        <v>4</v>
      </c>
      <c r="J62" s="5">
        <v>3</v>
      </c>
      <c r="K62" s="5">
        <v>1</v>
      </c>
      <c r="L62" s="5">
        <v>2</v>
      </c>
      <c r="M62" s="5">
        <v>3</v>
      </c>
      <c r="N62" s="5">
        <f t="shared" si="0"/>
        <v>2.9166666666666665</v>
      </c>
      <c r="O62" s="5" t="str" cm="1">
        <f t="array" ref="O62">_xlfn.SWITCH(TRUE, M62&lt;$R$9, "Low", M62&gt;$R$10, "High", "Moderate")</f>
        <v>Moderate</v>
      </c>
      <c r="P62" s="5" t="str" cm="1">
        <f t="array" ref="P62">_xlfn.SWITCH(TRUE, M62&lt;$R$11, "Low", "High")</f>
        <v>High</v>
      </c>
      <c r="Q62" s="5"/>
      <c r="R62" s="5"/>
      <c r="S62" s="5"/>
      <c r="T62" s="5"/>
      <c r="W62" s="5"/>
      <c r="X62" s="5"/>
      <c r="Y62" s="5"/>
      <c r="Z62" s="5"/>
      <c r="AA62" s="5"/>
      <c r="AB62" s="5"/>
      <c r="AC62" s="5"/>
      <c r="AD62" s="5"/>
      <c r="AE62" s="5"/>
      <c r="AF62" s="5"/>
      <c r="AG62" s="5"/>
      <c r="AH62" s="5"/>
      <c r="AI62" s="5"/>
      <c r="AJ62" s="5"/>
      <c r="AK62" s="5"/>
      <c r="AL62" s="5"/>
      <c r="AM62" s="5"/>
      <c r="AN62" s="5"/>
    </row>
    <row r="63" spans="1:40" x14ac:dyDescent="0.35">
      <c r="A63" s="5">
        <v>60</v>
      </c>
      <c r="B63" s="5">
        <v>4</v>
      </c>
      <c r="C63" s="5">
        <v>4</v>
      </c>
      <c r="D63" s="5">
        <v>5</v>
      </c>
      <c r="E63" s="5">
        <v>3</v>
      </c>
      <c r="F63" s="5">
        <v>2</v>
      </c>
      <c r="G63" s="5">
        <v>1</v>
      </c>
      <c r="H63" s="5">
        <v>5</v>
      </c>
      <c r="I63" s="5">
        <v>2</v>
      </c>
      <c r="J63" s="5">
        <v>4</v>
      </c>
      <c r="K63" s="5">
        <v>4</v>
      </c>
      <c r="L63" s="5">
        <v>4</v>
      </c>
      <c r="M63" s="5">
        <v>2</v>
      </c>
      <c r="N63" s="5">
        <f t="shared" si="0"/>
        <v>3.3333333333333335</v>
      </c>
      <c r="O63" s="5" t="str" cm="1">
        <f t="array" ref="O63">_xlfn.SWITCH(TRUE, M63&lt;$R$9, "Low", M63&gt;$R$10, "High", "Moderate")</f>
        <v>Moderate</v>
      </c>
      <c r="P63" s="5" t="str" cm="1">
        <f t="array" ref="P63">_xlfn.SWITCH(TRUE, M63&lt;$R$11, "Low", "High")</f>
        <v>High</v>
      </c>
      <c r="Q63" s="5"/>
      <c r="R63" s="5"/>
      <c r="S63" s="5"/>
      <c r="T63" s="5"/>
      <c r="W63" s="5"/>
      <c r="X63" s="5"/>
      <c r="Y63" s="5"/>
      <c r="Z63" s="5"/>
      <c r="AA63" s="5"/>
      <c r="AB63" s="5"/>
      <c r="AC63" s="5"/>
      <c r="AD63" s="5"/>
      <c r="AE63" s="5"/>
      <c r="AF63" s="5"/>
      <c r="AG63" s="5"/>
      <c r="AH63" s="5"/>
      <c r="AI63" s="5"/>
      <c r="AJ63" s="5"/>
      <c r="AK63" s="5"/>
      <c r="AL63" s="5"/>
      <c r="AM63" s="5"/>
      <c r="AN63" s="5"/>
    </row>
    <row r="64" spans="1:40" x14ac:dyDescent="0.35">
      <c r="A64" s="5">
        <v>61</v>
      </c>
      <c r="B64" s="5">
        <v>1</v>
      </c>
      <c r="C64" s="5">
        <v>1</v>
      </c>
      <c r="D64" s="5">
        <v>1</v>
      </c>
      <c r="E64" s="5">
        <v>1</v>
      </c>
      <c r="F64" s="5">
        <v>2</v>
      </c>
      <c r="G64" s="5">
        <v>5</v>
      </c>
      <c r="H64" s="5">
        <v>1</v>
      </c>
      <c r="I64" s="5">
        <v>2</v>
      </c>
      <c r="J64" s="5">
        <v>2</v>
      </c>
      <c r="K64" s="5">
        <v>1</v>
      </c>
      <c r="L64" s="5">
        <v>1</v>
      </c>
      <c r="M64" s="5">
        <v>1</v>
      </c>
      <c r="N64" s="5">
        <f t="shared" si="0"/>
        <v>1.5833333333333333</v>
      </c>
      <c r="O64" s="5" t="str" cm="1">
        <f t="array" ref="O64">_xlfn.SWITCH(TRUE, M64&lt;$R$9, "Low", M64&gt;$R$10, "High", "Moderate")</f>
        <v>Low</v>
      </c>
      <c r="P64" s="5" t="str" cm="1">
        <f t="array" ref="P64">_xlfn.SWITCH(TRUE, M64&lt;$R$11, "Low", "High")</f>
        <v>Low</v>
      </c>
      <c r="Q64" s="5"/>
    </row>
    <row r="65" spans="1:17" x14ac:dyDescent="0.35">
      <c r="A65" s="5">
        <v>62</v>
      </c>
      <c r="B65" s="5">
        <v>2</v>
      </c>
      <c r="C65" s="5">
        <v>4</v>
      </c>
      <c r="D65" s="5">
        <v>4</v>
      </c>
      <c r="E65" s="5">
        <v>4</v>
      </c>
      <c r="F65" s="5">
        <v>4</v>
      </c>
      <c r="G65" s="5">
        <v>4</v>
      </c>
      <c r="H65" s="5">
        <v>1</v>
      </c>
      <c r="I65" s="5">
        <v>2</v>
      </c>
      <c r="J65" s="5">
        <v>1</v>
      </c>
      <c r="K65" s="5">
        <v>1</v>
      </c>
      <c r="L65" s="5">
        <v>4</v>
      </c>
      <c r="M65" s="5">
        <v>2</v>
      </c>
      <c r="N65" s="5">
        <f t="shared" si="0"/>
        <v>2.75</v>
      </c>
      <c r="O65" s="5" t="str" cm="1">
        <f t="array" ref="O65">_xlfn.SWITCH(TRUE, M65&lt;$R$9, "Low", M65&gt;$R$10, "High", "Moderate")</f>
        <v>Moderate</v>
      </c>
      <c r="P65" s="5" t="str" cm="1">
        <f t="array" ref="P65">_xlfn.SWITCH(TRUE, M65&lt;$R$11, "Low", "High")</f>
        <v>High</v>
      </c>
      <c r="Q65" s="5"/>
    </row>
    <row r="66" spans="1:17" x14ac:dyDescent="0.35">
      <c r="A66" s="5">
        <v>63</v>
      </c>
      <c r="B66" s="5">
        <v>3</v>
      </c>
      <c r="C66" s="5">
        <v>3</v>
      </c>
      <c r="D66" s="5">
        <v>3</v>
      </c>
      <c r="E66" s="5">
        <v>1</v>
      </c>
      <c r="F66" s="5">
        <v>3</v>
      </c>
      <c r="G66" s="5">
        <v>2</v>
      </c>
      <c r="H66" s="5">
        <v>2</v>
      </c>
      <c r="I66" s="5">
        <v>1</v>
      </c>
      <c r="J66" s="5">
        <v>2</v>
      </c>
      <c r="K66" s="5">
        <v>2</v>
      </c>
      <c r="L66" s="5">
        <v>1</v>
      </c>
      <c r="M66" s="5">
        <v>3</v>
      </c>
      <c r="N66" s="5">
        <f t="shared" si="0"/>
        <v>2.1666666666666665</v>
      </c>
      <c r="O66" s="5" t="str" cm="1">
        <f t="array" ref="O66">_xlfn.SWITCH(TRUE, M66&lt;$R$9, "Low", M66&gt;$R$10, "High", "Moderate")</f>
        <v>Moderate</v>
      </c>
      <c r="P66" s="5" t="str" cm="1">
        <f t="array" ref="P66">_xlfn.SWITCH(TRUE, M66&lt;$R$11, "Low", "High")</f>
        <v>High</v>
      </c>
      <c r="Q66" s="5"/>
    </row>
    <row r="67" spans="1:17" x14ac:dyDescent="0.35">
      <c r="A67" s="5">
        <v>64</v>
      </c>
      <c r="B67" s="5">
        <v>5</v>
      </c>
      <c r="C67" s="5">
        <v>5</v>
      </c>
      <c r="D67" s="5">
        <v>4</v>
      </c>
      <c r="E67" s="5">
        <v>4</v>
      </c>
      <c r="F67" s="5">
        <v>3</v>
      </c>
      <c r="G67" s="5">
        <v>2</v>
      </c>
      <c r="H67" s="5">
        <v>4</v>
      </c>
      <c r="I67" s="5">
        <v>1</v>
      </c>
      <c r="J67" s="5">
        <v>3</v>
      </c>
      <c r="K67" s="5">
        <v>3</v>
      </c>
      <c r="L67" s="5">
        <v>4</v>
      </c>
      <c r="M67" s="5">
        <v>3</v>
      </c>
      <c r="N67" s="5">
        <f t="shared" si="0"/>
        <v>3.4166666666666665</v>
      </c>
      <c r="O67" s="5" t="str" cm="1">
        <f t="array" ref="O67">_xlfn.SWITCH(TRUE, M67&lt;$R$9, "Low", M67&gt;$R$10, "High", "Moderate")</f>
        <v>Moderate</v>
      </c>
      <c r="P67" s="5" t="str" cm="1">
        <f t="array" ref="P67">_xlfn.SWITCH(TRUE, M67&lt;$R$11, "Low", "High")</f>
        <v>High</v>
      </c>
      <c r="Q67" s="5"/>
    </row>
    <row r="68" spans="1:17" x14ac:dyDescent="0.35">
      <c r="A68" s="5">
        <v>65</v>
      </c>
      <c r="B68" s="5">
        <v>1</v>
      </c>
      <c r="C68" s="5">
        <v>1</v>
      </c>
      <c r="D68" s="5">
        <v>1</v>
      </c>
      <c r="E68" s="5">
        <v>1</v>
      </c>
      <c r="F68" s="5">
        <v>1</v>
      </c>
      <c r="G68" s="5">
        <v>5</v>
      </c>
      <c r="H68" s="5">
        <v>1</v>
      </c>
      <c r="I68" s="5">
        <v>1</v>
      </c>
      <c r="J68" s="5">
        <v>1</v>
      </c>
      <c r="K68" s="5">
        <v>1</v>
      </c>
      <c r="L68" s="5">
        <v>1</v>
      </c>
      <c r="M68" s="5">
        <v>1</v>
      </c>
      <c r="N68" s="5">
        <f t="shared" si="0"/>
        <v>1.3333333333333333</v>
      </c>
      <c r="O68" s="5" t="str" cm="1">
        <f t="array" ref="O68">_xlfn.SWITCH(TRUE, M68&lt;$R$9, "Low", M68&gt;$R$10, "High", "Moderate")</f>
        <v>Low</v>
      </c>
      <c r="P68" s="5" t="str" cm="1">
        <f t="array" ref="P68">_xlfn.SWITCH(TRUE, M68&lt;$R$11, "Low", "High")</f>
        <v>Low</v>
      </c>
      <c r="Q68" s="5"/>
    </row>
    <row r="69" spans="1:17" x14ac:dyDescent="0.35">
      <c r="A69" s="5">
        <v>66</v>
      </c>
      <c r="B69" s="5">
        <v>2</v>
      </c>
      <c r="C69" s="5">
        <v>2</v>
      </c>
      <c r="D69" s="5">
        <v>5</v>
      </c>
      <c r="E69" s="5">
        <v>2</v>
      </c>
      <c r="F69" s="5">
        <v>1</v>
      </c>
      <c r="G69" s="5">
        <v>4</v>
      </c>
      <c r="H69" s="5">
        <v>4</v>
      </c>
      <c r="I69" s="5">
        <v>2</v>
      </c>
      <c r="J69" s="5">
        <v>2</v>
      </c>
      <c r="K69" s="5">
        <v>2</v>
      </c>
      <c r="L69" s="5">
        <v>2</v>
      </c>
      <c r="M69" s="5">
        <v>1</v>
      </c>
      <c r="N69" s="5">
        <f t="shared" ref="N69:N108" si="2">AVERAGE(B69:M69)</f>
        <v>2.4166666666666665</v>
      </c>
      <c r="O69" s="5" t="str" cm="1">
        <f t="array" ref="O69">_xlfn.SWITCH(TRUE, M69&lt;$R$9, "Low", M69&gt;$R$10, "High", "Moderate")</f>
        <v>Low</v>
      </c>
      <c r="P69" s="5" t="str" cm="1">
        <f t="array" ref="P69">_xlfn.SWITCH(TRUE, M69&lt;$R$11, "Low", "High")</f>
        <v>Low</v>
      </c>
      <c r="Q69" s="5"/>
    </row>
    <row r="70" spans="1:17" x14ac:dyDescent="0.35">
      <c r="A70" s="5">
        <v>67</v>
      </c>
      <c r="B70" s="5">
        <v>1</v>
      </c>
      <c r="C70" s="5">
        <v>1</v>
      </c>
      <c r="D70" s="5">
        <v>1</v>
      </c>
      <c r="E70" s="5">
        <v>1</v>
      </c>
      <c r="F70" s="5">
        <v>1</v>
      </c>
      <c r="G70" s="5">
        <v>5</v>
      </c>
      <c r="H70" s="5">
        <v>1</v>
      </c>
      <c r="I70" s="5">
        <v>1</v>
      </c>
      <c r="J70" s="5">
        <v>1</v>
      </c>
      <c r="K70" s="5">
        <v>1</v>
      </c>
      <c r="L70" s="5">
        <v>1</v>
      </c>
      <c r="M70" s="5">
        <v>1</v>
      </c>
      <c r="N70" s="5">
        <f t="shared" si="2"/>
        <v>1.3333333333333333</v>
      </c>
      <c r="O70" s="5" t="str" cm="1">
        <f t="array" ref="O70">_xlfn.SWITCH(TRUE, M70&lt;$R$9, "Low", M70&gt;$R$10, "High", "Moderate")</f>
        <v>Low</v>
      </c>
      <c r="P70" s="5" t="str" cm="1">
        <f t="array" ref="P70">_xlfn.SWITCH(TRUE, M70&lt;$R$11, "Low", "High")</f>
        <v>Low</v>
      </c>
      <c r="Q70" s="5"/>
    </row>
    <row r="71" spans="1:17" x14ac:dyDescent="0.35">
      <c r="A71" s="5">
        <v>68</v>
      </c>
      <c r="B71" s="5">
        <v>4</v>
      </c>
      <c r="C71" s="5">
        <v>3</v>
      </c>
      <c r="D71" s="5">
        <v>3</v>
      </c>
      <c r="E71" s="5">
        <v>4</v>
      </c>
      <c r="F71" s="5">
        <v>3</v>
      </c>
      <c r="G71" s="5">
        <v>3</v>
      </c>
      <c r="H71" s="5">
        <v>3</v>
      </c>
      <c r="I71" s="5">
        <v>4</v>
      </c>
      <c r="J71" s="5">
        <v>3</v>
      </c>
      <c r="K71" s="5">
        <v>2</v>
      </c>
      <c r="L71" s="5">
        <v>3</v>
      </c>
      <c r="M71" s="5">
        <v>3</v>
      </c>
      <c r="N71" s="5">
        <f t="shared" si="2"/>
        <v>3.1666666666666665</v>
      </c>
      <c r="O71" s="5" t="str" cm="1">
        <f t="array" ref="O71">_xlfn.SWITCH(TRUE, M71&lt;$R$9, "Low", M71&gt;$R$10, "High", "Moderate")</f>
        <v>Moderate</v>
      </c>
      <c r="P71" s="5" t="str" cm="1">
        <f t="array" ref="P71">_xlfn.SWITCH(TRUE, M71&lt;$R$11, "Low", "High")</f>
        <v>High</v>
      </c>
      <c r="Q71" s="5"/>
    </row>
    <row r="72" spans="1:17" x14ac:dyDescent="0.35">
      <c r="A72" s="5">
        <v>69</v>
      </c>
      <c r="B72" s="5">
        <v>2</v>
      </c>
      <c r="C72" s="5">
        <v>1</v>
      </c>
      <c r="D72" s="5">
        <v>2</v>
      </c>
      <c r="E72" s="5">
        <v>2</v>
      </c>
      <c r="F72" s="5">
        <v>2</v>
      </c>
      <c r="G72" s="5">
        <v>4</v>
      </c>
      <c r="H72" s="5">
        <v>1</v>
      </c>
      <c r="I72" s="5">
        <v>3</v>
      </c>
      <c r="J72" s="5">
        <v>2</v>
      </c>
      <c r="K72" s="5">
        <v>3</v>
      </c>
      <c r="L72" s="5">
        <v>2</v>
      </c>
      <c r="M72" s="5">
        <v>1</v>
      </c>
      <c r="N72" s="5">
        <f t="shared" si="2"/>
        <v>2.0833333333333335</v>
      </c>
      <c r="O72" s="5" t="str" cm="1">
        <f t="array" ref="O72">_xlfn.SWITCH(TRUE, M72&lt;$R$9, "Low", M72&gt;$R$10, "High", "Moderate")</f>
        <v>Low</v>
      </c>
      <c r="P72" s="5" t="str" cm="1">
        <f t="array" ref="P72">_xlfn.SWITCH(TRUE, M72&lt;$R$11, "Low", "High")</f>
        <v>Low</v>
      </c>
      <c r="Q72" s="5"/>
    </row>
    <row r="73" spans="1:17" x14ac:dyDescent="0.35">
      <c r="A73" s="5">
        <v>70</v>
      </c>
      <c r="B73" s="5">
        <v>5</v>
      </c>
      <c r="C73" s="5">
        <v>3</v>
      </c>
      <c r="D73" s="5">
        <v>5</v>
      </c>
      <c r="E73" s="5">
        <v>2</v>
      </c>
      <c r="F73" s="5">
        <v>1</v>
      </c>
      <c r="G73" s="5">
        <v>3</v>
      </c>
      <c r="H73" s="5">
        <v>1</v>
      </c>
      <c r="I73" s="5">
        <v>1</v>
      </c>
      <c r="J73" s="5">
        <v>2</v>
      </c>
      <c r="K73" s="5">
        <v>3</v>
      </c>
      <c r="L73" s="5">
        <v>3</v>
      </c>
      <c r="M73" s="5">
        <v>1</v>
      </c>
      <c r="N73" s="5">
        <f t="shared" si="2"/>
        <v>2.5</v>
      </c>
      <c r="O73" s="5" t="str" cm="1">
        <f t="array" ref="O73">_xlfn.SWITCH(TRUE, M73&lt;$R$9, "Low", M73&gt;$R$10, "High", "Moderate")</f>
        <v>Low</v>
      </c>
      <c r="P73" s="5" t="str" cm="1">
        <f t="array" ref="P73">_xlfn.SWITCH(TRUE, M73&lt;$R$11, "Low", "High")</f>
        <v>Low</v>
      </c>
      <c r="Q73" s="5"/>
    </row>
    <row r="74" spans="1:17" x14ac:dyDescent="0.35">
      <c r="A74" s="5">
        <v>71</v>
      </c>
      <c r="B74" s="5">
        <v>2</v>
      </c>
      <c r="C74" s="5">
        <v>3</v>
      </c>
      <c r="D74" s="5">
        <v>4</v>
      </c>
      <c r="E74" s="5">
        <v>4</v>
      </c>
      <c r="F74" s="5">
        <v>3</v>
      </c>
      <c r="G74" s="5">
        <v>2</v>
      </c>
      <c r="H74" s="5">
        <v>3</v>
      </c>
      <c r="I74" s="5">
        <v>3</v>
      </c>
      <c r="J74" s="5">
        <v>1</v>
      </c>
      <c r="K74" s="5">
        <v>3</v>
      </c>
      <c r="L74" s="5">
        <v>2</v>
      </c>
      <c r="M74" s="5">
        <v>2</v>
      </c>
      <c r="N74" s="5">
        <f t="shared" si="2"/>
        <v>2.6666666666666665</v>
      </c>
      <c r="O74" s="5" t="str" cm="1">
        <f t="array" ref="O74">_xlfn.SWITCH(TRUE, M74&lt;$R$9, "Low", M74&gt;$R$10, "High", "Moderate")</f>
        <v>Moderate</v>
      </c>
      <c r="P74" s="5" t="str" cm="1">
        <f t="array" ref="P74">_xlfn.SWITCH(TRUE, M74&lt;$R$11, "Low", "High")</f>
        <v>High</v>
      </c>
      <c r="Q74" s="5"/>
    </row>
    <row r="75" spans="1:17" x14ac:dyDescent="0.35">
      <c r="A75" s="5">
        <v>72</v>
      </c>
      <c r="B75" s="5">
        <v>5</v>
      </c>
      <c r="C75" s="5">
        <v>3</v>
      </c>
      <c r="D75" s="5">
        <v>5</v>
      </c>
      <c r="E75" s="5">
        <v>5</v>
      </c>
      <c r="F75" s="5">
        <v>5</v>
      </c>
      <c r="G75" s="5">
        <v>1</v>
      </c>
      <c r="H75" s="5">
        <v>3</v>
      </c>
      <c r="I75" s="5">
        <v>1</v>
      </c>
      <c r="J75" s="5">
        <v>4</v>
      </c>
      <c r="K75" s="5">
        <v>3</v>
      </c>
      <c r="L75" s="5">
        <v>3</v>
      </c>
      <c r="M75" s="5">
        <v>2</v>
      </c>
      <c r="N75" s="5">
        <f t="shared" si="2"/>
        <v>3.3333333333333335</v>
      </c>
      <c r="O75" s="5" t="str" cm="1">
        <f t="array" ref="O75">_xlfn.SWITCH(TRUE, M75&lt;$R$9, "Low", M75&gt;$R$10, "High", "Moderate")</f>
        <v>Moderate</v>
      </c>
      <c r="P75" s="5" t="str" cm="1">
        <f t="array" ref="P75">_xlfn.SWITCH(TRUE, M75&lt;$R$11, "Low", "High")</f>
        <v>High</v>
      </c>
      <c r="Q75" s="5"/>
    </row>
    <row r="76" spans="1:17" x14ac:dyDescent="0.35">
      <c r="A76" s="5">
        <v>73</v>
      </c>
      <c r="B76" s="5">
        <v>4</v>
      </c>
      <c r="C76" s="5">
        <v>3</v>
      </c>
      <c r="D76" s="5">
        <v>4</v>
      </c>
      <c r="E76" s="5">
        <v>1</v>
      </c>
      <c r="F76" s="5">
        <v>2</v>
      </c>
      <c r="G76" s="5">
        <v>1</v>
      </c>
      <c r="H76" s="5">
        <v>2</v>
      </c>
      <c r="I76" s="5">
        <v>1</v>
      </c>
      <c r="J76" s="5">
        <v>3</v>
      </c>
      <c r="K76" s="5">
        <v>5</v>
      </c>
      <c r="L76" s="5">
        <v>3</v>
      </c>
      <c r="M76" s="5">
        <v>1</v>
      </c>
      <c r="N76" s="5">
        <f t="shared" si="2"/>
        <v>2.5</v>
      </c>
      <c r="O76" s="5" t="str" cm="1">
        <f t="array" ref="O76">_xlfn.SWITCH(TRUE, M76&lt;$R$9, "Low", M76&gt;$R$10, "High", "Moderate")</f>
        <v>Low</v>
      </c>
      <c r="P76" s="5" t="str" cm="1">
        <f t="array" ref="P76">_xlfn.SWITCH(TRUE, M76&lt;$R$11, "Low", "High")</f>
        <v>Low</v>
      </c>
      <c r="Q76" s="5"/>
    </row>
    <row r="77" spans="1:17" x14ac:dyDescent="0.35">
      <c r="A77" s="5">
        <v>74</v>
      </c>
      <c r="B77" s="5">
        <v>2</v>
      </c>
      <c r="C77" s="5">
        <v>1</v>
      </c>
      <c r="D77" s="5">
        <v>3</v>
      </c>
      <c r="E77" s="5">
        <v>4</v>
      </c>
      <c r="F77" s="5">
        <v>3</v>
      </c>
      <c r="G77" s="5">
        <v>4</v>
      </c>
      <c r="H77" s="5">
        <v>3</v>
      </c>
      <c r="I77" s="5">
        <v>2</v>
      </c>
      <c r="J77" s="5">
        <v>1</v>
      </c>
      <c r="K77" s="5">
        <v>2</v>
      </c>
      <c r="L77" s="5">
        <v>1</v>
      </c>
      <c r="M77" s="5">
        <v>1</v>
      </c>
      <c r="N77" s="5">
        <f t="shared" si="2"/>
        <v>2.25</v>
      </c>
      <c r="O77" s="5" t="str" cm="1">
        <f t="array" ref="O77">_xlfn.SWITCH(TRUE, M77&lt;$R$9, "Low", M77&gt;$R$10, "High", "Moderate")</f>
        <v>Low</v>
      </c>
      <c r="P77" s="5" t="str" cm="1">
        <f t="array" ref="P77">_xlfn.SWITCH(TRUE, M77&lt;$R$11, "Low", "High")</f>
        <v>Low</v>
      </c>
      <c r="Q77" s="5"/>
    </row>
    <row r="78" spans="1:17" x14ac:dyDescent="0.35">
      <c r="A78" s="5">
        <v>75</v>
      </c>
      <c r="B78" s="5">
        <v>2</v>
      </c>
      <c r="C78" s="5">
        <v>1</v>
      </c>
      <c r="D78" s="5">
        <v>3</v>
      </c>
      <c r="E78" s="5">
        <v>2</v>
      </c>
      <c r="F78" s="5">
        <v>3</v>
      </c>
      <c r="G78" s="5">
        <v>4</v>
      </c>
      <c r="H78" s="5">
        <v>2</v>
      </c>
      <c r="I78" s="5">
        <v>3</v>
      </c>
      <c r="J78" s="5">
        <v>2</v>
      </c>
      <c r="K78" s="5">
        <v>2</v>
      </c>
      <c r="L78" s="5">
        <v>1</v>
      </c>
      <c r="M78" s="5">
        <v>1</v>
      </c>
      <c r="N78" s="5">
        <f t="shared" si="2"/>
        <v>2.1666666666666665</v>
      </c>
      <c r="O78" s="5" t="str" cm="1">
        <f t="array" ref="O78">_xlfn.SWITCH(TRUE, M78&lt;$R$9, "Low", M78&gt;$R$10, "High", "Moderate")</f>
        <v>Low</v>
      </c>
      <c r="P78" s="5" t="str" cm="1">
        <f t="array" ref="P78">_xlfn.SWITCH(TRUE, M78&lt;$R$11, "Low", "High")</f>
        <v>Low</v>
      </c>
      <c r="Q78" s="5"/>
    </row>
    <row r="79" spans="1:17" x14ac:dyDescent="0.35">
      <c r="A79" s="5">
        <v>76</v>
      </c>
      <c r="B79" s="5">
        <v>3</v>
      </c>
      <c r="C79" s="5">
        <v>2</v>
      </c>
      <c r="D79" s="5">
        <v>3</v>
      </c>
      <c r="E79" s="5">
        <v>4</v>
      </c>
      <c r="F79" s="5">
        <v>3</v>
      </c>
      <c r="G79" s="5">
        <v>3</v>
      </c>
      <c r="H79" s="5">
        <v>2</v>
      </c>
      <c r="I79" s="5">
        <v>3</v>
      </c>
      <c r="J79" s="5">
        <v>2</v>
      </c>
      <c r="K79" s="5">
        <v>3</v>
      </c>
      <c r="L79" s="5">
        <v>3</v>
      </c>
      <c r="M79" s="5">
        <v>2</v>
      </c>
      <c r="N79" s="5">
        <f t="shared" si="2"/>
        <v>2.75</v>
      </c>
      <c r="O79" s="5" t="str" cm="1">
        <f t="array" ref="O79">_xlfn.SWITCH(TRUE, M79&lt;$R$9, "Low", M79&gt;$R$10, "High", "Moderate")</f>
        <v>Moderate</v>
      </c>
      <c r="P79" s="5" t="str" cm="1">
        <f t="array" ref="P79">_xlfn.SWITCH(TRUE, M79&lt;$R$11, "Low", "High")</f>
        <v>High</v>
      </c>
      <c r="Q79" s="5"/>
    </row>
    <row r="80" spans="1:17" x14ac:dyDescent="0.35">
      <c r="A80" s="5">
        <v>77</v>
      </c>
      <c r="B80" s="5">
        <v>2</v>
      </c>
      <c r="C80" s="5">
        <v>2</v>
      </c>
      <c r="D80" s="5">
        <v>3</v>
      </c>
      <c r="E80" s="5">
        <v>2</v>
      </c>
      <c r="F80" s="5">
        <v>2</v>
      </c>
      <c r="G80" s="5">
        <v>2</v>
      </c>
      <c r="H80" s="5">
        <v>2</v>
      </c>
      <c r="I80" s="5">
        <v>2</v>
      </c>
      <c r="J80" s="5">
        <v>2</v>
      </c>
      <c r="K80" s="5">
        <v>1</v>
      </c>
      <c r="L80" s="5">
        <v>1</v>
      </c>
      <c r="M80" s="5">
        <v>4</v>
      </c>
      <c r="N80" s="5">
        <f t="shared" si="2"/>
        <v>2.0833333333333335</v>
      </c>
      <c r="O80" s="5" t="str" cm="1">
        <f t="array" ref="O80">_xlfn.SWITCH(TRUE, M80&lt;$R$9, "Low", M80&gt;$R$10, "High", "Moderate")</f>
        <v>High</v>
      </c>
      <c r="P80" s="5" t="str" cm="1">
        <f t="array" ref="P80">_xlfn.SWITCH(TRUE, M80&lt;$R$11, "Low", "High")</f>
        <v>High</v>
      </c>
      <c r="Q80" s="5"/>
    </row>
    <row r="81" spans="1:17" x14ac:dyDescent="0.35">
      <c r="A81" s="5">
        <v>78</v>
      </c>
      <c r="B81" s="5">
        <v>4</v>
      </c>
      <c r="C81" s="5">
        <v>1</v>
      </c>
      <c r="D81" s="5">
        <v>5</v>
      </c>
      <c r="E81" s="5">
        <v>3</v>
      </c>
      <c r="F81" s="5">
        <v>3</v>
      </c>
      <c r="G81" s="5">
        <v>1</v>
      </c>
      <c r="H81" s="5">
        <v>3</v>
      </c>
      <c r="I81" s="5">
        <v>2</v>
      </c>
      <c r="J81" s="5">
        <v>4</v>
      </c>
      <c r="K81" s="5">
        <v>4</v>
      </c>
      <c r="L81" s="5">
        <v>4</v>
      </c>
      <c r="M81" s="5">
        <v>4</v>
      </c>
      <c r="N81" s="5">
        <f t="shared" si="2"/>
        <v>3.1666666666666665</v>
      </c>
      <c r="O81" s="5" t="str" cm="1">
        <f t="array" ref="O81">_xlfn.SWITCH(TRUE, M81&lt;$R$9, "Low", M81&gt;$R$10, "High", "Moderate")</f>
        <v>High</v>
      </c>
      <c r="P81" s="5" t="str" cm="1">
        <f t="array" ref="P81">_xlfn.SWITCH(TRUE, M81&lt;$R$11, "Low", "High")</f>
        <v>High</v>
      </c>
      <c r="Q81" s="5"/>
    </row>
    <row r="82" spans="1:17" x14ac:dyDescent="0.35">
      <c r="A82" s="5">
        <v>79</v>
      </c>
      <c r="B82" s="5">
        <v>5</v>
      </c>
      <c r="C82" s="5">
        <v>1</v>
      </c>
      <c r="D82" s="5">
        <v>5</v>
      </c>
      <c r="E82" s="5">
        <v>1</v>
      </c>
      <c r="F82" s="5">
        <v>1</v>
      </c>
      <c r="G82" s="5">
        <v>1</v>
      </c>
      <c r="H82" s="5">
        <v>1</v>
      </c>
      <c r="I82" s="5">
        <v>1</v>
      </c>
      <c r="J82" s="5">
        <v>2</v>
      </c>
      <c r="K82" s="5">
        <v>2</v>
      </c>
      <c r="L82" s="5">
        <v>2</v>
      </c>
      <c r="M82" s="5">
        <v>3</v>
      </c>
      <c r="N82" s="5">
        <f t="shared" si="2"/>
        <v>2.0833333333333335</v>
      </c>
      <c r="O82" s="5" t="str" cm="1">
        <f t="array" ref="O82">_xlfn.SWITCH(TRUE, M82&lt;$R$9, "Low", M82&gt;$R$10, "High", "Moderate")</f>
        <v>Moderate</v>
      </c>
      <c r="P82" s="5" t="str" cm="1">
        <f t="array" ref="P82">_xlfn.SWITCH(TRUE, M82&lt;$R$11, "Low", "High")</f>
        <v>High</v>
      </c>
      <c r="Q82" s="5"/>
    </row>
    <row r="83" spans="1:17" x14ac:dyDescent="0.35">
      <c r="A83" s="5">
        <v>80</v>
      </c>
      <c r="B83" s="5">
        <v>2</v>
      </c>
      <c r="C83" s="5">
        <v>4</v>
      </c>
      <c r="D83" s="5">
        <v>4</v>
      </c>
      <c r="E83" s="5">
        <v>4</v>
      </c>
      <c r="F83" s="5">
        <v>2</v>
      </c>
      <c r="G83" s="5">
        <v>2</v>
      </c>
      <c r="H83" s="5">
        <v>2</v>
      </c>
      <c r="I83" s="5">
        <v>2</v>
      </c>
      <c r="J83" s="5">
        <v>4</v>
      </c>
      <c r="K83" s="5">
        <v>3</v>
      </c>
      <c r="L83" s="5">
        <v>2</v>
      </c>
      <c r="M83" s="5">
        <v>2</v>
      </c>
      <c r="N83" s="5">
        <f t="shared" si="2"/>
        <v>2.75</v>
      </c>
      <c r="O83" s="5" t="str" cm="1">
        <f t="array" ref="O83">_xlfn.SWITCH(TRUE, M83&lt;$R$9, "Low", M83&gt;$R$10, "High", "Moderate")</f>
        <v>Moderate</v>
      </c>
      <c r="P83" s="5" t="str" cm="1">
        <f t="array" ref="P83">_xlfn.SWITCH(TRUE, M83&lt;$R$11, "Low", "High")</f>
        <v>High</v>
      </c>
      <c r="Q83" s="5"/>
    </row>
    <row r="84" spans="1:17" x14ac:dyDescent="0.35">
      <c r="A84" s="5">
        <v>81</v>
      </c>
      <c r="B84" s="5">
        <v>4</v>
      </c>
      <c r="C84" s="5">
        <v>1</v>
      </c>
      <c r="D84" s="5">
        <v>3</v>
      </c>
      <c r="E84" s="5">
        <v>1</v>
      </c>
      <c r="F84" s="5">
        <v>1</v>
      </c>
      <c r="G84" s="5">
        <v>4</v>
      </c>
      <c r="H84" s="5">
        <v>5</v>
      </c>
      <c r="I84" s="5">
        <v>2</v>
      </c>
      <c r="J84" s="5">
        <v>3</v>
      </c>
      <c r="K84" s="5">
        <v>2</v>
      </c>
      <c r="L84" s="5">
        <v>2</v>
      </c>
      <c r="M84" s="5">
        <v>1</v>
      </c>
      <c r="N84" s="5">
        <f t="shared" si="2"/>
        <v>2.4166666666666665</v>
      </c>
      <c r="O84" s="5" t="str" cm="1">
        <f t="array" ref="O84">_xlfn.SWITCH(TRUE, M84&lt;$R$9, "Low", M84&gt;$R$10, "High", "Moderate")</f>
        <v>Low</v>
      </c>
      <c r="P84" s="5" t="str" cm="1">
        <f t="array" ref="P84">_xlfn.SWITCH(TRUE, M84&lt;$R$11, "Low", "High")</f>
        <v>Low</v>
      </c>
      <c r="Q84" s="5"/>
    </row>
    <row r="85" spans="1:17" x14ac:dyDescent="0.35">
      <c r="A85" s="5">
        <v>82</v>
      </c>
      <c r="B85" s="5">
        <v>1</v>
      </c>
      <c r="C85" s="5">
        <v>1</v>
      </c>
      <c r="D85" s="5">
        <v>1</v>
      </c>
      <c r="E85" s="5">
        <v>1</v>
      </c>
      <c r="F85" s="5">
        <v>1</v>
      </c>
      <c r="G85" s="5">
        <v>5</v>
      </c>
      <c r="H85" s="5">
        <v>1</v>
      </c>
      <c r="I85" s="5">
        <v>1</v>
      </c>
      <c r="J85" s="5">
        <v>1</v>
      </c>
      <c r="K85" s="5">
        <v>1</v>
      </c>
      <c r="L85" s="5">
        <v>2</v>
      </c>
      <c r="M85" s="5">
        <v>2</v>
      </c>
      <c r="N85" s="5">
        <f t="shared" si="2"/>
        <v>1.5</v>
      </c>
      <c r="O85" s="5" t="str" cm="1">
        <f t="array" ref="O85">_xlfn.SWITCH(TRUE, M85&lt;$R$9, "Low", M85&gt;$R$10, "High", "Moderate")</f>
        <v>Moderate</v>
      </c>
      <c r="P85" s="5" t="str" cm="1">
        <f t="array" ref="P85">_xlfn.SWITCH(TRUE, M85&lt;$R$11, "Low", "High")</f>
        <v>High</v>
      </c>
      <c r="Q85" s="5"/>
    </row>
    <row r="86" spans="1:17" x14ac:dyDescent="0.35">
      <c r="A86" s="5">
        <v>83</v>
      </c>
      <c r="B86" s="5">
        <v>1</v>
      </c>
      <c r="C86" s="5">
        <v>1</v>
      </c>
      <c r="D86" s="5">
        <v>1</v>
      </c>
      <c r="E86" s="5">
        <v>1</v>
      </c>
      <c r="F86" s="5">
        <v>1</v>
      </c>
      <c r="G86" s="5">
        <v>5</v>
      </c>
      <c r="H86" s="5">
        <v>1</v>
      </c>
      <c r="I86" s="5">
        <v>1</v>
      </c>
      <c r="J86" s="5">
        <v>1</v>
      </c>
      <c r="K86" s="5">
        <v>1</v>
      </c>
      <c r="L86" s="5">
        <v>1</v>
      </c>
      <c r="M86" s="5">
        <v>1</v>
      </c>
      <c r="N86" s="5">
        <f t="shared" si="2"/>
        <v>1.3333333333333333</v>
      </c>
      <c r="O86" s="5" t="str" cm="1">
        <f t="array" ref="O86">_xlfn.SWITCH(TRUE, M86&lt;$R$9, "Low", M86&gt;$R$10, "High", "Moderate")</f>
        <v>Low</v>
      </c>
      <c r="P86" s="5" t="str" cm="1">
        <f t="array" ref="P86">_xlfn.SWITCH(TRUE, M86&lt;$R$11, "Low", "High")</f>
        <v>Low</v>
      </c>
      <c r="Q86" s="5"/>
    </row>
    <row r="87" spans="1:17" x14ac:dyDescent="0.35">
      <c r="A87" s="5">
        <v>84</v>
      </c>
      <c r="B87" s="5">
        <v>1</v>
      </c>
      <c r="C87" s="5">
        <v>1</v>
      </c>
      <c r="D87" s="5">
        <v>2</v>
      </c>
      <c r="E87" s="5">
        <v>4</v>
      </c>
      <c r="F87" s="5">
        <v>2</v>
      </c>
      <c r="G87" s="5">
        <v>5</v>
      </c>
      <c r="H87" s="5">
        <v>1</v>
      </c>
      <c r="I87" s="5">
        <v>2</v>
      </c>
      <c r="J87" s="5">
        <v>1</v>
      </c>
      <c r="K87" s="5">
        <v>2</v>
      </c>
      <c r="L87" s="5">
        <v>1</v>
      </c>
      <c r="M87" s="5">
        <v>1</v>
      </c>
      <c r="N87" s="5">
        <f t="shared" si="2"/>
        <v>1.9166666666666667</v>
      </c>
      <c r="O87" s="5" t="str" cm="1">
        <f t="array" ref="O87">_xlfn.SWITCH(TRUE, M87&lt;$R$9, "Low", M87&gt;$R$10, "High", "Moderate")</f>
        <v>Low</v>
      </c>
      <c r="P87" s="5" t="str" cm="1">
        <f t="array" ref="P87">_xlfn.SWITCH(TRUE, M87&lt;$R$11, "Low", "High")</f>
        <v>Low</v>
      </c>
      <c r="Q87" s="5"/>
    </row>
    <row r="88" spans="1:17" x14ac:dyDescent="0.35">
      <c r="A88" s="5">
        <v>85</v>
      </c>
      <c r="B88" s="5">
        <v>1</v>
      </c>
      <c r="C88" s="5">
        <v>1</v>
      </c>
      <c r="D88" s="5">
        <v>1</v>
      </c>
      <c r="E88" s="5">
        <v>1</v>
      </c>
      <c r="F88" s="5">
        <v>1</v>
      </c>
      <c r="G88" s="5">
        <v>2</v>
      </c>
      <c r="H88" s="5">
        <v>1</v>
      </c>
      <c r="I88" s="5">
        <v>1</v>
      </c>
      <c r="J88" s="5">
        <v>1</v>
      </c>
      <c r="K88" s="5">
        <v>1</v>
      </c>
      <c r="L88" s="5">
        <v>1</v>
      </c>
      <c r="M88" s="5">
        <v>1</v>
      </c>
      <c r="N88" s="5">
        <f t="shared" si="2"/>
        <v>1.0833333333333333</v>
      </c>
      <c r="O88" s="5" t="str" cm="1">
        <f t="array" ref="O88">_xlfn.SWITCH(TRUE, M88&lt;$R$9, "Low", M88&gt;$R$10, "High", "Moderate")</f>
        <v>Low</v>
      </c>
      <c r="P88" s="5" t="str" cm="1">
        <f t="array" ref="P88">_xlfn.SWITCH(TRUE, M88&lt;$R$11, "Low", "High")</f>
        <v>Low</v>
      </c>
      <c r="Q88" s="5"/>
    </row>
    <row r="89" spans="1:17" x14ac:dyDescent="0.35">
      <c r="A89" s="5">
        <v>86</v>
      </c>
      <c r="B89" s="5">
        <v>1</v>
      </c>
      <c r="C89" s="5">
        <v>1</v>
      </c>
      <c r="D89" s="5">
        <v>1</v>
      </c>
      <c r="E89" s="5">
        <v>1</v>
      </c>
      <c r="F89" s="5">
        <v>2</v>
      </c>
      <c r="G89" s="5">
        <v>4</v>
      </c>
      <c r="H89" s="5">
        <v>2</v>
      </c>
      <c r="I89" s="5">
        <v>1</v>
      </c>
      <c r="J89" s="5">
        <v>0</v>
      </c>
      <c r="K89" s="5">
        <v>2</v>
      </c>
      <c r="L89" s="5">
        <v>1</v>
      </c>
      <c r="M89" s="5">
        <v>1</v>
      </c>
      <c r="N89" s="5">
        <f t="shared" si="2"/>
        <v>1.4166666666666667</v>
      </c>
      <c r="O89" s="5" t="str" cm="1">
        <f t="array" ref="O89">_xlfn.SWITCH(TRUE, M89&lt;$R$9, "Low", M89&gt;$R$10, "High", "Moderate")</f>
        <v>Low</v>
      </c>
      <c r="P89" s="5" t="str" cm="1">
        <f t="array" ref="P89">_xlfn.SWITCH(TRUE, M89&lt;$R$11, "Low", "High")</f>
        <v>Low</v>
      </c>
      <c r="Q89" s="5"/>
    </row>
    <row r="90" spans="1:17" x14ac:dyDescent="0.35">
      <c r="A90" s="5">
        <v>87</v>
      </c>
      <c r="B90" s="5">
        <v>3</v>
      </c>
      <c r="C90" s="5">
        <v>2</v>
      </c>
      <c r="D90" s="5">
        <v>4</v>
      </c>
      <c r="E90" s="5">
        <v>1</v>
      </c>
      <c r="F90" s="5">
        <v>3</v>
      </c>
      <c r="G90" s="5">
        <v>1</v>
      </c>
      <c r="H90" s="5">
        <v>1</v>
      </c>
      <c r="I90" s="5">
        <v>2</v>
      </c>
      <c r="J90" s="5">
        <v>2</v>
      </c>
      <c r="K90" s="5">
        <v>2</v>
      </c>
      <c r="L90" s="5">
        <v>2</v>
      </c>
      <c r="M90" s="5">
        <v>4</v>
      </c>
      <c r="N90" s="5">
        <f t="shared" si="2"/>
        <v>2.25</v>
      </c>
      <c r="O90" s="5" t="str" cm="1">
        <f t="array" ref="O90">_xlfn.SWITCH(TRUE, M90&lt;$R$9, "Low", M90&gt;$R$10, "High", "Moderate")</f>
        <v>High</v>
      </c>
      <c r="P90" s="5" t="str" cm="1">
        <f t="array" ref="P90">_xlfn.SWITCH(TRUE, M90&lt;$R$11, "Low", "High")</f>
        <v>High</v>
      </c>
      <c r="Q90" s="5"/>
    </row>
    <row r="91" spans="1:17" x14ac:dyDescent="0.35">
      <c r="A91" s="5">
        <v>88</v>
      </c>
      <c r="B91" s="5">
        <v>5</v>
      </c>
      <c r="C91" s="5">
        <v>4</v>
      </c>
      <c r="D91" s="5">
        <v>5</v>
      </c>
      <c r="E91" s="5">
        <v>5</v>
      </c>
      <c r="F91" s="5">
        <v>5</v>
      </c>
      <c r="G91" s="5">
        <v>2</v>
      </c>
      <c r="H91" s="5">
        <v>5</v>
      </c>
      <c r="I91" s="5">
        <v>4</v>
      </c>
      <c r="J91" s="5">
        <v>4</v>
      </c>
      <c r="K91" s="5">
        <v>4</v>
      </c>
      <c r="L91" s="5">
        <v>2</v>
      </c>
      <c r="M91" s="5">
        <v>3</v>
      </c>
      <c r="N91" s="5">
        <f t="shared" si="2"/>
        <v>4</v>
      </c>
      <c r="O91" s="5" t="str" cm="1">
        <f t="array" ref="O91">_xlfn.SWITCH(TRUE, M91&lt;$R$9, "Low", M91&gt;$R$10, "High", "Moderate")</f>
        <v>Moderate</v>
      </c>
      <c r="P91" s="5" t="str" cm="1">
        <f t="array" ref="P91">_xlfn.SWITCH(TRUE, M91&lt;$R$11, "Low", "High")</f>
        <v>High</v>
      </c>
      <c r="Q91" s="5"/>
    </row>
    <row r="92" spans="1:17" x14ac:dyDescent="0.35">
      <c r="A92" s="5">
        <v>89</v>
      </c>
      <c r="B92" s="5">
        <v>1</v>
      </c>
      <c r="C92" s="5">
        <v>2</v>
      </c>
      <c r="D92" s="5">
        <v>2</v>
      </c>
      <c r="E92" s="5">
        <v>3</v>
      </c>
      <c r="F92" s="5">
        <v>1</v>
      </c>
      <c r="G92" s="5">
        <v>3</v>
      </c>
      <c r="H92" s="5">
        <v>2</v>
      </c>
      <c r="I92" s="5">
        <v>2</v>
      </c>
      <c r="J92" s="5">
        <v>1</v>
      </c>
      <c r="K92" s="5">
        <v>1</v>
      </c>
      <c r="L92" s="5">
        <v>1</v>
      </c>
      <c r="M92" s="5">
        <v>1</v>
      </c>
      <c r="N92" s="5">
        <f t="shared" si="2"/>
        <v>1.6666666666666667</v>
      </c>
      <c r="O92" s="5" t="str" cm="1">
        <f t="array" ref="O92">_xlfn.SWITCH(TRUE, M92&lt;$R$9, "Low", M92&gt;$R$10, "High", "Moderate")</f>
        <v>Low</v>
      </c>
      <c r="P92" s="5" t="str" cm="1">
        <f t="array" ref="P92">_xlfn.SWITCH(TRUE, M92&lt;$R$11, "Low", "High")</f>
        <v>Low</v>
      </c>
      <c r="Q92" s="5"/>
    </row>
    <row r="93" spans="1:17" x14ac:dyDescent="0.35">
      <c r="A93" s="5">
        <v>90</v>
      </c>
      <c r="B93" s="5">
        <v>3</v>
      </c>
      <c r="C93" s="5">
        <v>4</v>
      </c>
      <c r="D93" s="5">
        <v>1</v>
      </c>
      <c r="E93" s="5">
        <v>2</v>
      </c>
      <c r="F93" s="5">
        <v>1</v>
      </c>
      <c r="G93" s="5">
        <v>2</v>
      </c>
      <c r="H93" s="5">
        <v>3</v>
      </c>
      <c r="I93" s="5">
        <v>2</v>
      </c>
      <c r="J93" s="5">
        <v>2</v>
      </c>
      <c r="K93" s="5">
        <v>2</v>
      </c>
      <c r="L93" s="5">
        <v>4</v>
      </c>
      <c r="M93" s="5">
        <v>4</v>
      </c>
      <c r="N93" s="5">
        <f t="shared" si="2"/>
        <v>2.5</v>
      </c>
      <c r="O93" s="5" t="str" cm="1">
        <f t="array" ref="O93">_xlfn.SWITCH(TRUE, M93&lt;$R$9, "Low", M93&gt;$R$10, "High", "Moderate")</f>
        <v>High</v>
      </c>
      <c r="P93" s="5" t="str" cm="1">
        <f t="array" ref="P93">_xlfn.SWITCH(TRUE, M93&lt;$R$11, "Low", "High")</f>
        <v>High</v>
      </c>
      <c r="Q93" s="5"/>
    </row>
    <row r="94" spans="1:17" x14ac:dyDescent="0.35">
      <c r="A94" s="5">
        <v>91</v>
      </c>
      <c r="B94" s="5">
        <v>2</v>
      </c>
      <c r="C94" s="5">
        <v>4</v>
      </c>
      <c r="D94" s="5">
        <v>4</v>
      </c>
      <c r="E94" s="5">
        <v>3</v>
      </c>
      <c r="F94" s="5">
        <v>4</v>
      </c>
      <c r="G94" s="5">
        <v>3</v>
      </c>
      <c r="H94" s="5">
        <v>3</v>
      </c>
      <c r="I94" s="5">
        <v>2</v>
      </c>
      <c r="J94" s="5">
        <v>3</v>
      </c>
      <c r="K94" s="5">
        <v>2</v>
      </c>
      <c r="L94" s="5">
        <v>1</v>
      </c>
      <c r="M94" s="5">
        <v>2</v>
      </c>
      <c r="N94" s="5">
        <f t="shared" si="2"/>
        <v>2.75</v>
      </c>
      <c r="O94" s="5" t="str" cm="1">
        <f t="array" ref="O94">_xlfn.SWITCH(TRUE, M94&lt;$R$9, "Low", M94&gt;$R$10, "High", "Moderate")</f>
        <v>Moderate</v>
      </c>
      <c r="P94" s="5" t="str" cm="1">
        <f t="array" ref="P94">_xlfn.SWITCH(TRUE, M94&lt;$R$11, "Low", "High")</f>
        <v>High</v>
      </c>
      <c r="Q94" s="5"/>
    </row>
    <row r="95" spans="1:17" x14ac:dyDescent="0.35">
      <c r="A95" s="5">
        <v>92</v>
      </c>
      <c r="B95" s="5">
        <v>4</v>
      </c>
      <c r="C95" s="5">
        <v>4</v>
      </c>
      <c r="D95" s="5">
        <v>5</v>
      </c>
      <c r="E95" s="5">
        <v>4</v>
      </c>
      <c r="F95" s="5">
        <v>4</v>
      </c>
      <c r="G95" s="5">
        <v>2</v>
      </c>
      <c r="H95" s="5">
        <v>4</v>
      </c>
      <c r="I95" s="5">
        <v>4</v>
      </c>
      <c r="J95" s="5">
        <v>2</v>
      </c>
      <c r="K95" s="5">
        <v>4</v>
      </c>
      <c r="L95" s="5">
        <v>2</v>
      </c>
      <c r="M95" s="5">
        <v>5</v>
      </c>
      <c r="N95" s="5">
        <f t="shared" si="2"/>
        <v>3.6666666666666665</v>
      </c>
      <c r="O95" s="5" t="str" cm="1">
        <f t="array" ref="O95">_xlfn.SWITCH(TRUE, M95&lt;$R$9, "Low", M95&gt;$R$10, "High", "Moderate")</f>
        <v>High</v>
      </c>
      <c r="P95" s="5" t="str" cm="1">
        <f t="array" ref="P95">_xlfn.SWITCH(TRUE, M95&lt;$R$11, "Low", "High")</f>
        <v>High</v>
      </c>
      <c r="Q95" s="5"/>
    </row>
    <row r="96" spans="1:17" x14ac:dyDescent="0.35">
      <c r="A96" s="5">
        <v>93</v>
      </c>
      <c r="B96" s="5">
        <v>3</v>
      </c>
      <c r="C96" s="5">
        <v>3</v>
      </c>
      <c r="D96" s="5">
        <v>3</v>
      </c>
      <c r="E96" s="5">
        <v>3</v>
      </c>
      <c r="F96" s="5">
        <v>3</v>
      </c>
      <c r="G96" s="5">
        <v>2</v>
      </c>
      <c r="H96" s="5">
        <v>2</v>
      </c>
      <c r="I96" s="5">
        <v>2</v>
      </c>
      <c r="J96" s="5">
        <v>2</v>
      </c>
      <c r="K96" s="5">
        <v>2</v>
      </c>
      <c r="L96" s="5">
        <v>2</v>
      </c>
      <c r="M96" s="5">
        <v>4</v>
      </c>
      <c r="N96" s="5">
        <f t="shared" si="2"/>
        <v>2.5833333333333335</v>
      </c>
      <c r="O96" s="5" t="str" cm="1">
        <f t="array" ref="O96">_xlfn.SWITCH(TRUE, M96&lt;$R$9, "Low", M96&gt;$R$10, "High", "Moderate")</f>
        <v>High</v>
      </c>
      <c r="P96" s="5" t="str" cm="1">
        <f t="array" ref="P96">_xlfn.SWITCH(TRUE, M96&lt;$R$11, "Low", "High")</f>
        <v>High</v>
      </c>
      <c r="Q96" s="5"/>
    </row>
    <row r="97" spans="1:17" x14ac:dyDescent="0.35">
      <c r="A97" s="5">
        <v>94</v>
      </c>
      <c r="B97" s="5">
        <v>3</v>
      </c>
      <c r="C97" s="5">
        <v>1</v>
      </c>
      <c r="D97" s="5">
        <v>2</v>
      </c>
      <c r="E97" s="5">
        <v>1</v>
      </c>
      <c r="F97" s="5">
        <v>1</v>
      </c>
      <c r="G97" s="5">
        <v>1</v>
      </c>
      <c r="H97" s="5">
        <v>1</v>
      </c>
      <c r="I97" s="5">
        <v>1</v>
      </c>
      <c r="J97" s="5">
        <v>1</v>
      </c>
      <c r="K97" s="5">
        <v>1</v>
      </c>
      <c r="L97" s="5">
        <v>1</v>
      </c>
      <c r="M97" s="5">
        <v>1</v>
      </c>
      <c r="N97" s="5">
        <f t="shared" si="2"/>
        <v>1.25</v>
      </c>
      <c r="O97" s="5" t="str" cm="1">
        <f t="array" ref="O97">_xlfn.SWITCH(TRUE, M97&lt;$R$9, "Low", M97&gt;$R$10, "High", "Moderate")</f>
        <v>Low</v>
      </c>
      <c r="P97" s="5" t="str" cm="1">
        <f t="array" ref="P97">_xlfn.SWITCH(TRUE, M97&lt;$R$11, "Low", "High")</f>
        <v>Low</v>
      </c>
      <c r="Q97" s="5"/>
    </row>
    <row r="98" spans="1:17" x14ac:dyDescent="0.35">
      <c r="A98" s="5">
        <v>95</v>
      </c>
      <c r="B98" s="5">
        <v>2</v>
      </c>
      <c r="C98" s="5">
        <v>2</v>
      </c>
      <c r="D98" s="5">
        <v>2</v>
      </c>
      <c r="E98" s="5">
        <v>1</v>
      </c>
      <c r="F98" s="5">
        <v>1</v>
      </c>
      <c r="G98" s="5">
        <v>2</v>
      </c>
      <c r="H98" s="5">
        <v>2</v>
      </c>
      <c r="I98" s="5">
        <v>1</v>
      </c>
      <c r="J98" s="5">
        <v>1</v>
      </c>
      <c r="K98" s="5">
        <v>2</v>
      </c>
      <c r="L98" s="5">
        <v>1</v>
      </c>
      <c r="M98" s="5">
        <v>1</v>
      </c>
      <c r="N98" s="5">
        <f t="shared" si="2"/>
        <v>1.5</v>
      </c>
      <c r="O98" s="5" t="str" cm="1">
        <f t="array" ref="O98">_xlfn.SWITCH(TRUE, M98&lt;$R$9, "Low", M98&gt;$R$10, "High", "Moderate")</f>
        <v>Low</v>
      </c>
      <c r="P98" s="5" t="str" cm="1">
        <f t="array" ref="P98">_xlfn.SWITCH(TRUE, M98&lt;$R$11, "Low", "High")</f>
        <v>Low</v>
      </c>
      <c r="Q98" s="5"/>
    </row>
    <row r="99" spans="1:17" x14ac:dyDescent="0.35">
      <c r="A99" s="5">
        <v>96</v>
      </c>
      <c r="B99" s="5">
        <v>4</v>
      </c>
      <c r="C99" s="5">
        <v>1</v>
      </c>
      <c r="D99" s="5">
        <v>5</v>
      </c>
      <c r="E99" s="5">
        <v>1</v>
      </c>
      <c r="F99" s="5">
        <v>1</v>
      </c>
      <c r="G99" s="5">
        <v>5</v>
      </c>
      <c r="H99" s="5">
        <v>2</v>
      </c>
      <c r="I99" s="5">
        <v>1</v>
      </c>
      <c r="J99" s="5">
        <v>2</v>
      </c>
      <c r="K99" s="5">
        <v>3</v>
      </c>
      <c r="L99" s="5">
        <v>2</v>
      </c>
      <c r="M99" s="5">
        <v>1</v>
      </c>
      <c r="N99" s="5">
        <f t="shared" si="2"/>
        <v>2.3333333333333335</v>
      </c>
      <c r="O99" s="5" t="str" cm="1">
        <f t="array" ref="O99">_xlfn.SWITCH(TRUE, M99&lt;$R$9, "Low", M99&gt;$R$10, "High", "Moderate")</f>
        <v>Low</v>
      </c>
      <c r="P99" s="5" t="str" cm="1">
        <f t="array" ref="P99">_xlfn.SWITCH(TRUE, M99&lt;$R$11, "Low", "High")</f>
        <v>Low</v>
      </c>
      <c r="Q99" s="5"/>
    </row>
    <row r="100" spans="1:17" x14ac:dyDescent="0.35">
      <c r="A100" s="5">
        <v>97</v>
      </c>
      <c r="B100" s="5">
        <v>2</v>
      </c>
      <c r="C100" s="5">
        <v>1</v>
      </c>
      <c r="D100" s="5">
        <v>3</v>
      </c>
      <c r="E100" s="5">
        <v>2</v>
      </c>
      <c r="F100" s="5">
        <v>2</v>
      </c>
      <c r="G100" s="5">
        <v>4</v>
      </c>
      <c r="H100" s="5">
        <v>2</v>
      </c>
      <c r="I100" s="5">
        <v>2</v>
      </c>
      <c r="J100" s="5">
        <v>2</v>
      </c>
      <c r="K100" s="5">
        <v>3</v>
      </c>
      <c r="L100" s="5">
        <v>2</v>
      </c>
      <c r="M100" s="5">
        <v>2</v>
      </c>
      <c r="N100" s="5">
        <f t="shared" si="2"/>
        <v>2.25</v>
      </c>
      <c r="O100" s="5" t="str" cm="1">
        <f t="array" ref="O100">_xlfn.SWITCH(TRUE, M100&lt;$R$9, "Low", M100&gt;$R$10, "High", "Moderate")</f>
        <v>Moderate</v>
      </c>
      <c r="P100" s="5" t="str" cm="1">
        <f t="array" ref="P100">_xlfn.SWITCH(TRUE, M100&lt;$R$11, "Low", "High")</f>
        <v>High</v>
      </c>
      <c r="Q100" s="5"/>
    </row>
    <row r="101" spans="1:17" x14ac:dyDescent="0.35">
      <c r="A101" s="5">
        <v>98</v>
      </c>
      <c r="B101" s="5">
        <v>1</v>
      </c>
      <c r="C101" s="5">
        <v>2</v>
      </c>
      <c r="D101" s="5">
        <v>3</v>
      </c>
      <c r="E101" s="5">
        <v>1</v>
      </c>
      <c r="F101" s="5">
        <v>2</v>
      </c>
      <c r="G101" s="5">
        <v>4</v>
      </c>
      <c r="H101" s="5">
        <v>2</v>
      </c>
      <c r="I101" s="5">
        <v>2</v>
      </c>
      <c r="J101" s="5">
        <v>1</v>
      </c>
      <c r="K101" s="5">
        <v>2</v>
      </c>
      <c r="L101" s="5">
        <v>1</v>
      </c>
      <c r="M101" s="5">
        <v>1</v>
      </c>
      <c r="N101" s="5">
        <f t="shared" si="2"/>
        <v>1.8333333333333333</v>
      </c>
      <c r="O101" s="5" t="str" cm="1">
        <f t="array" ref="O101">_xlfn.SWITCH(TRUE, M101&lt;$R$9, "Low", M101&gt;$R$10, "High", "Moderate")</f>
        <v>Low</v>
      </c>
      <c r="P101" s="5" t="str" cm="1">
        <f t="array" ref="P101">_xlfn.SWITCH(TRUE, M101&lt;$R$11, "Low", "High")</f>
        <v>Low</v>
      </c>
      <c r="Q101" s="5"/>
    </row>
    <row r="102" spans="1:17" x14ac:dyDescent="0.35">
      <c r="A102" s="5">
        <v>99</v>
      </c>
      <c r="B102" s="5">
        <v>4</v>
      </c>
      <c r="C102" s="5">
        <v>1</v>
      </c>
      <c r="D102" s="5">
        <v>1</v>
      </c>
      <c r="E102" s="5">
        <v>1</v>
      </c>
      <c r="F102" s="5">
        <v>1</v>
      </c>
      <c r="G102" s="5">
        <v>5</v>
      </c>
      <c r="H102" s="5">
        <v>1</v>
      </c>
      <c r="I102" s="5">
        <v>1</v>
      </c>
      <c r="J102" s="5">
        <v>1</v>
      </c>
      <c r="K102" s="5">
        <v>1</v>
      </c>
      <c r="L102" s="5">
        <v>3</v>
      </c>
      <c r="M102" s="5">
        <v>1</v>
      </c>
      <c r="N102" s="5">
        <f t="shared" si="2"/>
        <v>1.75</v>
      </c>
      <c r="O102" s="5" t="str" cm="1">
        <f t="array" ref="O102">_xlfn.SWITCH(TRUE, M102&lt;$R$9, "Low", M102&gt;$R$10, "High", "Moderate")</f>
        <v>Low</v>
      </c>
      <c r="P102" s="5" t="str" cm="1">
        <f t="array" ref="P102">_xlfn.SWITCH(TRUE, M102&lt;$R$11, "Low", "High")</f>
        <v>Low</v>
      </c>
      <c r="Q102" s="5"/>
    </row>
    <row r="103" spans="1:17" x14ac:dyDescent="0.35">
      <c r="A103" s="5">
        <v>100</v>
      </c>
      <c r="B103" s="5">
        <v>3</v>
      </c>
      <c r="C103" s="5">
        <v>1</v>
      </c>
      <c r="D103" s="5">
        <v>4</v>
      </c>
      <c r="E103" s="5">
        <v>3</v>
      </c>
      <c r="F103" s="5">
        <v>1</v>
      </c>
      <c r="G103" s="5">
        <v>4</v>
      </c>
      <c r="H103" s="5">
        <v>2</v>
      </c>
      <c r="I103" s="5">
        <v>2</v>
      </c>
      <c r="J103" s="5">
        <v>2</v>
      </c>
      <c r="K103" s="5">
        <v>3</v>
      </c>
      <c r="L103" s="5">
        <v>2</v>
      </c>
      <c r="M103" s="5">
        <v>5</v>
      </c>
      <c r="N103" s="5">
        <f t="shared" si="2"/>
        <v>2.6666666666666665</v>
      </c>
      <c r="O103" s="5" t="str" cm="1">
        <f t="array" ref="O103">_xlfn.SWITCH(TRUE, M103&lt;$R$9, "Low", M103&gt;$R$10, "High", "Moderate")</f>
        <v>High</v>
      </c>
      <c r="P103" s="5" t="str" cm="1">
        <f t="array" ref="P103">_xlfn.SWITCH(TRUE, M103&lt;$R$11, "Low", "High")</f>
        <v>High</v>
      </c>
      <c r="Q103" s="5"/>
    </row>
    <row r="104" spans="1:17" x14ac:dyDescent="0.35">
      <c r="A104" s="5">
        <v>101</v>
      </c>
      <c r="B104" s="5">
        <v>3</v>
      </c>
      <c r="C104" s="5">
        <v>3</v>
      </c>
      <c r="D104" s="5">
        <v>5</v>
      </c>
      <c r="E104" s="5">
        <v>4</v>
      </c>
      <c r="F104" s="5">
        <v>3</v>
      </c>
      <c r="G104" s="5">
        <v>4</v>
      </c>
      <c r="H104" s="5">
        <v>3</v>
      </c>
      <c r="I104" s="5">
        <v>2</v>
      </c>
      <c r="J104" s="5">
        <v>2</v>
      </c>
      <c r="K104" s="5">
        <v>4</v>
      </c>
      <c r="L104" s="5">
        <v>2</v>
      </c>
      <c r="M104" s="5">
        <v>2</v>
      </c>
      <c r="N104" s="5">
        <f t="shared" si="2"/>
        <v>3.0833333333333335</v>
      </c>
      <c r="O104" s="5" t="str" cm="1">
        <f t="array" ref="O104">_xlfn.SWITCH(TRUE, M104&lt;$R$9, "Low", M104&gt;$R$10, "High", "Moderate")</f>
        <v>Moderate</v>
      </c>
      <c r="P104" s="5" t="str" cm="1">
        <f t="array" ref="P104">_xlfn.SWITCH(TRUE, M104&lt;$R$11, "Low", "High")</f>
        <v>High</v>
      </c>
      <c r="Q104" s="5"/>
    </row>
    <row r="105" spans="1:17" x14ac:dyDescent="0.35">
      <c r="A105" s="5">
        <v>102</v>
      </c>
      <c r="B105" s="5">
        <v>4</v>
      </c>
      <c r="C105" s="5">
        <v>4</v>
      </c>
      <c r="D105" s="5">
        <v>4</v>
      </c>
      <c r="E105" s="5">
        <v>4</v>
      </c>
      <c r="F105" s="5">
        <v>3</v>
      </c>
      <c r="G105" s="5">
        <v>2</v>
      </c>
      <c r="H105" s="5">
        <v>4</v>
      </c>
      <c r="I105" s="5">
        <v>3</v>
      </c>
      <c r="J105" s="5">
        <v>4</v>
      </c>
      <c r="K105" s="5">
        <v>3</v>
      </c>
      <c r="L105" s="5">
        <v>3</v>
      </c>
      <c r="M105" s="5">
        <v>3</v>
      </c>
      <c r="N105" s="5">
        <f t="shared" si="2"/>
        <v>3.4166666666666665</v>
      </c>
      <c r="O105" s="5" t="str" cm="1">
        <f t="array" ref="O105">_xlfn.SWITCH(TRUE, M105&lt;$R$9, "Low", M105&gt;$R$10, "High", "Moderate")</f>
        <v>Moderate</v>
      </c>
      <c r="P105" s="5" t="str" cm="1">
        <f t="array" ref="P105">_xlfn.SWITCH(TRUE, M105&lt;$R$11, "Low", "High")</f>
        <v>High</v>
      </c>
      <c r="Q105" s="5"/>
    </row>
    <row r="106" spans="1:17" x14ac:dyDescent="0.35">
      <c r="A106" s="5">
        <v>103</v>
      </c>
      <c r="B106" s="5">
        <v>3</v>
      </c>
      <c r="C106" s="5">
        <v>1</v>
      </c>
      <c r="D106" s="5">
        <v>1</v>
      </c>
      <c r="E106" s="5">
        <v>1</v>
      </c>
      <c r="F106" s="5">
        <v>1</v>
      </c>
      <c r="G106" s="5">
        <v>5</v>
      </c>
      <c r="H106" s="5">
        <v>1</v>
      </c>
      <c r="I106" s="5">
        <v>1</v>
      </c>
      <c r="J106" s="5">
        <v>1</v>
      </c>
      <c r="K106" s="5">
        <v>1</v>
      </c>
      <c r="L106" s="5">
        <v>1</v>
      </c>
      <c r="M106" s="5">
        <v>1</v>
      </c>
      <c r="N106" s="5">
        <f t="shared" si="2"/>
        <v>1.5</v>
      </c>
      <c r="O106" s="5" t="str" cm="1">
        <f t="array" ref="O106">_xlfn.SWITCH(TRUE, M106&lt;$R$9, "Low", M106&gt;$R$10, "High", "Moderate")</f>
        <v>Low</v>
      </c>
      <c r="P106" s="5" t="str" cm="1">
        <f t="array" ref="P106">_xlfn.SWITCH(TRUE, M106&lt;$R$11, "Low", "High")</f>
        <v>Low</v>
      </c>
      <c r="Q106" s="5"/>
    </row>
    <row r="107" spans="1:17" x14ac:dyDescent="0.35">
      <c r="A107" s="5">
        <v>104</v>
      </c>
      <c r="B107" s="5">
        <v>3</v>
      </c>
      <c r="C107" s="5">
        <v>1</v>
      </c>
      <c r="D107" s="5">
        <v>2</v>
      </c>
      <c r="E107" s="5">
        <v>1</v>
      </c>
      <c r="F107" s="5">
        <v>1</v>
      </c>
      <c r="G107" s="5">
        <v>5</v>
      </c>
      <c r="H107" s="5">
        <v>2</v>
      </c>
      <c r="I107" s="5">
        <v>1</v>
      </c>
      <c r="J107" s="5">
        <v>1</v>
      </c>
      <c r="K107" s="5">
        <v>1</v>
      </c>
      <c r="L107" s="5">
        <v>2</v>
      </c>
      <c r="M107" s="5">
        <v>1</v>
      </c>
      <c r="N107" s="5">
        <f t="shared" si="2"/>
        <v>1.75</v>
      </c>
      <c r="O107" s="5" t="str" cm="1">
        <f t="array" ref="O107">_xlfn.SWITCH(TRUE, M107&lt;$R$9, "Low", M107&gt;$R$10, "High", "Moderate")</f>
        <v>Low</v>
      </c>
      <c r="P107" s="5" t="str" cm="1">
        <f t="array" ref="P107">_xlfn.SWITCH(TRUE, M107&lt;$R$11, "Low", "High")</f>
        <v>Low</v>
      </c>
      <c r="Q107" s="5"/>
    </row>
    <row r="108" spans="1:17" x14ac:dyDescent="0.35">
      <c r="A108" s="5">
        <v>105</v>
      </c>
      <c r="B108" s="5">
        <v>1</v>
      </c>
      <c r="C108" s="5">
        <v>1</v>
      </c>
      <c r="D108" s="5">
        <v>5</v>
      </c>
      <c r="E108" s="5">
        <v>1</v>
      </c>
      <c r="F108" s="5">
        <v>1</v>
      </c>
      <c r="G108" s="5">
        <v>1</v>
      </c>
      <c r="H108" s="5">
        <v>4</v>
      </c>
      <c r="I108" s="5">
        <v>2</v>
      </c>
      <c r="J108" s="5">
        <v>2</v>
      </c>
      <c r="K108" s="5">
        <v>1</v>
      </c>
      <c r="L108" s="5">
        <v>1</v>
      </c>
      <c r="M108" s="5">
        <v>1</v>
      </c>
      <c r="N108" s="5">
        <f t="shared" si="2"/>
        <v>1.75</v>
      </c>
      <c r="O108" s="5" t="str" cm="1">
        <f t="array" ref="O108">_xlfn.SWITCH(TRUE, M108&lt;$R$9, "Low", M108&gt;$R$10, "High", "Moderate")</f>
        <v>Low</v>
      </c>
      <c r="P108" s="5" t="str" cm="1">
        <f t="array" ref="P108">_xlfn.SWITCH(TRUE, M108&lt;$R$11, "Low", "High")</f>
        <v>Low</v>
      </c>
      <c r="Q108" s="5"/>
    </row>
    <row r="109" spans="1:17" x14ac:dyDescent="0.35">
      <c r="A109" s="5">
        <v>106</v>
      </c>
      <c r="B109" s="5">
        <v>3</v>
      </c>
      <c r="C109" s="5">
        <v>1</v>
      </c>
      <c r="D109" s="5">
        <v>3</v>
      </c>
      <c r="E109" s="5">
        <v>4</v>
      </c>
      <c r="F109" s="5">
        <v>3</v>
      </c>
      <c r="G109" s="5">
        <v>5</v>
      </c>
      <c r="H109" s="5">
        <v>1</v>
      </c>
      <c r="I109" s="5">
        <v>2</v>
      </c>
      <c r="J109" s="5">
        <v>1</v>
      </c>
      <c r="K109" s="5">
        <v>4</v>
      </c>
      <c r="L109" s="5">
        <v>3</v>
      </c>
      <c r="M109" s="5">
        <v>2</v>
      </c>
    </row>
    <row r="110" spans="1:17" x14ac:dyDescent="0.35">
      <c r="A110" s="5">
        <v>107</v>
      </c>
      <c r="B110" s="5">
        <v>4</v>
      </c>
      <c r="C110" s="5">
        <v>2</v>
      </c>
      <c r="D110" s="5">
        <v>4</v>
      </c>
      <c r="E110" s="5">
        <v>2</v>
      </c>
      <c r="F110" s="5">
        <v>2</v>
      </c>
      <c r="G110" s="5">
        <v>4</v>
      </c>
      <c r="H110" s="5">
        <v>3</v>
      </c>
      <c r="I110" s="5">
        <v>2</v>
      </c>
      <c r="J110" s="5">
        <v>3</v>
      </c>
      <c r="K110" s="5">
        <v>3</v>
      </c>
      <c r="L110" s="5">
        <v>4</v>
      </c>
      <c r="M110" s="5">
        <v>2</v>
      </c>
    </row>
    <row r="111" spans="1:17" x14ac:dyDescent="0.35">
      <c r="A111" s="5">
        <v>108</v>
      </c>
      <c r="B111" s="5">
        <v>3</v>
      </c>
      <c r="C111" s="5">
        <v>2</v>
      </c>
      <c r="D111" s="5">
        <v>3</v>
      </c>
      <c r="E111" s="5">
        <v>1</v>
      </c>
      <c r="F111" s="5">
        <v>1</v>
      </c>
      <c r="G111" s="5">
        <v>5</v>
      </c>
      <c r="H111" s="5">
        <v>2</v>
      </c>
      <c r="I111" s="5">
        <v>1</v>
      </c>
      <c r="J111" s="5">
        <v>2</v>
      </c>
      <c r="K111" s="5">
        <v>2</v>
      </c>
      <c r="L111" s="5">
        <v>2</v>
      </c>
      <c r="M111" s="5">
        <v>2</v>
      </c>
    </row>
    <row r="112" spans="1:17" x14ac:dyDescent="0.35">
      <c r="A112" s="5">
        <v>109</v>
      </c>
      <c r="B112" s="5">
        <v>5</v>
      </c>
      <c r="C112" s="5">
        <v>4</v>
      </c>
      <c r="D112" s="5">
        <v>4</v>
      </c>
      <c r="E112" s="5">
        <v>5</v>
      </c>
      <c r="F112" s="5">
        <v>4</v>
      </c>
      <c r="G112" s="5">
        <v>1</v>
      </c>
      <c r="H112" s="5">
        <v>5</v>
      </c>
      <c r="I112" s="5">
        <v>2</v>
      </c>
      <c r="J112" s="5">
        <v>5</v>
      </c>
      <c r="K112" s="5">
        <v>4</v>
      </c>
      <c r="L112" s="5">
        <v>4</v>
      </c>
      <c r="M112" s="5">
        <v>4</v>
      </c>
    </row>
    <row r="113" spans="1:13" x14ac:dyDescent="0.35">
      <c r="A113" s="5">
        <v>110</v>
      </c>
      <c r="B113" s="5">
        <v>2</v>
      </c>
      <c r="C113" s="5">
        <v>1</v>
      </c>
      <c r="D113" s="5">
        <v>2</v>
      </c>
      <c r="E113" s="5">
        <v>1</v>
      </c>
      <c r="F113" s="5">
        <v>2</v>
      </c>
      <c r="G113" s="5">
        <v>4</v>
      </c>
      <c r="H113" s="5">
        <v>1</v>
      </c>
      <c r="I113" s="5">
        <v>2</v>
      </c>
      <c r="J113" s="5">
        <v>1</v>
      </c>
      <c r="K113" s="5">
        <v>1</v>
      </c>
      <c r="L113" s="5">
        <v>1</v>
      </c>
      <c r="M113" s="5">
        <v>2</v>
      </c>
    </row>
    <row r="114" spans="1:13" x14ac:dyDescent="0.35">
      <c r="A114" s="5">
        <v>111</v>
      </c>
      <c r="B114" s="5">
        <v>2</v>
      </c>
      <c r="C114" s="5">
        <v>1</v>
      </c>
      <c r="D114" s="5">
        <v>2</v>
      </c>
      <c r="E114" s="5">
        <v>1</v>
      </c>
      <c r="F114" s="5">
        <v>1</v>
      </c>
      <c r="G114" s="5">
        <v>4</v>
      </c>
      <c r="H114" s="5">
        <v>1</v>
      </c>
      <c r="I114" s="5">
        <v>1</v>
      </c>
      <c r="J114" s="5">
        <v>1</v>
      </c>
      <c r="K114" s="5">
        <v>1</v>
      </c>
      <c r="L114" s="5">
        <v>1</v>
      </c>
      <c r="M114" s="5">
        <v>1</v>
      </c>
    </row>
    <row r="115" spans="1:13" x14ac:dyDescent="0.35">
      <c r="A115" s="5">
        <v>112</v>
      </c>
      <c r="B115" s="5">
        <v>1</v>
      </c>
      <c r="C115" s="5">
        <v>1</v>
      </c>
      <c r="D115" s="5">
        <v>1</v>
      </c>
      <c r="E115" s="5">
        <v>1</v>
      </c>
      <c r="F115" s="5">
        <v>1</v>
      </c>
      <c r="G115" s="5">
        <v>5</v>
      </c>
      <c r="H115" s="5">
        <v>1</v>
      </c>
      <c r="I115" s="5">
        <v>1</v>
      </c>
      <c r="J115" s="5">
        <v>1</v>
      </c>
      <c r="K115" s="5">
        <v>1</v>
      </c>
      <c r="L115" s="5">
        <v>1</v>
      </c>
      <c r="M115" s="5">
        <v>1</v>
      </c>
    </row>
    <row r="116" spans="1:13" x14ac:dyDescent="0.35">
      <c r="A116" s="5">
        <v>113</v>
      </c>
      <c r="B116" s="5">
        <v>3</v>
      </c>
      <c r="C116" s="5">
        <v>2</v>
      </c>
      <c r="D116" s="5">
        <v>3</v>
      </c>
      <c r="E116" s="5">
        <v>4</v>
      </c>
      <c r="F116" s="5">
        <v>2</v>
      </c>
      <c r="G116" s="5">
        <v>3</v>
      </c>
      <c r="H116" s="5">
        <v>2</v>
      </c>
      <c r="I116" s="5">
        <v>2</v>
      </c>
      <c r="J116" s="5">
        <v>2</v>
      </c>
      <c r="K116" s="5">
        <v>1</v>
      </c>
      <c r="L116" s="5">
        <v>2</v>
      </c>
      <c r="M116" s="5">
        <v>2</v>
      </c>
    </row>
    <row r="117" spans="1:13" x14ac:dyDescent="0.35">
      <c r="A117" s="5">
        <v>114</v>
      </c>
      <c r="B117" s="5">
        <v>4</v>
      </c>
      <c r="C117" s="5">
        <v>3</v>
      </c>
      <c r="D117" s="5">
        <v>2</v>
      </c>
      <c r="E117" s="5">
        <v>2</v>
      </c>
      <c r="F117" s="5">
        <v>2</v>
      </c>
      <c r="G117" s="5">
        <v>3</v>
      </c>
      <c r="H117" s="5">
        <v>1</v>
      </c>
      <c r="I117" s="5">
        <v>2</v>
      </c>
      <c r="J117" s="5">
        <v>1</v>
      </c>
      <c r="K117" s="5">
        <v>1</v>
      </c>
      <c r="L117" s="5">
        <v>2</v>
      </c>
      <c r="M117" s="5">
        <v>1</v>
      </c>
    </row>
    <row r="118" spans="1:13" x14ac:dyDescent="0.35">
      <c r="A118" s="5">
        <v>115</v>
      </c>
      <c r="B118" s="5">
        <v>1</v>
      </c>
      <c r="C118" s="5">
        <v>1</v>
      </c>
      <c r="D118" s="5">
        <v>2</v>
      </c>
      <c r="E118" s="5">
        <v>1</v>
      </c>
      <c r="F118" s="5">
        <v>1</v>
      </c>
      <c r="G118" s="5">
        <v>4</v>
      </c>
      <c r="H118" s="5">
        <v>1</v>
      </c>
      <c r="I118" s="5">
        <v>1</v>
      </c>
      <c r="J118" s="5">
        <v>1</v>
      </c>
      <c r="K118" s="5">
        <v>2</v>
      </c>
      <c r="L118" s="5">
        <v>1</v>
      </c>
      <c r="M118" s="5">
        <v>2</v>
      </c>
    </row>
    <row r="119" spans="1:13" x14ac:dyDescent="0.35">
      <c r="A119" s="5">
        <v>116</v>
      </c>
      <c r="B119" s="5">
        <v>4</v>
      </c>
      <c r="C119" s="5">
        <v>2</v>
      </c>
      <c r="D119" s="5">
        <v>2</v>
      </c>
      <c r="E119" s="5">
        <v>1</v>
      </c>
      <c r="F119" s="5">
        <v>1</v>
      </c>
      <c r="G119" s="5">
        <v>4</v>
      </c>
      <c r="H119" s="5">
        <v>1</v>
      </c>
      <c r="I119" s="5">
        <v>1</v>
      </c>
      <c r="J119" s="5">
        <v>1</v>
      </c>
      <c r="K119" s="5">
        <v>1</v>
      </c>
      <c r="L119" s="5">
        <v>4</v>
      </c>
      <c r="M119" s="5">
        <v>3</v>
      </c>
    </row>
    <row r="120" spans="1:13" x14ac:dyDescent="0.35">
      <c r="A120" s="5">
        <v>117</v>
      </c>
      <c r="B120" s="5">
        <v>3</v>
      </c>
      <c r="C120" s="5">
        <v>1</v>
      </c>
      <c r="D120" s="5">
        <v>4</v>
      </c>
      <c r="E120" s="5">
        <v>1</v>
      </c>
      <c r="F120" s="5">
        <v>2</v>
      </c>
      <c r="G120" s="5">
        <v>2</v>
      </c>
      <c r="H120" s="5">
        <v>2</v>
      </c>
      <c r="I120" s="5">
        <v>2</v>
      </c>
      <c r="J120" s="5">
        <v>3</v>
      </c>
      <c r="K120" s="5">
        <v>3</v>
      </c>
      <c r="L120" s="5">
        <v>2</v>
      </c>
      <c r="M120" s="5">
        <v>3</v>
      </c>
    </row>
    <row r="121" spans="1:13" x14ac:dyDescent="0.35">
      <c r="A121" s="5">
        <v>118</v>
      </c>
      <c r="B121" s="5">
        <v>1</v>
      </c>
      <c r="C121" s="5">
        <v>1</v>
      </c>
      <c r="D121" s="5">
        <v>3</v>
      </c>
      <c r="E121" s="5">
        <v>2</v>
      </c>
      <c r="F121" s="5">
        <v>2</v>
      </c>
      <c r="G121" s="5">
        <v>4</v>
      </c>
      <c r="H121" s="5">
        <v>2</v>
      </c>
      <c r="I121" s="5">
        <v>2</v>
      </c>
      <c r="J121" s="5">
        <v>2</v>
      </c>
      <c r="K121" s="5">
        <v>2</v>
      </c>
      <c r="L121" s="5">
        <v>2</v>
      </c>
      <c r="M121" s="5">
        <v>3</v>
      </c>
    </row>
    <row r="122" spans="1:13" x14ac:dyDescent="0.35">
      <c r="A122" s="5">
        <v>119</v>
      </c>
      <c r="B122" s="5">
        <v>3</v>
      </c>
      <c r="C122" s="5">
        <v>3</v>
      </c>
      <c r="D122" s="5">
        <v>3</v>
      </c>
      <c r="E122" s="5">
        <v>4</v>
      </c>
      <c r="F122" s="5">
        <v>3</v>
      </c>
      <c r="G122" s="5">
        <v>3</v>
      </c>
      <c r="H122" s="5">
        <v>2</v>
      </c>
      <c r="I122" s="5">
        <v>2</v>
      </c>
      <c r="J122" s="5">
        <v>2</v>
      </c>
      <c r="K122" s="5">
        <v>2</v>
      </c>
      <c r="L122" s="5">
        <v>3</v>
      </c>
      <c r="M122" s="5">
        <v>3</v>
      </c>
    </row>
    <row r="123" spans="1:13" x14ac:dyDescent="0.35">
      <c r="A123" s="5">
        <v>120</v>
      </c>
      <c r="B123" s="5">
        <v>4</v>
      </c>
      <c r="C123" s="5">
        <v>2</v>
      </c>
      <c r="D123" s="5">
        <v>3</v>
      </c>
      <c r="E123" s="5">
        <v>3</v>
      </c>
      <c r="F123" s="5">
        <v>4</v>
      </c>
      <c r="G123" s="5">
        <v>3</v>
      </c>
      <c r="H123" s="5">
        <v>2</v>
      </c>
      <c r="I123" s="5">
        <v>2</v>
      </c>
      <c r="J123" s="5">
        <v>2</v>
      </c>
      <c r="K123" s="5">
        <v>4</v>
      </c>
      <c r="L123" s="5">
        <v>3</v>
      </c>
      <c r="M123" s="5">
        <v>2</v>
      </c>
    </row>
    <row r="124" spans="1:13" x14ac:dyDescent="0.35">
      <c r="A124" s="5">
        <v>121</v>
      </c>
      <c r="B124" s="5">
        <v>3</v>
      </c>
      <c r="C124" s="5">
        <v>3</v>
      </c>
      <c r="D124" s="5">
        <v>4</v>
      </c>
      <c r="E124" s="5">
        <v>3</v>
      </c>
      <c r="F124" s="5">
        <v>2</v>
      </c>
      <c r="G124" s="5">
        <v>2</v>
      </c>
      <c r="H124" s="5">
        <v>2</v>
      </c>
      <c r="I124" s="5">
        <v>2</v>
      </c>
      <c r="J124" s="5">
        <v>3</v>
      </c>
      <c r="K124" s="5">
        <v>3</v>
      </c>
      <c r="L124" s="5">
        <v>3</v>
      </c>
      <c r="M124" s="5">
        <v>4</v>
      </c>
    </row>
    <row r="125" spans="1:13" x14ac:dyDescent="0.35">
      <c r="A125" s="5">
        <v>122</v>
      </c>
      <c r="B125" s="5">
        <v>3</v>
      </c>
      <c r="C125" s="5">
        <v>1</v>
      </c>
      <c r="D125" s="5">
        <v>5</v>
      </c>
      <c r="E125" s="5">
        <v>4</v>
      </c>
      <c r="F125" s="5">
        <v>4</v>
      </c>
      <c r="G125" s="5">
        <v>4</v>
      </c>
      <c r="H125" s="5">
        <v>4</v>
      </c>
      <c r="I125" s="5">
        <v>3</v>
      </c>
      <c r="J125" s="5">
        <v>3</v>
      </c>
      <c r="K125" s="5">
        <v>3</v>
      </c>
      <c r="L125" s="5">
        <v>2</v>
      </c>
      <c r="M125" s="5">
        <v>4</v>
      </c>
    </row>
    <row r="126" spans="1:13" x14ac:dyDescent="0.35">
      <c r="A126" s="5">
        <v>123</v>
      </c>
      <c r="B126" s="5">
        <v>4</v>
      </c>
      <c r="C126" s="5">
        <v>2</v>
      </c>
      <c r="D126" s="5">
        <v>4</v>
      </c>
      <c r="E126" s="5">
        <v>5</v>
      </c>
      <c r="F126" s="5">
        <v>4</v>
      </c>
      <c r="G126" s="5">
        <v>5</v>
      </c>
      <c r="H126" s="5">
        <v>4</v>
      </c>
      <c r="I126" s="5">
        <v>2</v>
      </c>
      <c r="J126" s="5">
        <v>4</v>
      </c>
      <c r="K126" s="5">
        <v>4</v>
      </c>
      <c r="L126" s="5">
        <v>5</v>
      </c>
      <c r="M126" s="5">
        <v>5</v>
      </c>
    </row>
    <row r="127" spans="1:13" x14ac:dyDescent="0.35">
      <c r="A127" s="5">
        <v>124</v>
      </c>
      <c r="B127" s="5">
        <v>2</v>
      </c>
      <c r="C127" s="5">
        <v>2</v>
      </c>
      <c r="D127" s="5">
        <v>3</v>
      </c>
      <c r="E127" s="5">
        <v>1</v>
      </c>
      <c r="F127" s="5">
        <v>2</v>
      </c>
      <c r="G127" s="5">
        <v>4</v>
      </c>
      <c r="H127" s="5">
        <v>2</v>
      </c>
      <c r="I127" s="5">
        <v>1</v>
      </c>
      <c r="J127" s="5">
        <v>1</v>
      </c>
      <c r="K127" s="5">
        <v>1</v>
      </c>
      <c r="L127" s="5">
        <v>1</v>
      </c>
      <c r="M127" s="5">
        <v>1</v>
      </c>
    </row>
    <row r="128" spans="1:13" x14ac:dyDescent="0.35">
      <c r="A128" s="5">
        <v>125</v>
      </c>
      <c r="B128" s="5">
        <v>5</v>
      </c>
      <c r="C128" s="5">
        <v>5</v>
      </c>
      <c r="D128" s="5">
        <v>3</v>
      </c>
      <c r="E128" s="5">
        <v>4</v>
      </c>
      <c r="F128" s="5">
        <v>3</v>
      </c>
      <c r="G128" s="5">
        <v>1</v>
      </c>
      <c r="H128" s="5">
        <v>5</v>
      </c>
      <c r="I128" s="5">
        <v>3</v>
      </c>
      <c r="J128" s="5">
        <v>3</v>
      </c>
      <c r="K128" s="5">
        <v>4</v>
      </c>
      <c r="L128" s="5">
        <v>5</v>
      </c>
      <c r="M128" s="5">
        <v>1</v>
      </c>
    </row>
    <row r="129" spans="1:13" x14ac:dyDescent="0.35">
      <c r="A129" s="5">
        <v>126</v>
      </c>
      <c r="B129" s="5">
        <v>4</v>
      </c>
      <c r="C129" s="5">
        <v>3</v>
      </c>
      <c r="D129" s="5">
        <v>3</v>
      </c>
      <c r="E129" s="5">
        <v>3</v>
      </c>
      <c r="F129" s="5">
        <v>3</v>
      </c>
      <c r="G129" s="5">
        <v>4</v>
      </c>
      <c r="H129" s="5">
        <v>3</v>
      </c>
      <c r="I129" s="5">
        <v>2</v>
      </c>
      <c r="J129" s="5">
        <v>3</v>
      </c>
      <c r="K129" s="5">
        <v>3</v>
      </c>
      <c r="L129" s="5">
        <v>2</v>
      </c>
      <c r="M129" s="5">
        <v>3</v>
      </c>
    </row>
    <row r="130" spans="1:13" x14ac:dyDescent="0.35">
      <c r="A130" s="5">
        <v>127</v>
      </c>
      <c r="B130" s="5">
        <v>2</v>
      </c>
      <c r="C130" s="5">
        <v>2</v>
      </c>
      <c r="D130" s="5">
        <v>4</v>
      </c>
      <c r="E130" s="5">
        <v>2</v>
      </c>
      <c r="F130" s="5">
        <v>1</v>
      </c>
      <c r="G130" s="5">
        <v>2</v>
      </c>
      <c r="H130" s="5">
        <v>2</v>
      </c>
      <c r="I130" s="5">
        <v>2</v>
      </c>
      <c r="J130" s="5">
        <v>2</v>
      </c>
      <c r="K130" s="5">
        <v>3</v>
      </c>
      <c r="L130" s="5">
        <v>3</v>
      </c>
      <c r="M130" s="5">
        <v>2</v>
      </c>
    </row>
    <row r="131" spans="1:13" x14ac:dyDescent="0.35">
      <c r="A131" s="5">
        <v>128</v>
      </c>
      <c r="B131" s="5">
        <v>2</v>
      </c>
      <c r="C131" s="5">
        <v>1</v>
      </c>
      <c r="D131" s="5">
        <v>2</v>
      </c>
      <c r="E131" s="5">
        <v>1</v>
      </c>
      <c r="F131" s="5">
        <v>1</v>
      </c>
      <c r="G131" s="5">
        <v>4</v>
      </c>
      <c r="H131" s="5">
        <v>2</v>
      </c>
      <c r="I131" s="5">
        <v>2</v>
      </c>
      <c r="J131" s="5">
        <v>2</v>
      </c>
      <c r="K131" s="5">
        <v>1</v>
      </c>
      <c r="L131" s="5">
        <v>1</v>
      </c>
      <c r="M131" s="5">
        <v>1</v>
      </c>
    </row>
    <row r="132" spans="1:13" x14ac:dyDescent="0.35">
      <c r="A132" s="5">
        <v>129</v>
      </c>
      <c r="B132" s="5">
        <v>3</v>
      </c>
      <c r="C132" s="5">
        <v>2</v>
      </c>
      <c r="D132" s="5">
        <v>4</v>
      </c>
      <c r="E132" s="5">
        <v>4</v>
      </c>
      <c r="F132" s="5">
        <v>3</v>
      </c>
      <c r="G132" s="5">
        <v>4</v>
      </c>
      <c r="H132" s="5">
        <v>3</v>
      </c>
      <c r="I132" s="5">
        <v>2</v>
      </c>
      <c r="J132" s="5">
        <v>1</v>
      </c>
      <c r="K132" s="5">
        <v>1</v>
      </c>
      <c r="L132" s="5">
        <v>2</v>
      </c>
      <c r="M132" s="5">
        <v>4</v>
      </c>
    </row>
    <row r="133" spans="1:13" x14ac:dyDescent="0.35">
      <c r="A133" s="5">
        <v>130</v>
      </c>
      <c r="B133" s="5">
        <v>3</v>
      </c>
      <c r="C133" s="5">
        <v>2</v>
      </c>
      <c r="D133" s="5">
        <v>3</v>
      </c>
      <c r="E133" s="5">
        <v>2</v>
      </c>
      <c r="F133" s="5">
        <v>4</v>
      </c>
      <c r="G133" s="5">
        <v>2</v>
      </c>
      <c r="H133" s="5">
        <v>3</v>
      </c>
      <c r="I133" s="5">
        <v>3</v>
      </c>
      <c r="J133" s="5">
        <v>2</v>
      </c>
      <c r="K133" s="5">
        <v>2</v>
      </c>
      <c r="L133" s="5">
        <v>3</v>
      </c>
      <c r="M133" s="5">
        <v>3</v>
      </c>
    </row>
    <row r="134" spans="1:13" x14ac:dyDescent="0.35">
      <c r="A134" s="5">
        <v>131</v>
      </c>
      <c r="B134" s="5">
        <v>5</v>
      </c>
      <c r="C134" s="5">
        <v>2</v>
      </c>
      <c r="D134" s="5">
        <v>5</v>
      </c>
      <c r="E134" s="5">
        <v>1</v>
      </c>
      <c r="F134" s="5">
        <v>2</v>
      </c>
      <c r="G134" s="5">
        <v>4</v>
      </c>
      <c r="H134" s="5">
        <v>2</v>
      </c>
      <c r="I134" s="5">
        <v>2</v>
      </c>
      <c r="J134" s="5">
        <v>2</v>
      </c>
      <c r="K134" s="5">
        <v>1</v>
      </c>
      <c r="L134" s="5">
        <v>3</v>
      </c>
      <c r="M134" s="5">
        <v>4</v>
      </c>
    </row>
    <row r="135" spans="1:13" x14ac:dyDescent="0.35">
      <c r="A135" s="5">
        <v>132</v>
      </c>
      <c r="B135" s="5">
        <v>2</v>
      </c>
      <c r="C135" s="5">
        <v>2</v>
      </c>
      <c r="D135" s="5">
        <v>2</v>
      </c>
      <c r="E135" s="5">
        <v>2</v>
      </c>
      <c r="F135" s="5">
        <v>2</v>
      </c>
      <c r="G135" s="5">
        <v>3</v>
      </c>
      <c r="H135" s="5">
        <v>2</v>
      </c>
      <c r="I135" s="5">
        <v>2</v>
      </c>
      <c r="J135" s="5">
        <v>2</v>
      </c>
      <c r="K135" s="5">
        <v>2</v>
      </c>
      <c r="L135" s="5">
        <v>2</v>
      </c>
      <c r="M135" s="5">
        <v>2</v>
      </c>
    </row>
    <row r="136" spans="1:13" x14ac:dyDescent="0.35">
      <c r="A136" s="5">
        <v>133</v>
      </c>
      <c r="B136" s="5">
        <v>2</v>
      </c>
      <c r="C136" s="5">
        <v>1</v>
      </c>
      <c r="D136" s="5">
        <v>2</v>
      </c>
      <c r="E136" s="5">
        <v>1</v>
      </c>
      <c r="F136" s="5">
        <v>1</v>
      </c>
      <c r="G136" s="5">
        <v>1</v>
      </c>
      <c r="H136" s="5">
        <v>1</v>
      </c>
      <c r="I136" s="5">
        <v>1</v>
      </c>
      <c r="J136" s="5">
        <v>1</v>
      </c>
      <c r="K136" s="5">
        <v>1</v>
      </c>
      <c r="L136" s="5">
        <v>1</v>
      </c>
      <c r="M136" s="5">
        <v>1</v>
      </c>
    </row>
  </sheetData>
  <mergeCells count="1">
    <mergeCell ref="R8:S8"/>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754B-1238-49D8-8D7C-548D1589B1AC}">
  <dimension ref="A1:H134"/>
  <sheetViews>
    <sheetView tabSelected="1" topLeftCell="C14" zoomScaleNormal="100" workbookViewId="0">
      <selection activeCell="F31" sqref="F31"/>
    </sheetView>
  </sheetViews>
  <sheetFormatPr defaultRowHeight="13.5" customHeight="1" x14ac:dyDescent="0.35"/>
  <cols>
    <col min="1" max="1" width="4.1796875" bestFit="1" customWidth="1"/>
    <col min="2" max="3" width="37.7265625" customWidth="1"/>
    <col min="4" max="4" width="18.6328125" bestFit="1" customWidth="1"/>
    <col min="5" max="5" width="19.26953125" bestFit="1" customWidth="1"/>
    <col min="6" max="6" width="18.6328125" bestFit="1" customWidth="1"/>
    <col min="7" max="7" width="19.26953125" bestFit="1" customWidth="1"/>
  </cols>
  <sheetData>
    <row r="1" spans="1:8" ht="14.5" x14ac:dyDescent="0.35">
      <c r="A1" t="s">
        <v>711</v>
      </c>
      <c r="B1" s="3" t="s">
        <v>777</v>
      </c>
      <c r="C1" s="3" t="s">
        <v>778</v>
      </c>
      <c r="D1" s="22" t="s">
        <v>971</v>
      </c>
      <c r="E1" s="22" t="s">
        <v>968</v>
      </c>
      <c r="F1" s="22" t="s">
        <v>969</v>
      </c>
      <c r="G1" s="22" t="s">
        <v>970</v>
      </c>
      <c r="H1" s="5" t="s">
        <v>779</v>
      </c>
    </row>
    <row r="2" spans="1:8" ht="13.5" customHeight="1" x14ac:dyDescent="0.35">
      <c r="A2">
        <v>1</v>
      </c>
      <c r="B2" s="2" t="s">
        <v>101</v>
      </c>
      <c r="C2" s="2" t="s">
        <v>102</v>
      </c>
      <c r="D2" s="5" t="s">
        <v>36</v>
      </c>
      <c r="E2" s="5" t="s">
        <v>36</v>
      </c>
      <c r="F2" s="5" t="s">
        <v>64</v>
      </c>
      <c r="G2" s="5" t="s">
        <v>708</v>
      </c>
      <c r="H2" s="5" t="s">
        <v>780</v>
      </c>
    </row>
    <row r="3" spans="1:8" ht="13.5" customHeight="1" x14ac:dyDescent="0.35">
      <c r="A3">
        <v>2</v>
      </c>
      <c r="B3" s="2" t="s">
        <v>149</v>
      </c>
      <c r="C3" s="2" t="s">
        <v>150</v>
      </c>
      <c r="D3" s="5" t="s">
        <v>36</v>
      </c>
      <c r="E3" s="5" t="s">
        <v>36</v>
      </c>
      <c r="F3" s="5" t="s">
        <v>708</v>
      </c>
      <c r="G3" s="5" t="s">
        <v>708</v>
      </c>
      <c r="H3" s="5" t="s">
        <v>780</v>
      </c>
    </row>
    <row r="4" spans="1:8" ht="13.5" customHeight="1" x14ac:dyDescent="0.35">
      <c r="A4">
        <v>3</v>
      </c>
      <c r="B4" s="2" t="s">
        <v>165</v>
      </c>
      <c r="C4" s="2" t="s">
        <v>166</v>
      </c>
      <c r="D4" s="5" t="s">
        <v>708</v>
      </c>
      <c r="E4" s="5" t="s">
        <v>36</v>
      </c>
      <c r="F4" s="5" t="s">
        <v>64</v>
      </c>
      <c r="G4" s="5" t="s">
        <v>64</v>
      </c>
      <c r="H4" s="5" t="s">
        <v>780</v>
      </c>
    </row>
    <row r="5" spans="1:8" ht="13.5" customHeight="1" x14ac:dyDescent="0.35">
      <c r="A5">
        <v>4</v>
      </c>
      <c r="B5" s="2" t="s">
        <v>85</v>
      </c>
      <c r="C5" s="2" t="s">
        <v>86</v>
      </c>
      <c r="D5" s="5" t="s">
        <v>708</v>
      </c>
      <c r="E5" s="5" t="s">
        <v>36</v>
      </c>
      <c r="F5" s="5" t="s">
        <v>64</v>
      </c>
      <c r="G5" s="5" t="s">
        <v>708</v>
      </c>
      <c r="H5" s="5" t="s">
        <v>780</v>
      </c>
    </row>
    <row r="6" spans="1:8" ht="13.5" customHeight="1" x14ac:dyDescent="0.35">
      <c r="A6">
        <v>5</v>
      </c>
      <c r="B6" s="2" t="s">
        <v>90</v>
      </c>
      <c r="C6" s="2" t="s">
        <v>91</v>
      </c>
      <c r="D6" s="5" t="s">
        <v>36</v>
      </c>
      <c r="E6" s="5" t="s">
        <v>36</v>
      </c>
      <c r="F6" s="5" t="s">
        <v>708</v>
      </c>
      <c r="G6" s="5" t="s">
        <v>708</v>
      </c>
      <c r="H6" s="5" t="s">
        <v>780</v>
      </c>
    </row>
    <row r="7" spans="1:8" ht="13.5" customHeight="1" x14ac:dyDescent="0.35">
      <c r="A7">
        <v>6</v>
      </c>
      <c r="B7" s="2" t="s">
        <v>129</v>
      </c>
      <c r="C7" s="2" t="s">
        <v>130</v>
      </c>
      <c r="D7" s="5" t="s">
        <v>708</v>
      </c>
      <c r="E7" s="5" t="s">
        <v>36</v>
      </c>
      <c r="F7" s="5" t="s">
        <v>64</v>
      </c>
      <c r="G7" s="5" t="s">
        <v>708</v>
      </c>
      <c r="H7" s="5" t="s">
        <v>780</v>
      </c>
    </row>
    <row r="8" spans="1:8" ht="13.5" customHeight="1" x14ac:dyDescent="0.35">
      <c r="A8">
        <v>7</v>
      </c>
      <c r="B8" s="2" t="s">
        <v>56</v>
      </c>
      <c r="C8" s="2" t="s">
        <v>57</v>
      </c>
      <c r="D8" s="5" t="s">
        <v>64</v>
      </c>
      <c r="E8" s="5" t="s">
        <v>708</v>
      </c>
      <c r="F8" s="5" t="s">
        <v>708</v>
      </c>
      <c r="G8" s="5" t="s">
        <v>708</v>
      </c>
      <c r="H8" s="5" t="s">
        <v>780</v>
      </c>
    </row>
    <row r="9" spans="1:8" ht="13.5" customHeight="1" x14ac:dyDescent="0.35">
      <c r="A9">
        <v>8</v>
      </c>
      <c r="B9" s="2" t="s">
        <v>68</v>
      </c>
      <c r="C9" s="2" t="s">
        <v>69</v>
      </c>
      <c r="D9" s="5" t="s">
        <v>64</v>
      </c>
      <c r="E9" s="5" t="s">
        <v>708</v>
      </c>
      <c r="F9" s="5" t="s">
        <v>64</v>
      </c>
      <c r="G9" s="5" t="s">
        <v>64</v>
      </c>
      <c r="H9" s="5" t="s">
        <v>780</v>
      </c>
    </row>
    <row r="10" spans="1:8" ht="13.5" customHeight="1" x14ac:dyDescent="0.35">
      <c r="A10">
        <v>9</v>
      </c>
      <c r="B10" s="2" t="s">
        <v>170</v>
      </c>
      <c r="C10" s="2" t="s">
        <v>171</v>
      </c>
      <c r="D10" s="5" t="s">
        <v>36</v>
      </c>
      <c r="E10" s="5" t="s">
        <v>36</v>
      </c>
      <c r="F10" s="5" t="s">
        <v>36</v>
      </c>
      <c r="G10" s="5" t="s">
        <v>36</v>
      </c>
      <c r="H10" s="5" t="s">
        <v>780</v>
      </c>
    </row>
    <row r="11" spans="1:8" ht="13.5" customHeight="1" x14ac:dyDescent="0.35">
      <c r="A11">
        <v>10</v>
      </c>
      <c r="B11" s="2" t="s">
        <v>123</v>
      </c>
      <c r="C11" s="2" t="s">
        <v>124</v>
      </c>
      <c r="D11" s="5" t="s">
        <v>36</v>
      </c>
      <c r="E11" s="5" t="s">
        <v>36</v>
      </c>
      <c r="F11" s="5" t="s">
        <v>36</v>
      </c>
      <c r="G11" s="5" t="s">
        <v>36</v>
      </c>
      <c r="H11" s="5" t="s">
        <v>780</v>
      </c>
    </row>
    <row r="12" spans="1:8" ht="13.5" customHeight="1" x14ac:dyDescent="0.35">
      <c r="A12">
        <v>11</v>
      </c>
      <c r="B12" s="2" t="s">
        <v>48</v>
      </c>
      <c r="C12" s="2" t="s">
        <v>49</v>
      </c>
      <c r="D12" s="5" t="s">
        <v>36</v>
      </c>
      <c r="E12" s="5" t="s">
        <v>36</v>
      </c>
      <c r="F12" s="5" t="s">
        <v>36</v>
      </c>
      <c r="G12" s="5" t="s">
        <v>36</v>
      </c>
      <c r="H12" s="5" t="s">
        <v>780</v>
      </c>
    </row>
    <row r="13" spans="1:8" ht="13.5" customHeight="1" x14ac:dyDescent="0.35">
      <c r="A13">
        <v>12</v>
      </c>
      <c r="B13" s="2" t="s">
        <v>95</v>
      </c>
      <c r="C13" s="2" t="s">
        <v>96</v>
      </c>
      <c r="D13" s="5" t="s">
        <v>708</v>
      </c>
      <c r="E13" s="5" t="s">
        <v>36</v>
      </c>
      <c r="F13" s="5" t="s">
        <v>36</v>
      </c>
      <c r="G13" s="5" t="s">
        <v>36</v>
      </c>
      <c r="H13" s="5" t="s">
        <v>780</v>
      </c>
    </row>
    <row r="14" spans="1:8" ht="13.5" customHeight="1" x14ac:dyDescent="0.35">
      <c r="A14">
        <v>13</v>
      </c>
      <c r="B14" s="2" t="s">
        <v>74</v>
      </c>
      <c r="C14" s="2" t="s">
        <v>75</v>
      </c>
      <c r="D14" s="5" t="s">
        <v>708</v>
      </c>
      <c r="E14" s="5" t="s">
        <v>36</v>
      </c>
      <c r="F14" s="5" t="s">
        <v>36</v>
      </c>
      <c r="G14" s="5" t="s">
        <v>36</v>
      </c>
      <c r="H14" s="5" t="s">
        <v>780</v>
      </c>
    </row>
    <row r="15" spans="1:8" ht="13.5" customHeight="1" x14ac:dyDescent="0.35">
      <c r="A15">
        <v>14</v>
      </c>
      <c r="B15" s="2" t="s">
        <v>79</v>
      </c>
      <c r="C15" s="2" t="s">
        <v>80</v>
      </c>
      <c r="D15" s="5" t="s">
        <v>64</v>
      </c>
      <c r="E15" s="5" t="s">
        <v>36</v>
      </c>
      <c r="F15" s="5" t="s">
        <v>36</v>
      </c>
      <c r="G15" s="5" t="s">
        <v>36</v>
      </c>
      <c r="H15" s="5" t="s">
        <v>780</v>
      </c>
    </row>
    <row r="16" spans="1:8" ht="13.5" customHeight="1" x14ac:dyDescent="0.35">
      <c r="A16">
        <v>15</v>
      </c>
      <c r="B16" s="2" t="s">
        <v>112</v>
      </c>
      <c r="C16" s="2" t="s">
        <v>113</v>
      </c>
      <c r="D16" s="5" t="s">
        <v>708</v>
      </c>
      <c r="E16" s="5" t="s">
        <v>36</v>
      </c>
      <c r="F16" s="5" t="s">
        <v>708</v>
      </c>
      <c r="G16" s="5" t="s">
        <v>708</v>
      </c>
      <c r="H16" s="5" t="s">
        <v>780</v>
      </c>
    </row>
    <row r="17" spans="1:8" ht="13.5" customHeight="1" x14ac:dyDescent="0.35">
      <c r="A17">
        <v>16</v>
      </c>
      <c r="B17" s="2" t="s">
        <v>180</v>
      </c>
      <c r="C17" s="2" t="s">
        <v>181</v>
      </c>
      <c r="D17" s="5" t="s">
        <v>708</v>
      </c>
      <c r="E17" s="5" t="s">
        <v>36</v>
      </c>
      <c r="F17" s="5" t="s">
        <v>36</v>
      </c>
      <c r="G17" s="5" t="s">
        <v>36</v>
      </c>
      <c r="H17" s="5" t="s">
        <v>780</v>
      </c>
    </row>
    <row r="18" spans="1:8" ht="13.5" customHeight="1" x14ac:dyDescent="0.35">
      <c r="A18">
        <v>17</v>
      </c>
      <c r="B18" s="2" t="s">
        <v>106</v>
      </c>
      <c r="C18" s="2" t="s">
        <v>107</v>
      </c>
      <c r="D18" s="5" t="s">
        <v>64</v>
      </c>
      <c r="E18" s="5" t="s">
        <v>36</v>
      </c>
      <c r="F18" s="5" t="s">
        <v>708</v>
      </c>
      <c r="G18" s="5" t="s">
        <v>708</v>
      </c>
      <c r="H18" s="5" t="s">
        <v>780</v>
      </c>
    </row>
    <row r="19" spans="1:8" ht="13.5" customHeight="1" x14ac:dyDescent="0.35">
      <c r="A19">
        <v>18</v>
      </c>
      <c r="B19" s="2" t="s">
        <v>61</v>
      </c>
      <c r="C19" s="2" t="s">
        <v>62</v>
      </c>
      <c r="D19" s="5" t="s">
        <v>36</v>
      </c>
      <c r="E19" s="5" t="s">
        <v>36</v>
      </c>
      <c r="F19" s="5" t="s">
        <v>708</v>
      </c>
      <c r="G19" s="5" t="s">
        <v>708</v>
      </c>
      <c r="H19" s="5" t="s">
        <v>780</v>
      </c>
    </row>
    <row r="20" spans="1:8" ht="13.5" customHeight="1" x14ac:dyDescent="0.35">
      <c r="A20">
        <v>19</v>
      </c>
      <c r="B20" s="2" t="s">
        <v>212</v>
      </c>
      <c r="C20" s="2" t="s">
        <v>213</v>
      </c>
      <c r="D20" s="5" t="s">
        <v>36</v>
      </c>
      <c r="E20" s="5" t="s">
        <v>36</v>
      </c>
      <c r="F20" s="5" t="s">
        <v>64</v>
      </c>
      <c r="G20" s="5" t="s">
        <v>708</v>
      </c>
      <c r="H20" s="5" t="s">
        <v>780</v>
      </c>
    </row>
    <row r="21" spans="1:8" ht="13.5" customHeight="1" x14ac:dyDescent="0.35">
      <c r="A21">
        <v>20</v>
      </c>
      <c r="B21" s="2" t="s">
        <v>139</v>
      </c>
      <c r="C21" s="2" t="s">
        <v>140</v>
      </c>
      <c r="D21" s="5" t="s">
        <v>708</v>
      </c>
      <c r="E21" s="5" t="s">
        <v>36</v>
      </c>
      <c r="F21" s="5" t="s">
        <v>64</v>
      </c>
      <c r="G21" s="5" t="s">
        <v>64</v>
      </c>
      <c r="H21" s="5" t="s">
        <v>780</v>
      </c>
    </row>
    <row r="22" spans="1:8" ht="13.5" customHeight="1" x14ac:dyDescent="0.35">
      <c r="A22">
        <v>21</v>
      </c>
      <c r="B22" s="2" t="s">
        <v>185</v>
      </c>
      <c r="C22" s="2" t="s">
        <v>186</v>
      </c>
      <c r="D22" s="5" t="s">
        <v>708</v>
      </c>
      <c r="E22" s="5" t="s">
        <v>36</v>
      </c>
      <c r="F22" s="5" t="s">
        <v>64</v>
      </c>
      <c r="G22" s="5" t="s">
        <v>64</v>
      </c>
      <c r="H22" s="5" t="s">
        <v>780</v>
      </c>
    </row>
    <row r="23" spans="1:8" ht="13.5" customHeight="1" x14ac:dyDescent="0.35">
      <c r="A23">
        <v>22</v>
      </c>
      <c r="B23" s="2" t="s">
        <v>207</v>
      </c>
      <c r="C23" s="2" t="s">
        <v>208</v>
      </c>
      <c r="D23" s="5" t="s">
        <v>64</v>
      </c>
      <c r="E23" s="5" t="s">
        <v>708</v>
      </c>
      <c r="F23" s="5" t="s">
        <v>36</v>
      </c>
      <c r="G23" s="5" t="s">
        <v>36</v>
      </c>
      <c r="H23" s="5" t="s">
        <v>780</v>
      </c>
    </row>
    <row r="24" spans="1:8" ht="13.5" customHeight="1" x14ac:dyDescent="0.35">
      <c r="A24">
        <v>23</v>
      </c>
      <c r="B24" s="2" t="s">
        <v>175</v>
      </c>
      <c r="C24" s="2" t="s">
        <v>176</v>
      </c>
      <c r="D24" s="5" t="s">
        <v>708</v>
      </c>
      <c r="E24" s="5" t="s">
        <v>36</v>
      </c>
      <c r="F24" s="5" t="s">
        <v>64</v>
      </c>
      <c r="G24" s="5" t="s">
        <v>708</v>
      </c>
      <c r="H24" s="5" t="s">
        <v>780</v>
      </c>
    </row>
    <row r="25" spans="1:8" ht="13.5" customHeight="1" x14ac:dyDescent="0.35">
      <c r="A25">
        <v>24</v>
      </c>
      <c r="B25" s="2" t="s">
        <v>155</v>
      </c>
      <c r="C25" s="2" t="s">
        <v>156</v>
      </c>
      <c r="D25" s="5" t="s">
        <v>64</v>
      </c>
      <c r="E25" s="5" t="s">
        <v>708</v>
      </c>
      <c r="F25" s="5" t="s">
        <v>64</v>
      </c>
      <c r="G25" s="5" t="s">
        <v>64</v>
      </c>
      <c r="H25" s="5" t="s">
        <v>780</v>
      </c>
    </row>
    <row r="26" spans="1:8" ht="13.5" customHeight="1" x14ac:dyDescent="0.35">
      <c r="A26">
        <v>25</v>
      </c>
      <c r="B26" s="2" t="s">
        <v>117</v>
      </c>
      <c r="C26" s="2" t="s">
        <v>118</v>
      </c>
      <c r="D26" s="5" t="s">
        <v>36</v>
      </c>
      <c r="E26" s="5" t="s">
        <v>36</v>
      </c>
      <c r="F26" s="5" t="s">
        <v>36</v>
      </c>
      <c r="G26" s="5" t="s">
        <v>36</v>
      </c>
      <c r="H26" s="5" t="s">
        <v>780</v>
      </c>
    </row>
    <row r="27" spans="1:8" ht="13.5" customHeight="1" x14ac:dyDescent="0.35">
      <c r="A27">
        <v>26</v>
      </c>
      <c r="B27" s="2" t="s">
        <v>190</v>
      </c>
      <c r="C27" s="2" t="s">
        <v>191</v>
      </c>
      <c r="D27" s="5" t="s">
        <v>64</v>
      </c>
      <c r="E27" s="5" t="s">
        <v>64</v>
      </c>
      <c r="F27" s="5" t="s">
        <v>64</v>
      </c>
      <c r="G27" s="5" t="s">
        <v>64</v>
      </c>
      <c r="H27" s="5" t="s">
        <v>780</v>
      </c>
    </row>
    <row r="28" spans="1:8" ht="13.5" customHeight="1" x14ac:dyDescent="0.35">
      <c r="A28">
        <v>27</v>
      </c>
      <c r="B28" s="2" t="s">
        <v>41</v>
      </c>
      <c r="C28" s="2" t="s">
        <v>42</v>
      </c>
      <c r="D28" s="5" t="s">
        <v>36</v>
      </c>
      <c r="E28" s="5" t="s">
        <v>36</v>
      </c>
      <c r="F28" s="5" t="s">
        <v>36</v>
      </c>
      <c r="G28" s="5" t="s">
        <v>36</v>
      </c>
      <c r="H28" s="5" t="s">
        <v>780</v>
      </c>
    </row>
    <row r="29" spans="1:8" ht="13.5" customHeight="1" x14ac:dyDescent="0.35">
      <c r="A29">
        <v>28</v>
      </c>
      <c r="B29" s="2" t="s">
        <v>134</v>
      </c>
      <c r="C29" s="2" t="s">
        <v>135</v>
      </c>
      <c r="D29" s="5" t="s">
        <v>36</v>
      </c>
      <c r="E29" s="5" t="s">
        <v>36</v>
      </c>
      <c r="F29" s="5" t="s">
        <v>36</v>
      </c>
      <c r="G29" s="5" t="s">
        <v>36</v>
      </c>
      <c r="H29" s="5" t="s">
        <v>780</v>
      </c>
    </row>
    <row r="30" spans="1:8" ht="13.5" customHeight="1" x14ac:dyDescent="0.35">
      <c r="A30">
        <v>29</v>
      </c>
      <c r="B30" s="2" t="s">
        <v>160</v>
      </c>
      <c r="C30" s="2" t="s">
        <v>161</v>
      </c>
      <c r="D30" s="5" t="s">
        <v>708</v>
      </c>
      <c r="E30" s="5" t="s">
        <v>36</v>
      </c>
      <c r="F30" s="5" t="s">
        <v>64</v>
      </c>
      <c r="G30" s="5" t="s">
        <v>708</v>
      </c>
      <c r="H30" s="5" t="s">
        <v>780</v>
      </c>
    </row>
    <row r="31" spans="1:8" ht="13.5" customHeight="1" x14ac:dyDescent="0.35">
      <c r="A31">
        <v>30</v>
      </c>
      <c r="B31" s="2" t="s">
        <v>144</v>
      </c>
      <c r="C31" s="2" t="s">
        <v>145</v>
      </c>
      <c r="D31" s="5" t="s">
        <v>36</v>
      </c>
      <c r="E31" s="5" t="s">
        <v>36</v>
      </c>
      <c r="F31" s="5" t="s">
        <v>708</v>
      </c>
      <c r="G31" s="5" t="s">
        <v>708</v>
      </c>
      <c r="H31" s="5" t="s">
        <v>780</v>
      </c>
    </row>
    <row r="32" spans="1:8" ht="13.5" customHeight="1" x14ac:dyDescent="0.35">
      <c r="A32">
        <v>31</v>
      </c>
      <c r="B32" s="2" t="s">
        <v>196</v>
      </c>
      <c r="C32" s="2" t="s">
        <v>197</v>
      </c>
      <c r="D32" s="5" t="s">
        <v>708</v>
      </c>
      <c r="E32" s="5" t="s">
        <v>36</v>
      </c>
      <c r="F32" s="5" t="s">
        <v>708</v>
      </c>
      <c r="G32" s="5" t="s">
        <v>708</v>
      </c>
      <c r="H32" s="5" t="s">
        <v>780</v>
      </c>
    </row>
    <row r="33" spans="1:8" ht="13.5" customHeight="1" x14ac:dyDescent="0.35">
      <c r="A33">
        <v>32</v>
      </c>
      <c r="B33" s="2" t="s">
        <v>217</v>
      </c>
      <c r="C33" s="2" t="s">
        <v>218</v>
      </c>
      <c r="D33" s="5" t="s">
        <v>708</v>
      </c>
      <c r="E33" s="5" t="s">
        <v>36</v>
      </c>
      <c r="F33" s="5" t="s">
        <v>64</v>
      </c>
      <c r="G33" s="5" t="s">
        <v>708</v>
      </c>
      <c r="H33" s="5" t="s">
        <v>780</v>
      </c>
    </row>
    <row r="34" spans="1:8" ht="13.5" customHeight="1" x14ac:dyDescent="0.35">
      <c r="A34">
        <v>33</v>
      </c>
      <c r="B34" s="2" t="s">
        <v>202</v>
      </c>
      <c r="C34" s="2" t="s">
        <v>203</v>
      </c>
      <c r="D34" s="5" t="s">
        <v>64</v>
      </c>
      <c r="E34" s="5" t="s">
        <v>708</v>
      </c>
      <c r="F34" s="5" t="s">
        <v>64</v>
      </c>
      <c r="G34" s="5" t="s">
        <v>64</v>
      </c>
      <c r="H34" s="5" t="s">
        <v>780</v>
      </c>
    </row>
    <row r="35" spans="1:8" ht="13.5" customHeight="1" x14ac:dyDescent="0.35">
      <c r="A35">
        <v>34</v>
      </c>
      <c r="B35" s="2" t="s">
        <v>222</v>
      </c>
      <c r="C35" s="2" t="s">
        <v>223</v>
      </c>
      <c r="D35" s="5" t="s">
        <v>64</v>
      </c>
      <c r="E35" s="5" t="s">
        <v>708</v>
      </c>
      <c r="F35" s="5" t="s">
        <v>708</v>
      </c>
      <c r="G35" s="5" t="s">
        <v>708</v>
      </c>
      <c r="H35" s="5" t="s">
        <v>780</v>
      </c>
    </row>
    <row r="36" spans="1:8" ht="13.5" customHeight="1" x14ac:dyDescent="0.35">
      <c r="A36">
        <v>35</v>
      </c>
      <c r="B36" s="2" t="s">
        <v>227</v>
      </c>
      <c r="C36" s="2" t="s">
        <v>228</v>
      </c>
      <c r="D36" s="5" t="s">
        <v>36</v>
      </c>
      <c r="E36" s="5" t="s">
        <v>36</v>
      </c>
      <c r="F36" s="5" t="s">
        <v>36</v>
      </c>
      <c r="G36" s="5" t="s">
        <v>36</v>
      </c>
      <c r="H36" s="5" t="s">
        <v>780</v>
      </c>
    </row>
    <row r="37" spans="1:8" ht="13.5" customHeight="1" x14ac:dyDescent="0.35">
      <c r="A37">
        <v>36</v>
      </c>
      <c r="B37" s="2" t="s">
        <v>234</v>
      </c>
      <c r="C37" s="2" t="s">
        <v>235</v>
      </c>
      <c r="D37" s="5" t="s">
        <v>36</v>
      </c>
      <c r="E37" s="5" t="s">
        <v>36</v>
      </c>
      <c r="F37" s="5" t="s">
        <v>36</v>
      </c>
      <c r="G37" s="5" t="s">
        <v>36</v>
      </c>
      <c r="H37" s="5" t="s">
        <v>780</v>
      </c>
    </row>
    <row r="38" spans="1:8" ht="13.5" customHeight="1" x14ac:dyDescent="0.35">
      <c r="A38">
        <v>37</v>
      </c>
      <c r="B38" s="2" t="s">
        <v>239</v>
      </c>
      <c r="C38" s="2" t="s">
        <v>240</v>
      </c>
      <c r="D38" s="5" t="s">
        <v>36</v>
      </c>
      <c r="E38" s="5" t="s">
        <v>36</v>
      </c>
      <c r="F38" s="5" t="s">
        <v>708</v>
      </c>
      <c r="G38" s="5" t="s">
        <v>708</v>
      </c>
      <c r="H38" s="5" t="s">
        <v>780</v>
      </c>
    </row>
    <row r="39" spans="1:8" ht="13.5" customHeight="1" x14ac:dyDescent="0.35">
      <c r="A39">
        <v>38</v>
      </c>
      <c r="B39" s="2" t="s">
        <v>244</v>
      </c>
      <c r="C39" s="2" t="s">
        <v>245</v>
      </c>
      <c r="D39" s="5" t="s">
        <v>36</v>
      </c>
      <c r="E39" s="5" t="s">
        <v>36</v>
      </c>
      <c r="F39" s="5" t="s">
        <v>64</v>
      </c>
      <c r="G39" s="5" t="s">
        <v>708</v>
      </c>
      <c r="H39" s="5" t="s">
        <v>780</v>
      </c>
    </row>
    <row r="40" spans="1:8" ht="13.5" customHeight="1" x14ac:dyDescent="0.35">
      <c r="A40">
        <v>39</v>
      </c>
      <c r="B40" s="2" t="s">
        <v>249</v>
      </c>
      <c r="C40" s="2" t="s">
        <v>250</v>
      </c>
      <c r="D40" s="5" t="s">
        <v>64</v>
      </c>
      <c r="E40" s="5" t="s">
        <v>36</v>
      </c>
      <c r="F40" s="5" t="s">
        <v>708</v>
      </c>
      <c r="G40" s="5" t="s">
        <v>708</v>
      </c>
      <c r="H40" s="5" t="s">
        <v>780</v>
      </c>
    </row>
    <row r="41" spans="1:8" ht="13.5" customHeight="1" x14ac:dyDescent="0.35">
      <c r="A41">
        <v>40</v>
      </c>
      <c r="B41" s="2" t="s">
        <v>279</v>
      </c>
      <c r="C41" s="2" t="s">
        <v>280</v>
      </c>
      <c r="D41" s="5" t="s">
        <v>64</v>
      </c>
      <c r="E41" s="5" t="s">
        <v>708</v>
      </c>
      <c r="F41" s="5" t="s">
        <v>708</v>
      </c>
      <c r="G41" s="5" t="s">
        <v>708</v>
      </c>
      <c r="H41" s="5" t="s">
        <v>780</v>
      </c>
    </row>
    <row r="42" spans="1:8" ht="13.5" customHeight="1" x14ac:dyDescent="0.35">
      <c r="A42">
        <v>41</v>
      </c>
      <c r="B42" s="2" t="s">
        <v>254</v>
      </c>
      <c r="C42" s="2" t="s">
        <v>255</v>
      </c>
      <c r="D42" s="5" t="s">
        <v>64</v>
      </c>
      <c r="E42" s="5" t="s">
        <v>36</v>
      </c>
      <c r="F42" s="5" t="s">
        <v>64</v>
      </c>
      <c r="G42" s="5" t="s">
        <v>708</v>
      </c>
      <c r="H42" s="5" t="s">
        <v>781</v>
      </c>
    </row>
    <row r="43" spans="1:8" ht="13.5" customHeight="1" x14ac:dyDescent="0.35">
      <c r="A43">
        <v>42</v>
      </c>
      <c r="B43" s="2" t="s">
        <v>264</v>
      </c>
      <c r="C43" s="2" t="s">
        <v>265</v>
      </c>
      <c r="D43" s="5" t="s">
        <v>64</v>
      </c>
      <c r="E43" s="5" t="s">
        <v>708</v>
      </c>
      <c r="F43" s="5" t="s">
        <v>36</v>
      </c>
      <c r="G43" s="5" t="s">
        <v>36</v>
      </c>
      <c r="H43" s="5" t="s">
        <v>781</v>
      </c>
    </row>
    <row r="44" spans="1:8" ht="13.5" customHeight="1" x14ac:dyDescent="0.35">
      <c r="A44">
        <v>43</v>
      </c>
      <c r="B44" s="2" t="s">
        <v>269</v>
      </c>
      <c r="C44" s="2" t="s">
        <v>270</v>
      </c>
      <c r="D44" s="5" t="s">
        <v>64</v>
      </c>
      <c r="E44" s="5" t="s">
        <v>708</v>
      </c>
      <c r="F44" s="5" t="s">
        <v>64</v>
      </c>
      <c r="G44" s="5" t="s">
        <v>64</v>
      </c>
      <c r="H44" s="5" t="s">
        <v>781</v>
      </c>
    </row>
    <row r="45" spans="1:8" ht="13.5" customHeight="1" x14ac:dyDescent="0.35">
      <c r="A45">
        <v>44</v>
      </c>
      <c r="B45" s="2" t="s">
        <v>259</v>
      </c>
      <c r="C45" s="2" t="s">
        <v>260</v>
      </c>
      <c r="D45" s="5" t="s">
        <v>708</v>
      </c>
      <c r="E45" s="5" t="s">
        <v>36</v>
      </c>
      <c r="F45" s="5" t="s">
        <v>36</v>
      </c>
      <c r="G45" s="5" t="s">
        <v>36</v>
      </c>
      <c r="H45" s="5" t="s">
        <v>781</v>
      </c>
    </row>
    <row r="46" spans="1:8" ht="13.5" customHeight="1" x14ac:dyDescent="0.35">
      <c r="A46">
        <v>45</v>
      </c>
      <c r="B46" s="2" t="s">
        <v>289</v>
      </c>
      <c r="C46" s="2" t="s">
        <v>290</v>
      </c>
      <c r="D46" s="5" t="s">
        <v>36</v>
      </c>
      <c r="E46" s="5" t="s">
        <v>36</v>
      </c>
      <c r="F46" s="5" t="s">
        <v>36</v>
      </c>
      <c r="G46" s="5" t="s">
        <v>36</v>
      </c>
      <c r="H46" s="5" t="s">
        <v>781</v>
      </c>
    </row>
    <row r="47" spans="1:8" ht="13.5" customHeight="1" x14ac:dyDescent="0.35">
      <c r="A47">
        <v>46</v>
      </c>
      <c r="B47" s="2" t="s">
        <v>274</v>
      </c>
      <c r="C47" s="2" t="s">
        <v>275</v>
      </c>
      <c r="D47" s="5" t="s">
        <v>36</v>
      </c>
      <c r="E47" s="5" t="s">
        <v>36</v>
      </c>
      <c r="F47" s="5" t="s">
        <v>64</v>
      </c>
      <c r="G47" s="5" t="s">
        <v>64</v>
      </c>
      <c r="H47" s="5" t="s">
        <v>781</v>
      </c>
    </row>
    <row r="48" spans="1:8" ht="13.5" customHeight="1" x14ac:dyDescent="0.35">
      <c r="A48">
        <v>47</v>
      </c>
      <c r="B48" s="2" t="s">
        <v>284</v>
      </c>
      <c r="C48" s="2" t="s">
        <v>285</v>
      </c>
      <c r="D48" s="5" t="s">
        <v>36</v>
      </c>
      <c r="E48" s="5" t="s">
        <v>36</v>
      </c>
      <c r="F48" s="5" t="s">
        <v>708</v>
      </c>
      <c r="G48" s="5" t="s">
        <v>708</v>
      </c>
      <c r="H48" s="5" t="s">
        <v>781</v>
      </c>
    </row>
    <row r="49" spans="1:8" ht="13.5" customHeight="1" x14ac:dyDescent="0.35">
      <c r="A49">
        <v>48</v>
      </c>
      <c r="B49" s="2" t="s">
        <v>294</v>
      </c>
      <c r="C49" s="2" t="s">
        <v>295</v>
      </c>
      <c r="D49" s="5" t="s">
        <v>36</v>
      </c>
      <c r="E49" s="5" t="s">
        <v>36</v>
      </c>
      <c r="F49" s="5" t="s">
        <v>64</v>
      </c>
      <c r="G49" s="5" t="s">
        <v>64</v>
      </c>
      <c r="H49" s="5" t="s">
        <v>781</v>
      </c>
    </row>
    <row r="50" spans="1:8" ht="13.5" customHeight="1" x14ac:dyDescent="0.35">
      <c r="A50">
        <v>49</v>
      </c>
      <c r="B50" s="2" t="s">
        <v>299</v>
      </c>
      <c r="C50" s="2" t="s">
        <v>300</v>
      </c>
      <c r="D50" s="5" t="s">
        <v>64</v>
      </c>
      <c r="E50" s="5" t="s">
        <v>708</v>
      </c>
      <c r="F50" s="5" t="s">
        <v>708</v>
      </c>
      <c r="G50" s="5" t="s">
        <v>708</v>
      </c>
      <c r="H50" s="5" t="s">
        <v>781</v>
      </c>
    </row>
    <row r="51" spans="1:8" ht="13.5" customHeight="1" x14ac:dyDescent="0.35">
      <c r="A51">
        <v>50</v>
      </c>
      <c r="B51" s="2" t="s">
        <v>304</v>
      </c>
      <c r="C51" s="2" t="s">
        <v>305</v>
      </c>
      <c r="D51" s="5" t="s">
        <v>64</v>
      </c>
      <c r="E51" s="5" t="s">
        <v>64</v>
      </c>
      <c r="F51" s="5" t="s">
        <v>64</v>
      </c>
      <c r="G51" s="5" t="s">
        <v>708</v>
      </c>
      <c r="H51" s="5" t="s">
        <v>781</v>
      </c>
    </row>
    <row r="52" spans="1:8" ht="13.5" customHeight="1" x14ac:dyDescent="0.35">
      <c r="A52">
        <v>51</v>
      </c>
      <c r="B52" s="2" t="s">
        <v>309</v>
      </c>
      <c r="C52" s="2" t="s">
        <v>310</v>
      </c>
      <c r="D52" s="5" t="s">
        <v>36</v>
      </c>
      <c r="E52" s="5" t="s">
        <v>36</v>
      </c>
      <c r="F52" s="5" t="s">
        <v>36</v>
      </c>
      <c r="G52" s="5" t="s">
        <v>36</v>
      </c>
      <c r="H52" s="5" t="s">
        <v>783</v>
      </c>
    </row>
    <row r="53" spans="1:8" ht="13.5" customHeight="1" x14ac:dyDescent="0.35">
      <c r="A53">
        <v>52</v>
      </c>
      <c r="B53" s="2" t="s">
        <v>314</v>
      </c>
      <c r="C53" s="2" t="s">
        <v>315</v>
      </c>
      <c r="D53" s="5" t="s">
        <v>36</v>
      </c>
      <c r="E53" s="5" t="s">
        <v>36</v>
      </c>
      <c r="F53" s="5" t="s">
        <v>64</v>
      </c>
      <c r="G53" s="5" t="s">
        <v>64</v>
      </c>
      <c r="H53" s="5" t="s">
        <v>783</v>
      </c>
    </row>
    <row r="54" spans="1:8" ht="13.5" customHeight="1" x14ac:dyDescent="0.35">
      <c r="A54">
        <v>53</v>
      </c>
      <c r="B54" s="2" t="s">
        <v>329</v>
      </c>
      <c r="C54" s="2" t="s">
        <v>330</v>
      </c>
      <c r="D54" s="5" t="s">
        <v>64</v>
      </c>
      <c r="E54" s="5" t="s">
        <v>708</v>
      </c>
      <c r="F54" s="5" t="s">
        <v>708</v>
      </c>
      <c r="G54" s="5" t="s">
        <v>708</v>
      </c>
      <c r="H54" s="5" t="s">
        <v>783</v>
      </c>
    </row>
    <row r="55" spans="1:8" ht="13.5" customHeight="1" x14ac:dyDescent="0.35">
      <c r="A55">
        <v>54</v>
      </c>
      <c r="B55" s="2" t="s">
        <v>324</v>
      </c>
      <c r="C55" s="2" t="s">
        <v>325</v>
      </c>
      <c r="D55" s="5" t="s">
        <v>64</v>
      </c>
      <c r="E55" s="5" t="s">
        <v>708</v>
      </c>
      <c r="F55" s="5" t="s">
        <v>36</v>
      </c>
      <c r="G55" s="5" t="s">
        <v>36</v>
      </c>
      <c r="H55" s="5" t="s">
        <v>783</v>
      </c>
    </row>
    <row r="56" spans="1:8" ht="13.5" customHeight="1" x14ac:dyDescent="0.35">
      <c r="A56">
        <v>55</v>
      </c>
      <c r="B56" s="2" t="s">
        <v>339</v>
      </c>
      <c r="C56" s="2" t="s">
        <v>340</v>
      </c>
      <c r="D56" s="5" t="s">
        <v>64</v>
      </c>
      <c r="E56" s="5" t="s">
        <v>36</v>
      </c>
      <c r="F56" s="5" t="s">
        <v>64</v>
      </c>
      <c r="G56" s="5" t="s">
        <v>64</v>
      </c>
      <c r="H56" s="5" t="s">
        <v>783</v>
      </c>
    </row>
    <row r="57" spans="1:8" ht="13.5" customHeight="1" x14ac:dyDescent="0.35">
      <c r="A57">
        <v>56</v>
      </c>
      <c r="B57" s="2" t="s">
        <v>334</v>
      </c>
      <c r="C57" s="2" t="s">
        <v>335</v>
      </c>
      <c r="D57" s="5" t="s">
        <v>36</v>
      </c>
      <c r="E57" s="5" t="s">
        <v>36</v>
      </c>
      <c r="F57" s="5" t="s">
        <v>708</v>
      </c>
      <c r="G57" s="5" t="s">
        <v>708</v>
      </c>
      <c r="H57" s="5" t="s">
        <v>783</v>
      </c>
    </row>
    <row r="58" spans="1:8" ht="13.5" customHeight="1" x14ac:dyDescent="0.35">
      <c r="A58">
        <v>57</v>
      </c>
      <c r="B58" s="2" t="s">
        <v>319</v>
      </c>
      <c r="C58" s="2" t="s">
        <v>320</v>
      </c>
      <c r="D58" s="5" t="s">
        <v>708</v>
      </c>
      <c r="E58" s="5" t="s">
        <v>36</v>
      </c>
      <c r="F58" s="5" t="s">
        <v>708</v>
      </c>
      <c r="G58" s="5" t="s">
        <v>708</v>
      </c>
      <c r="H58" s="5" t="s">
        <v>783</v>
      </c>
    </row>
    <row r="59" spans="1:8" ht="13.5" customHeight="1" x14ac:dyDescent="0.35">
      <c r="A59">
        <v>58</v>
      </c>
      <c r="B59" s="2" t="s">
        <v>344</v>
      </c>
      <c r="C59" s="2" t="s">
        <v>345</v>
      </c>
      <c r="D59" s="5" t="s">
        <v>64</v>
      </c>
      <c r="E59" s="5" t="s">
        <v>708</v>
      </c>
      <c r="F59" s="5" t="s">
        <v>64</v>
      </c>
      <c r="G59" s="5" t="s">
        <v>64</v>
      </c>
      <c r="H59" s="5" t="s">
        <v>783</v>
      </c>
    </row>
    <row r="60" spans="1:8" ht="13.5" customHeight="1" x14ac:dyDescent="0.35">
      <c r="A60">
        <v>59</v>
      </c>
      <c r="B60" s="2" t="s">
        <v>349</v>
      </c>
      <c r="C60" s="2" t="s">
        <v>350</v>
      </c>
      <c r="D60" s="5" t="s">
        <v>64</v>
      </c>
      <c r="E60" s="5" t="s">
        <v>708</v>
      </c>
      <c r="F60" s="5" t="s">
        <v>36</v>
      </c>
      <c r="G60" s="5" t="s">
        <v>36</v>
      </c>
      <c r="H60" s="5" t="s">
        <v>783</v>
      </c>
    </row>
    <row r="61" spans="1:8" ht="13.5" customHeight="1" x14ac:dyDescent="0.35">
      <c r="A61">
        <v>60</v>
      </c>
      <c r="B61" s="2" t="s">
        <v>354</v>
      </c>
      <c r="C61" s="2" t="s">
        <v>355</v>
      </c>
      <c r="D61" s="5" t="s">
        <v>36</v>
      </c>
      <c r="E61" s="5" t="s">
        <v>36</v>
      </c>
      <c r="F61" s="5" t="s">
        <v>64</v>
      </c>
      <c r="G61" s="5" t="s">
        <v>64</v>
      </c>
      <c r="H61" s="5" t="s">
        <v>783</v>
      </c>
    </row>
    <row r="62" spans="1:8" ht="13.5" customHeight="1" x14ac:dyDescent="0.35">
      <c r="A62">
        <v>61</v>
      </c>
      <c r="B62" s="2" t="s">
        <v>379</v>
      </c>
      <c r="C62" s="2" t="s">
        <v>380</v>
      </c>
      <c r="D62" s="5" t="s">
        <v>64</v>
      </c>
      <c r="E62" s="5" t="s">
        <v>708</v>
      </c>
      <c r="F62" s="5" t="s">
        <v>36</v>
      </c>
      <c r="G62" s="5" t="s">
        <v>36</v>
      </c>
      <c r="H62" s="5" t="s">
        <v>784</v>
      </c>
    </row>
    <row r="63" spans="1:8" ht="13.5" customHeight="1" x14ac:dyDescent="0.35">
      <c r="A63">
        <v>62</v>
      </c>
      <c r="B63" s="2" t="s">
        <v>359</v>
      </c>
      <c r="C63" s="2" t="s">
        <v>360</v>
      </c>
      <c r="D63" s="5" t="s">
        <v>708</v>
      </c>
      <c r="E63" s="5" t="s">
        <v>36</v>
      </c>
      <c r="F63" s="5" t="s">
        <v>708</v>
      </c>
      <c r="G63" s="5" t="s">
        <v>708</v>
      </c>
      <c r="H63" s="5" t="s">
        <v>784</v>
      </c>
    </row>
    <row r="64" spans="1:8" ht="13.5" customHeight="1" x14ac:dyDescent="0.35">
      <c r="A64">
        <v>63</v>
      </c>
      <c r="B64" s="2" t="s">
        <v>405</v>
      </c>
      <c r="C64" s="2" t="s">
        <v>406</v>
      </c>
      <c r="D64" s="5" t="s">
        <v>64</v>
      </c>
      <c r="E64" s="5" t="s">
        <v>708</v>
      </c>
      <c r="F64" s="5" t="s">
        <v>64</v>
      </c>
      <c r="G64" s="5" t="s">
        <v>64</v>
      </c>
      <c r="H64" s="5" t="s">
        <v>784</v>
      </c>
    </row>
    <row r="65" spans="1:8" ht="13.5" customHeight="1" x14ac:dyDescent="0.35">
      <c r="A65">
        <v>64</v>
      </c>
      <c r="B65" s="2" t="s">
        <v>395</v>
      </c>
      <c r="C65" s="2" t="s">
        <v>396</v>
      </c>
      <c r="D65" s="5" t="s">
        <v>64</v>
      </c>
      <c r="E65" s="5" t="s">
        <v>708</v>
      </c>
      <c r="F65" s="5" t="s">
        <v>708</v>
      </c>
      <c r="G65" s="5" t="s">
        <v>708</v>
      </c>
      <c r="H65" s="5" t="s">
        <v>784</v>
      </c>
    </row>
    <row r="66" spans="1:8" ht="13.5" customHeight="1" x14ac:dyDescent="0.35">
      <c r="A66">
        <v>65</v>
      </c>
      <c r="B66" s="2" t="s">
        <v>384</v>
      </c>
      <c r="C66" s="2" t="s">
        <v>385</v>
      </c>
      <c r="D66" s="5" t="s">
        <v>36</v>
      </c>
      <c r="E66" s="5" t="s">
        <v>36</v>
      </c>
      <c r="F66" s="5" t="s">
        <v>708</v>
      </c>
      <c r="G66" s="5" t="s">
        <v>708</v>
      </c>
      <c r="H66" s="5" t="s">
        <v>784</v>
      </c>
    </row>
    <row r="67" spans="1:8" ht="13.5" customHeight="1" x14ac:dyDescent="0.35">
      <c r="A67">
        <v>66</v>
      </c>
      <c r="B67" s="2" t="s">
        <v>374</v>
      </c>
      <c r="C67" s="2" t="s">
        <v>375</v>
      </c>
      <c r="D67" s="5" t="s">
        <v>36</v>
      </c>
      <c r="E67" s="5" t="s">
        <v>36</v>
      </c>
      <c r="F67" s="5" t="s">
        <v>36</v>
      </c>
      <c r="G67" s="5" t="s">
        <v>36</v>
      </c>
      <c r="H67" s="5" t="s">
        <v>784</v>
      </c>
    </row>
    <row r="68" spans="1:8" ht="13.5" customHeight="1" x14ac:dyDescent="0.35">
      <c r="A68">
        <v>67</v>
      </c>
      <c r="B68" s="2" t="s">
        <v>364</v>
      </c>
      <c r="C68" s="2" t="s">
        <v>365</v>
      </c>
      <c r="D68" s="5" t="s">
        <v>64</v>
      </c>
      <c r="E68" s="5" t="s">
        <v>708</v>
      </c>
      <c r="F68" s="5" t="s">
        <v>64</v>
      </c>
      <c r="G68" s="5" t="s">
        <v>64</v>
      </c>
      <c r="H68" s="5" t="s">
        <v>784</v>
      </c>
    </row>
    <row r="69" spans="1:8" ht="13.5" customHeight="1" x14ac:dyDescent="0.35">
      <c r="A69">
        <v>68</v>
      </c>
      <c r="B69" s="2" t="s">
        <v>400</v>
      </c>
      <c r="C69" s="2" t="s">
        <v>401</v>
      </c>
      <c r="D69" s="5" t="s">
        <v>64</v>
      </c>
      <c r="E69" s="5" t="s">
        <v>708</v>
      </c>
      <c r="F69" s="5" t="s">
        <v>64</v>
      </c>
      <c r="G69" s="5" t="s">
        <v>64</v>
      </c>
      <c r="H69" s="5" t="s">
        <v>784</v>
      </c>
    </row>
    <row r="70" spans="1:8" ht="13.5" customHeight="1" x14ac:dyDescent="0.35">
      <c r="A70">
        <v>69</v>
      </c>
      <c r="B70" s="2" t="s">
        <v>369</v>
      </c>
      <c r="C70" s="2" t="s">
        <v>370</v>
      </c>
      <c r="D70" s="5" t="s">
        <v>64</v>
      </c>
      <c r="E70" s="5" t="s">
        <v>708</v>
      </c>
      <c r="F70" s="5" t="s">
        <v>64</v>
      </c>
      <c r="G70" s="5" t="s">
        <v>708</v>
      </c>
      <c r="H70" s="5" t="s">
        <v>784</v>
      </c>
    </row>
    <row r="71" spans="1:8" ht="13.5" customHeight="1" x14ac:dyDescent="0.35">
      <c r="A71">
        <v>70</v>
      </c>
      <c r="B71" s="2" t="s">
        <v>410</v>
      </c>
      <c r="C71" s="2" t="s">
        <v>411</v>
      </c>
      <c r="D71" s="5" t="s">
        <v>36</v>
      </c>
      <c r="E71" s="5" t="s">
        <v>36</v>
      </c>
      <c r="F71" s="5" t="s">
        <v>708</v>
      </c>
      <c r="G71" s="5" t="s">
        <v>708</v>
      </c>
      <c r="H71" s="5" t="s">
        <v>784</v>
      </c>
    </row>
    <row r="72" spans="1:8" ht="13.5" customHeight="1" x14ac:dyDescent="0.35">
      <c r="A72">
        <v>71</v>
      </c>
      <c r="B72" s="2" t="s">
        <v>415</v>
      </c>
      <c r="C72" s="2" t="s">
        <v>416</v>
      </c>
      <c r="D72" s="5" t="s">
        <v>36</v>
      </c>
      <c r="E72" s="5" t="s">
        <v>36</v>
      </c>
      <c r="F72" s="5" t="s">
        <v>36</v>
      </c>
      <c r="G72" s="5" t="s">
        <v>36</v>
      </c>
      <c r="H72" s="5" t="s">
        <v>785</v>
      </c>
    </row>
    <row r="73" spans="1:8" ht="13.5" customHeight="1" x14ac:dyDescent="0.35">
      <c r="A73">
        <v>72</v>
      </c>
      <c r="B73" s="2" t="s">
        <v>389</v>
      </c>
      <c r="C73" s="2" t="s">
        <v>390</v>
      </c>
      <c r="D73" s="5" t="s">
        <v>64</v>
      </c>
      <c r="E73" s="5" t="s">
        <v>36</v>
      </c>
      <c r="F73" s="5" t="s">
        <v>708</v>
      </c>
      <c r="G73" s="5" t="s">
        <v>708</v>
      </c>
      <c r="H73" s="5" t="s">
        <v>785</v>
      </c>
    </row>
    <row r="74" spans="1:8" ht="13.5" customHeight="1" x14ac:dyDescent="0.35">
      <c r="A74">
        <v>73</v>
      </c>
      <c r="B74" s="2" t="s">
        <v>435</v>
      </c>
      <c r="C74" s="2" t="s">
        <v>436</v>
      </c>
      <c r="D74" s="5" t="s">
        <v>36</v>
      </c>
      <c r="E74" s="5" t="s">
        <v>36</v>
      </c>
      <c r="F74" s="5" t="s">
        <v>708</v>
      </c>
      <c r="G74" s="5" t="s">
        <v>708</v>
      </c>
      <c r="H74" s="5" t="s">
        <v>785</v>
      </c>
    </row>
    <row r="75" spans="1:8" ht="13.5" customHeight="1" x14ac:dyDescent="0.35">
      <c r="A75">
        <v>74</v>
      </c>
      <c r="B75" s="2" t="s">
        <v>445</v>
      </c>
      <c r="C75" s="2" t="s">
        <v>446</v>
      </c>
      <c r="D75" s="5" t="s">
        <v>36</v>
      </c>
      <c r="E75" s="5" t="s">
        <v>36</v>
      </c>
      <c r="F75" s="5" t="s">
        <v>708</v>
      </c>
      <c r="G75" s="5" t="s">
        <v>708</v>
      </c>
      <c r="H75" s="5" t="s">
        <v>785</v>
      </c>
    </row>
    <row r="76" spans="1:8" ht="13.5" customHeight="1" x14ac:dyDescent="0.35">
      <c r="A76">
        <v>75</v>
      </c>
      <c r="B76" s="2" t="s">
        <v>420</v>
      </c>
      <c r="C76" s="2" t="s">
        <v>421</v>
      </c>
      <c r="D76" s="5" t="s">
        <v>64</v>
      </c>
      <c r="E76" s="5" t="s">
        <v>708</v>
      </c>
      <c r="F76" s="5" t="s">
        <v>64</v>
      </c>
      <c r="G76" s="5" t="s">
        <v>64</v>
      </c>
      <c r="H76" s="5" t="s">
        <v>785</v>
      </c>
    </row>
    <row r="77" spans="1:8" ht="13.5" customHeight="1" x14ac:dyDescent="0.35">
      <c r="A77">
        <v>76</v>
      </c>
      <c r="B77" s="2" t="s">
        <v>425</v>
      </c>
      <c r="C77" s="2" t="s">
        <v>426</v>
      </c>
      <c r="D77" s="5" t="s">
        <v>708</v>
      </c>
      <c r="E77" s="5" t="s">
        <v>36</v>
      </c>
      <c r="F77" s="5" t="s">
        <v>64</v>
      </c>
      <c r="G77" s="5" t="s">
        <v>64</v>
      </c>
      <c r="H77" s="5" t="s">
        <v>785</v>
      </c>
    </row>
    <row r="78" spans="1:8" ht="13.5" customHeight="1" x14ac:dyDescent="0.35">
      <c r="A78">
        <v>77</v>
      </c>
      <c r="B78" s="2" t="s">
        <v>430</v>
      </c>
      <c r="C78" s="2" t="s">
        <v>431</v>
      </c>
      <c r="D78" s="5" t="s">
        <v>708</v>
      </c>
      <c r="E78" s="5" t="s">
        <v>36</v>
      </c>
      <c r="F78" s="5" t="s">
        <v>64</v>
      </c>
      <c r="G78" s="5" t="s">
        <v>64</v>
      </c>
      <c r="H78" s="5" t="s">
        <v>785</v>
      </c>
    </row>
    <row r="79" spans="1:8" ht="13.5" customHeight="1" x14ac:dyDescent="0.35">
      <c r="A79">
        <v>78</v>
      </c>
      <c r="B79" s="2" t="s">
        <v>440</v>
      </c>
      <c r="C79" s="2" t="s">
        <v>441</v>
      </c>
      <c r="D79" s="5" t="s">
        <v>64</v>
      </c>
      <c r="E79" s="5" t="s">
        <v>708</v>
      </c>
      <c r="F79" s="5" t="s">
        <v>708</v>
      </c>
      <c r="G79" s="5" t="s">
        <v>708</v>
      </c>
      <c r="H79" s="5" t="s">
        <v>785</v>
      </c>
    </row>
    <row r="80" spans="1:8" ht="13.5" customHeight="1" x14ac:dyDescent="0.35">
      <c r="A80">
        <v>79</v>
      </c>
      <c r="B80" s="2" t="s">
        <v>450</v>
      </c>
      <c r="C80" s="2" t="s">
        <v>451</v>
      </c>
      <c r="D80" s="5" t="s">
        <v>64</v>
      </c>
      <c r="E80" s="5" t="s">
        <v>708</v>
      </c>
      <c r="F80" s="5" t="s">
        <v>36</v>
      </c>
      <c r="G80" s="5" t="s">
        <v>36</v>
      </c>
      <c r="H80" s="5" t="s">
        <v>785</v>
      </c>
    </row>
    <row r="81" spans="1:8" ht="13.5" customHeight="1" x14ac:dyDescent="0.35">
      <c r="A81">
        <v>80</v>
      </c>
      <c r="B81" s="2" t="s">
        <v>455</v>
      </c>
      <c r="C81" s="2" t="s">
        <v>456</v>
      </c>
      <c r="D81" s="5" t="s">
        <v>64</v>
      </c>
      <c r="E81" s="5" t="s">
        <v>708</v>
      </c>
      <c r="F81" s="5" t="s">
        <v>64</v>
      </c>
      <c r="G81" s="5" t="s">
        <v>708</v>
      </c>
      <c r="H81" s="5" t="s">
        <v>785</v>
      </c>
    </row>
    <row r="82" spans="1:8" ht="13.5" customHeight="1" x14ac:dyDescent="0.35">
      <c r="A82">
        <v>81</v>
      </c>
      <c r="B82" s="2" t="s">
        <v>460</v>
      </c>
      <c r="C82" s="2" t="s">
        <v>461</v>
      </c>
      <c r="D82" s="5" t="s">
        <v>36</v>
      </c>
      <c r="E82" s="5" t="s">
        <v>36</v>
      </c>
      <c r="F82" s="5" t="s">
        <v>708</v>
      </c>
      <c r="G82" s="5" t="s">
        <v>708</v>
      </c>
      <c r="H82" s="5" t="s">
        <v>782</v>
      </c>
    </row>
    <row r="83" spans="1:8" ht="13.5" customHeight="1" x14ac:dyDescent="0.35">
      <c r="A83">
        <v>82</v>
      </c>
      <c r="B83" s="2" t="s">
        <v>470</v>
      </c>
      <c r="C83" s="2" t="s">
        <v>471</v>
      </c>
      <c r="D83" s="5" t="s">
        <v>64</v>
      </c>
      <c r="E83" s="5" t="s">
        <v>708</v>
      </c>
      <c r="F83" s="5" t="s">
        <v>708</v>
      </c>
      <c r="G83" s="5" t="s">
        <v>708</v>
      </c>
      <c r="H83" s="5" t="s">
        <v>782</v>
      </c>
    </row>
    <row r="84" spans="1:8" ht="13.5" customHeight="1" x14ac:dyDescent="0.35">
      <c r="A84">
        <v>83</v>
      </c>
      <c r="B84" s="2" t="s">
        <v>465</v>
      </c>
      <c r="C84" s="2" t="s">
        <v>466</v>
      </c>
      <c r="D84" s="5" t="s">
        <v>36</v>
      </c>
      <c r="E84" s="5" t="s">
        <v>36</v>
      </c>
      <c r="F84" s="5" t="s">
        <v>36</v>
      </c>
      <c r="G84" s="5" t="s">
        <v>36</v>
      </c>
      <c r="H84" s="5" t="s">
        <v>782</v>
      </c>
    </row>
    <row r="85" spans="1:8" ht="13.5" customHeight="1" x14ac:dyDescent="0.35">
      <c r="A85">
        <v>84</v>
      </c>
      <c r="B85" s="2" t="s">
        <v>527</v>
      </c>
      <c r="C85" s="2" t="s">
        <v>528</v>
      </c>
      <c r="D85" s="5" t="s">
        <v>36</v>
      </c>
      <c r="E85" s="5" t="s">
        <v>36</v>
      </c>
      <c r="F85" s="5" t="s">
        <v>708</v>
      </c>
      <c r="G85" s="5" t="s">
        <v>708</v>
      </c>
      <c r="H85" s="5" t="s">
        <v>782</v>
      </c>
    </row>
    <row r="86" spans="1:8" ht="13.5" customHeight="1" x14ac:dyDescent="0.35">
      <c r="A86">
        <v>85</v>
      </c>
      <c r="B86" s="2" t="s">
        <v>495</v>
      </c>
      <c r="C86" s="2" t="s">
        <v>496</v>
      </c>
      <c r="D86" s="5" t="s">
        <v>36</v>
      </c>
      <c r="E86" s="5" t="s">
        <v>36</v>
      </c>
      <c r="F86" s="5" t="s">
        <v>36</v>
      </c>
      <c r="G86" s="5" t="s">
        <v>36</v>
      </c>
      <c r="H86" s="5" t="s">
        <v>782</v>
      </c>
    </row>
    <row r="87" spans="1:8" ht="13.5" customHeight="1" x14ac:dyDescent="0.35">
      <c r="A87">
        <v>86</v>
      </c>
      <c r="B87" s="2" t="s">
        <v>490</v>
      </c>
      <c r="C87" s="2" t="s">
        <v>491</v>
      </c>
      <c r="D87" s="5" t="s">
        <v>36</v>
      </c>
      <c r="E87" s="5" t="s">
        <v>36</v>
      </c>
      <c r="F87" s="5" t="s">
        <v>36</v>
      </c>
      <c r="G87" s="5" t="s">
        <v>36</v>
      </c>
      <c r="H87" s="5" t="s">
        <v>782</v>
      </c>
    </row>
    <row r="88" spans="1:8" ht="13.5" customHeight="1" x14ac:dyDescent="0.35">
      <c r="A88">
        <v>87</v>
      </c>
      <c r="B88" s="2" t="s">
        <v>506</v>
      </c>
      <c r="C88" s="2" t="s">
        <v>507</v>
      </c>
      <c r="D88" s="5" t="s">
        <v>708</v>
      </c>
      <c r="E88" s="5" t="s">
        <v>36</v>
      </c>
      <c r="F88" s="5" t="s">
        <v>708</v>
      </c>
      <c r="G88" s="5" t="s">
        <v>708</v>
      </c>
      <c r="H88" s="5" t="s">
        <v>782</v>
      </c>
    </row>
    <row r="89" spans="1:8" ht="13.5" customHeight="1" x14ac:dyDescent="0.35">
      <c r="A89">
        <v>88</v>
      </c>
      <c r="B89" s="2" t="s">
        <v>475</v>
      </c>
      <c r="C89" s="2" t="s">
        <v>476</v>
      </c>
      <c r="D89" s="5" t="s">
        <v>64</v>
      </c>
      <c r="E89" s="5" t="s">
        <v>36</v>
      </c>
      <c r="F89" s="5" t="s">
        <v>64</v>
      </c>
      <c r="G89" s="5" t="s">
        <v>708</v>
      </c>
      <c r="H89" s="5" t="s">
        <v>782</v>
      </c>
    </row>
    <row r="90" spans="1:8" ht="13.5" customHeight="1" x14ac:dyDescent="0.35">
      <c r="A90">
        <v>89</v>
      </c>
      <c r="B90" s="2" t="s">
        <v>544</v>
      </c>
      <c r="C90" s="2" t="s">
        <v>545</v>
      </c>
      <c r="D90" s="5" t="s">
        <v>708</v>
      </c>
      <c r="E90" s="5" t="s">
        <v>36</v>
      </c>
      <c r="F90" s="5" t="s">
        <v>36</v>
      </c>
      <c r="G90" s="5" t="s">
        <v>36</v>
      </c>
      <c r="H90" s="5" t="s">
        <v>782</v>
      </c>
    </row>
    <row r="91" spans="1:8" ht="13.5" customHeight="1" x14ac:dyDescent="0.35">
      <c r="A91">
        <v>90</v>
      </c>
      <c r="B91" s="2" t="s">
        <v>522</v>
      </c>
      <c r="C91" s="2" t="s">
        <v>523</v>
      </c>
      <c r="D91" s="5" t="s">
        <v>708</v>
      </c>
      <c r="E91" s="5" t="s">
        <v>36</v>
      </c>
      <c r="F91" s="5" t="s">
        <v>36</v>
      </c>
      <c r="G91" s="5" t="s">
        <v>36</v>
      </c>
      <c r="H91" s="5" t="s">
        <v>782</v>
      </c>
    </row>
    <row r="92" spans="1:8" ht="13.5" customHeight="1" x14ac:dyDescent="0.35">
      <c r="A92">
        <v>91</v>
      </c>
      <c r="B92" s="2" t="s">
        <v>480</v>
      </c>
      <c r="C92" s="2" t="s">
        <v>481</v>
      </c>
      <c r="D92" s="5" t="s">
        <v>64</v>
      </c>
      <c r="E92" s="5" t="s">
        <v>36</v>
      </c>
      <c r="F92" s="5" t="s">
        <v>708</v>
      </c>
      <c r="G92" s="5" t="s">
        <v>708</v>
      </c>
      <c r="H92" s="5" t="s">
        <v>782</v>
      </c>
    </row>
    <row r="93" spans="1:8" ht="13.5" customHeight="1" x14ac:dyDescent="0.35">
      <c r="A93">
        <v>92</v>
      </c>
      <c r="B93" s="2" t="s">
        <v>485</v>
      </c>
      <c r="C93" s="2" t="s">
        <v>486</v>
      </c>
      <c r="D93" s="5" t="s">
        <v>36</v>
      </c>
      <c r="E93" s="5" t="s">
        <v>36</v>
      </c>
      <c r="F93" s="5" t="s">
        <v>708</v>
      </c>
      <c r="G93" s="5" t="s">
        <v>708</v>
      </c>
      <c r="H93" s="5" t="s">
        <v>782</v>
      </c>
    </row>
    <row r="94" spans="1:8" ht="13.5" customHeight="1" x14ac:dyDescent="0.35">
      <c r="A94">
        <v>93</v>
      </c>
      <c r="B94" s="2" t="s">
        <v>534</v>
      </c>
      <c r="C94" s="2" t="s">
        <v>535</v>
      </c>
      <c r="D94" s="5" t="s">
        <v>36</v>
      </c>
      <c r="E94" s="5" t="s">
        <v>36</v>
      </c>
      <c r="F94" s="5" t="s">
        <v>36</v>
      </c>
      <c r="G94" s="5" t="s">
        <v>36</v>
      </c>
      <c r="H94" s="5" t="s">
        <v>782</v>
      </c>
    </row>
    <row r="95" spans="1:8" ht="13.5" customHeight="1" x14ac:dyDescent="0.35">
      <c r="A95">
        <v>94</v>
      </c>
      <c r="B95" s="2" t="s">
        <v>511</v>
      </c>
      <c r="C95" s="2" t="s">
        <v>512</v>
      </c>
      <c r="D95" s="5" t="s">
        <v>36</v>
      </c>
      <c r="E95" s="5" t="s">
        <v>36</v>
      </c>
      <c r="F95" s="5" t="s">
        <v>36</v>
      </c>
      <c r="G95" s="5" t="s">
        <v>36</v>
      </c>
      <c r="H95" s="5" t="s">
        <v>782</v>
      </c>
    </row>
    <row r="96" spans="1:8" ht="13.5" customHeight="1" x14ac:dyDescent="0.35">
      <c r="A96">
        <v>95</v>
      </c>
      <c r="B96" s="2" t="s">
        <v>554</v>
      </c>
      <c r="C96" s="2" t="s">
        <v>555</v>
      </c>
      <c r="D96" s="5" t="s">
        <v>36</v>
      </c>
      <c r="E96" s="5" t="s">
        <v>36</v>
      </c>
      <c r="F96" s="5" t="s">
        <v>36</v>
      </c>
      <c r="G96" s="5" t="s">
        <v>36</v>
      </c>
      <c r="H96" s="5" t="s">
        <v>782</v>
      </c>
    </row>
    <row r="97" spans="1:8" ht="13.5" customHeight="1" x14ac:dyDescent="0.35">
      <c r="A97">
        <v>96</v>
      </c>
      <c r="B97" s="2" t="s">
        <v>501</v>
      </c>
      <c r="C97" s="2" t="s">
        <v>502</v>
      </c>
      <c r="D97" s="5" t="s">
        <v>36</v>
      </c>
      <c r="E97" s="5" t="s">
        <v>36</v>
      </c>
      <c r="F97" s="5" t="s">
        <v>708</v>
      </c>
      <c r="G97" s="5" t="s">
        <v>708</v>
      </c>
      <c r="H97" s="5" t="s">
        <v>782</v>
      </c>
    </row>
    <row r="98" spans="1:8" ht="13.5" customHeight="1" x14ac:dyDescent="0.35">
      <c r="A98">
        <v>97</v>
      </c>
      <c r="B98" s="2" t="s">
        <v>559</v>
      </c>
      <c r="C98" s="2" t="s">
        <v>560</v>
      </c>
      <c r="D98" s="5" t="s">
        <v>64</v>
      </c>
      <c r="E98" s="5" t="s">
        <v>36</v>
      </c>
      <c r="F98" s="5" t="s">
        <v>64</v>
      </c>
      <c r="G98" s="5" t="s">
        <v>708</v>
      </c>
      <c r="H98" s="5" t="s">
        <v>782</v>
      </c>
    </row>
    <row r="99" spans="1:8" ht="13.5" customHeight="1" x14ac:dyDescent="0.35">
      <c r="A99">
        <v>98</v>
      </c>
      <c r="B99" s="2" t="s">
        <v>516</v>
      </c>
      <c r="C99" s="2" t="s">
        <v>517</v>
      </c>
      <c r="D99" s="5" t="s">
        <v>708</v>
      </c>
      <c r="E99" s="5" t="s">
        <v>36</v>
      </c>
      <c r="F99" s="5" t="s">
        <v>708</v>
      </c>
      <c r="G99" s="5" t="s">
        <v>708</v>
      </c>
      <c r="H99" s="5" t="s">
        <v>782</v>
      </c>
    </row>
    <row r="100" spans="1:8" ht="13.5" customHeight="1" x14ac:dyDescent="0.35">
      <c r="A100">
        <v>99</v>
      </c>
      <c r="B100" s="2" t="s">
        <v>539</v>
      </c>
      <c r="C100" s="2" t="s">
        <v>540</v>
      </c>
      <c r="D100" s="5" t="s">
        <v>708</v>
      </c>
      <c r="E100" s="5" t="s">
        <v>36</v>
      </c>
      <c r="F100" s="5" t="s">
        <v>36</v>
      </c>
      <c r="G100" s="5" t="s">
        <v>36</v>
      </c>
      <c r="H100" s="5" t="s">
        <v>782</v>
      </c>
    </row>
    <row r="101" spans="1:8" ht="13.5" customHeight="1" x14ac:dyDescent="0.35">
      <c r="A101">
        <v>100</v>
      </c>
      <c r="B101" s="2" t="s">
        <v>549</v>
      </c>
      <c r="C101" s="2" t="s">
        <v>550</v>
      </c>
      <c r="D101" s="5" t="s">
        <v>64</v>
      </c>
      <c r="E101" s="5" t="s">
        <v>708</v>
      </c>
      <c r="F101" s="5" t="s">
        <v>708</v>
      </c>
      <c r="G101" s="5" t="s">
        <v>708</v>
      </c>
      <c r="H101" s="5" t="s">
        <v>782</v>
      </c>
    </row>
    <row r="102" spans="1:8" ht="13.5" customHeight="1" x14ac:dyDescent="0.35">
      <c r="A102">
        <v>101</v>
      </c>
      <c r="B102" s="2" t="s">
        <v>574</v>
      </c>
      <c r="C102" s="2" t="s">
        <v>575</v>
      </c>
      <c r="D102" s="5" t="s">
        <v>64</v>
      </c>
      <c r="E102" s="5" t="s">
        <v>708</v>
      </c>
      <c r="F102" s="5" t="s">
        <v>36</v>
      </c>
      <c r="G102" s="5" t="s">
        <v>36</v>
      </c>
      <c r="H102" s="5" t="s">
        <v>782</v>
      </c>
    </row>
    <row r="103" spans="1:8" ht="13.5" customHeight="1" x14ac:dyDescent="0.35">
      <c r="A103">
        <v>102</v>
      </c>
      <c r="B103" s="2" t="s">
        <v>569</v>
      </c>
      <c r="C103" s="2" t="s">
        <v>570</v>
      </c>
      <c r="D103" s="5" t="s">
        <v>64</v>
      </c>
      <c r="E103" s="5" t="s">
        <v>708</v>
      </c>
      <c r="F103" s="5" t="s">
        <v>708</v>
      </c>
      <c r="G103" s="5" t="s">
        <v>708</v>
      </c>
      <c r="H103" s="5" t="s">
        <v>782</v>
      </c>
    </row>
    <row r="104" spans="1:8" ht="13.5" customHeight="1" x14ac:dyDescent="0.35">
      <c r="A104">
        <v>103</v>
      </c>
      <c r="B104" s="2" t="s">
        <v>585</v>
      </c>
      <c r="C104" s="2" t="s">
        <v>586</v>
      </c>
      <c r="D104" s="5" t="s">
        <v>36</v>
      </c>
      <c r="E104" s="5" t="s">
        <v>36</v>
      </c>
      <c r="F104" s="5" t="s">
        <v>36</v>
      </c>
      <c r="G104" s="5" t="s">
        <v>36</v>
      </c>
      <c r="H104" s="5" t="s">
        <v>782</v>
      </c>
    </row>
    <row r="105" spans="1:8" ht="13.5" customHeight="1" x14ac:dyDescent="0.35">
      <c r="A105">
        <v>104</v>
      </c>
      <c r="B105" s="2" t="s">
        <v>564</v>
      </c>
      <c r="C105" s="2" t="s">
        <v>565</v>
      </c>
      <c r="D105" s="5" t="s">
        <v>64</v>
      </c>
      <c r="E105" s="5" t="s">
        <v>708</v>
      </c>
      <c r="F105" s="5" t="s">
        <v>36</v>
      </c>
      <c r="G105" s="5" t="s">
        <v>36</v>
      </c>
      <c r="H105" s="5" t="s">
        <v>782</v>
      </c>
    </row>
    <row r="106" spans="1:8" ht="13.5" customHeight="1" x14ac:dyDescent="0.35">
      <c r="A106">
        <v>105</v>
      </c>
      <c r="B106" s="2" t="s">
        <v>579</v>
      </c>
      <c r="C106" s="2" t="s">
        <v>580</v>
      </c>
      <c r="D106" s="5" t="s">
        <v>36</v>
      </c>
      <c r="E106" s="5" t="s">
        <v>36</v>
      </c>
      <c r="F106" s="5" t="s">
        <v>708</v>
      </c>
      <c r="G106" s="5" t="s">
        <v>708</v>
      </c>
      <c r="H106" s="5" t="s">
        <v>782</v>
      </c>
    </row>
    <row r="107" spans="1:8" ht="13.5" customHeight="1" x14ac:dyDescent="0.35">
      <c r="A107">
        <v>106</v>
      </c>
      <c r="B107" s="24" t="s">
        <v>796</v>
      </c>
      <c r="C107" s="24" t="s">
        <v>797</v>
      </c>
      <c r="D107" s="5" t="s">
        <v>64</v>
      </c>
      <c r="E107" s="5" t="s">
        <v>708</v>
      </c>
      <c r="F107" s="5" t="s">
        <v>36</v>
      </c>
      <c r="G107" s="5" t="s">
        <v>36</v>
      </c>
      <c r="H107" s="5" t="s">
        <v>782</v>
      </c>
    </row>
    <row r="108" spans="1:8" ht="13.5" customHeight="1" x14ac:dyDescent="0.35">
      <c r="A108">
        <v>107</v>
      </c>
      <c r="B108" s="24" t="s">
        <v>798</v>
      </c>
      <c r="C108" s="24" t="s">
        <v>799</v>
      </c>
      <c r="D108" s="5" t="s">
        <v>708</v>
      </c>
      <c r="E108" s="5" t="s">
        <v>36</v>
      </c>
      <c r="F108" s="5" t="s">
        <v>36</v>
      </c>
      <c r="G108" s="5" t="s">
        <v>36</v>
      </c>
      <c r="H108" s="5" t="s">
        <v>782</v>
      </c>
    </row>
    <row r="109" spans="1:8" ht="13.5" customHeight="1" x14ac:dyDescent="0.35">
      <c r="A109">
        <v>108</v>
      </c>
      <c r="B109" s="24" t="s">
        <v>800</v>
      </c>
      <c r="C109" s="24" t="s">
        <v>801</v>
      </c>
      <c r="D109" s="5" t="s">
        <v>708</v>
      </c>
      <c r="E109" s="5" t="s">
        <v>36</v>
      </c>
      <c r="F109" s="5" t="s">
        <v>64</v>
      </c>
      <c r="G109" s="5" t="s">
        <v>708</v>
      </c>
      <c r="H109" s="5" t="s">
        <v>782</v>
      </c>
    </row>
    <row r="110" spans="1:8" ht="13.5" customHeight="1" x14ac:dyDescent="0.35">
      <c r="A110">
        <v>109</v>
      </c>
      <c r="B110" s="24" t="s">
        <v>802</v>
      </c>
      <c r="C110" s="24" t="s">
        <v>803</v>
      </c>
      <c r="D110" s="5" t="s">
        <v>708</v>
      </c>
      <c r="E110" s="5" t="s">
        <v>36</v>
      </c>
      <c r="F110" s="5" t="s">
        <v>708</v>
      </c>
      <c r="G110" s="5" t="s">
        <v>708</v>
      </c>
      <c r="H110" s="5" t="s">
        <v>782</v>
      </c>
    </row>
    <row r="111" spans="1:8" ht="13.5" customHeight="1" x14ac:dyDescent="0.35">
      <c r="A111">
        <v>110</v>
      </c>
      <c r="B111" s="24" t="s">
        <v>804</v>
      </c>
      <c r="C111" s="24" t="s">
        <v>805</v>
      </c>
      <c r="D111" s="5" t="s">
        <v>708</v>
      </c>
      <c r="E111" s="5" t="s">
        <v>36</v>
      </c>
      <c r="F111" s="5" t="s">
        <v>64</v>
      </c>
      <c r="G111" s="5" t="s">
        <v>708</v>
      </c>
      <c r="H111" s="5" t="s">
        <v>782</v>
      </c>
    </row>
    <row r="112" spans="1:8" ht="13.5" customHeight="1" x14ac:dyDescent="0.35">
      <c r="A112">
        <v>111</v>
      </c>
      <c r="B112" s="24" t="s">
        <v>806</v>
      </c>
      <c r="C112" s="24" t="s">
        <v>807</v>
      </c>
      <c r="D112" s="5" t="s">
        <v>36</v>
      </c>
      <c r="E112" s="5" t="s">
        <v>36</v>
      </c>
      <c r="F112" s="5" t="s">
        <v>708</v>
      </c>
      <c r="G112" s="5" t="s">
        <v>708</v>
      </c>
      <c r="H112" s="5" t="s">
        <v>782</v>
      </c>
    </row>
    <row r="113" spans="1:8" ht="13.5" customHeight="1" x14ac:dyDescent="0.35">
      <c r="A113">
        <v>112</v>
      </c>
      <c r="B113" s="24" t="s">
        <v>808</v>
      </c>
      <c r="C113" s="24" t="s">
        <v>809</v>
      </c>
      <c r="D113" s="5" t="s">
        <v>36</v>
      </c>
      <c r="E113" s="5" t="s">
        <v>36</v>
      </c>
      <c r="F113" s="5" t="s">
        <v>64</v>
      </c>
      <c r="G113" s="5" t="s">
        <v>64</v>
      </c>
      <c r="H113" s="5" t="s">
        <v>782</v>
      </c>
    </row>
    <row r="114" spans="1:8" ht="13.5" customHeight="1" x14ac:dyDescent="0.35">
      <c r="A114">
        <v>113</v>
      </c>
      <c r="B114" s="24" t="s">
        <v>810</v>
      </c>
      <c r="C114" s="24" t="s">
        <v>811</v>
      </c>
      <c r="D114" s="5" t="s">
        <v>708</v>
      </c>
      <c r="E114" s="5" t="s">
        <v>36</v>
      </c>
      <c r="F114" s="5" t="s">
        <v>36</v>
      </c>
      <c r="G114" s="5" t="s">
        <v>36</v>
      </c>
      <c r="H114" s="5" t="s">
        <v>782</v>
      </c>
    </row>
    <row r="115" spans="1:8" ht="13.5" customHeight="1" x14ac:dyDescent="0.35">
      <c r="A115">
        <v>114</v>
      </c>
      <c r="B115" s="24" t="s">
        <v>812</v>
      </c>
      <c r="C115" s="24" t="s">
        <v>813</v>
      </c>
      <c r="D115" s="5" t="s">
        <v>36</v>
      </c>
      <c r="E115" s="5" t="s">
        <v>36</v>
      </c>
      <c r="F115" s="5" t="s">
        <v>36</v>
      </c>
      <c r="G115" s="5" t="s">
        <v>36</v>
      </c>
      <c r="H115" s="5" t="s">
        <v>782</v>
      </c>
    </row>
    <row r="116" spans="1:8" ht="13.5" customHeight="1" x14ac:dyDescent="0.35">
      <c r="A116">
        <v>115</v>
      </c>
      <c r="B116" s="24" t="s">
        <v>814</v>
      </c>
      <c r="C116" s="24" t="s">
        <v>815</v>
      </c>
      <c r="D116" s="5" t="s">
        <v>708</v>
      </c>
      <c r="E116" s="5" t="s">
        <v>36</v>
      </c>
      <c r="F116" s="5" t="s">
        <v>708</v>
      </c>
      <c r="G116" s="5" t="s">
        <v>708</v>
      </c>
      <c r="H116" s="5" t="s">
        <v>782</v>
      </c>
    </row>
    <row r="117" spans="1:8" ht="13.5" customHeight="1" x14ac:dyDescent="0.35">
      <c r="A117">
        <v>116</v>
      </c>
      <c r="B117" s="24" t="s">
        <v>816</v>
      </c>
      <c r="C117" s="24" t="s">
        <v>817</v>
      </c>
      <c r="D117" s="5" t="s">
        <v>708</v>
      </c>
      <c r="E117" s="5" t="s">
        <v>36</v>
      </c>
      <c r="F117" s="5" t="s">
        <v>36</v>
      </c>
      <c r="G117" s="5" t="s">
        <v>36</v>
      </c>
      <c r="H117" s="5" t="s">
        <v>782</v>
      </c>
    </row>
    <row r="118" spans="1:8" ht="13.5" customHeight="1" x14ac:dyDescent="0.35">
      <c r="A118">
        <v>117</v>
      </c>
      <c r="B118" s="24" t="s">
        <v>818</v>
      </c>
      <c r="C118" s="24" t="s">
        <v>819</v>
      </c>
      <c r="D118" s="5" t="s">
        <v>708</v>
      </c>
      <c r="E118" s="5" t="s">
        <v>36</v>
      </c>
      <c r="F118" s="5" t="s">
        <v>64</v>
      </c>
      <c r="G118" s="5" t="s">
        <v>64</v>
      </c>
      <c r="H118" s="5" t="s">
        <v>782</v>
      </c>
    </row>
    <row r="119" spans="1:8" ht="13.5" customHeight="1" x14ac:dyDescent="0.35">
      <c r="A119">
        <v>118</v>
      </c>
      <c r="B119" s="24" t="s">
        <v>820</v>
      </c>
      <c r="C119" s="24" t="s">
        <v>821</v>
      </c>
      <c r="D119" s="5" t="s">
        <v>64</v>
      </c>
      <c r="E119" s="5" t="s">
        <v>708</v>
      </c>
      <c r="F119" s="5" t="s">
        <v>64</v>
      </c>
      <c r="G119" s="5" t="s">
        <v>708</v>
      </c>
      <c r="H119" s="5" t="s">
        <v>782</v>
      </c>
    </row>
    <row r="120" spans="1:8" ht="13.5" customHeight="1" x14ac:dyDescent="0.35">
      <c r="A120">
        <v>119</v>
      </c>
      <c r="B120" s="24" t="s">
        <v>822</v>
      </c>
      <c r="C120" s="24" t="s">
        <v>823</v>
      </c>
      <c r="D120" s="5" t="s">
        <v>36</v>
      </c>
      <c r="E120" s="5" t="s">
        <v>36</v>
      </c>
      <c r="F120" s="5" t="s">
        <v>64</v>
      </c>
      <c r="G120" s="5" t="s">
        <v>64</v>
      </c>
      <c r="H120" s="5" t="s">
        <v>782</v>
      </c>
    </row>
    <row r="121" spans="1:8" ht="13.5" customHeight="1" x14ac:dyDescent="0.35">
      <c r="A121">
        <v>120</v>
      </c>
      <c r="B121" s="24" t="s">
        <v>824</v>
      </c>
      <c r="C121" s="24" t="s">
        <v>825</v>
      </c>
      <c r="D121" s="5" t="s">
        <v>64</v>
      </c>
      <c r="E121" s="5" t="s">
        <v>36</v>
      </c>
      <c r="F121" s="5" t="s">
        <v>64</v>
      </c>
      <c r="G121" s="5" t="s">
        <v>64</v>
      </c>
      <c r="H121" s="5" t="s">
        <v>782</v>
      </c>
    </row>
    <row r="122" spans="1:8" ht="13.5" customHeight="1" x14ac:dyDescent="0.35">
      <c r="A122">
        <v>121</v>
      </c>
      <c r="B122" s="24" t="s">
        <v>826</v>
      </c>
      <c r="C122" s="24" t="s">
        <v>827</v>
      </c>
      <c r="D122" s="5" t="s">
        <v>708</v>
      </c>
      <c r="E122" s="5" t="s">
        <v>36</v>
      </c>
      <c r="F122" s="5" t="s">
        <v>36</v>
      </c>
      <c r="G122" s="5" t="s">
        <v>36</v>
      </c>
      <c r="H122" s="5" t="s">
        <v>782</v>
      </c>
    </row>
    <row r="123" spans="1:8" ht="13.5" customHeight="1" x14ac:dyDescent="0.35">
      <c r="A123">
        <v>122</v>
      </c>
      <c r="B123" s="24" t="s">
        <v>828</v>
      </c>
      <c r="C123" s="24" t="s">
        <v>829</v>
      </c>
      <c r="D123" s="5" t="s">
        <v>64</v>
      </c>
      <c r="E123" s="5" t="s">
        <v>708</v>
      </c>
      <c r="F123" s="5" t="s">
        <v>64</v>
      </c>
      <c r="G123" s="5" t="s">
        <v>708</v>
      </c>
      <c r="H123" s="5" t="s">
        <v>782</v>
      </c>
    </row>
    <row r="124" spans="1:8" ht="13.5" customHeight="1" x14ac:dyDescent="0.35">
      <c r="A124">
        <v>123</v>
      </c>
      <c r="B124" s="24" t="s">
        <v>830</v>
      </c>
      <c r="C124" s="24" t="s">
        <v>831</v>
      </c>
      <c r="D124" s="5" t="s">
        <v>64</v>
      </c>
      <c r="E124" s="5" t="s">
        <v>36</v>
      </c>
      <c r="F124" s="5" t="s">
        <v>708</v>
      </c>
      <c r="G124" s="5" t="s">
        <v>708</v>
      </c>
      <c r="H124" s="5" t="s">
        <v>782</v>
      </c>
    </row>
    <row r="125" spans="1:8" ht="13.5" customHeight="1" x14ac:dyDescent="0.35">
      <c r="A125">
        <v>124</v>
      </c>
      <c r="B125" s="24" t="s">
        <v>870</v>
      </c>
      <c r="C125" s="24" t="s">
        <v>871</v>
      </c>
      <c r="D125" s="5" t="s">
        <v>708</v>
      </c>
      <c r="E125" s="5" t="s">
        <v>36</v>
      </c>
      <c r="F125" s="5" t="s">
        <v>36</v>
      </c>
      <c r="G125" s="5" t="s">
        <v>36</v>
      </c>
      <c r="H125" s="5" t="s">
        <v>782</v>
      </c>
    </row>
    <row r="126" spans="1:8" ht="13.5" customHeight="1" x14ac:dyDescent="0.35">
      <c r="A126">
        <v>125</v>
      </c>
      <c r="B126" s="24" t="s">
        <v>834</v>
      </c>
      <c r="C126" s="24" t="s">
        <v>835</v>
      </c>
      <c r="D126" s="5" t="s">
        <v>36</v>
      </c>
      <c r="E126" s="5" t="s">
        <v>36</v>
      </c>
      <c r="F126" s="5" t="s">
        <v>64</v>
      </c>
      <c r="G126" s="5" t="s">
        <v>708</v>
      </c>
      <c r="H126" s="5" t="s">
        <v>782</v>
      </c>
    </row>
    <row r="127" spans="1:8" ht="13.5" customHeight="1" x14ac:dyDescent="0.35">
      <c r="A127">
        <v>126</v>
      </c>
      <c r="B127" s="24" t="s">
        <v>836</v>
      </c>
      <c r="C127" s="24" t="s">
        <v>837</v>
      </c>
      <c r="D127" s="5" t="s">
        <v>36</v>
      </c>
      <c r="E127" s="5" t="s">
        <v>36</v>
      </c>
      <c r="F127" s="5" t="s">
        <v>708</v>
      </c>
      <c r="G127" s="5" t="s">
        <v>708</v>
      </c>
      <c r="H127" s="5" t="s">
        <v>782</v>
      </c>
    </row>
    <row r="128" spans="1:8" ht="13.5" customHeight="1" x14ac:dyDescent="0.35">
      <c r="A128">
        <v>127</v>
      </c>
      <c r="B128" s="24" t="s">
        <v>838</v>
      </c>
      <c r="C128" s="24" t="s">
        <v>839</v>
      </c>
      <c r="D128" s="5" t="s">
        <v>64</v>
      </c>
      <c r="E128" s="5" t="s">
        <v>36</v>
      </c>
      <c r="F128" s="5" t="s">
        <v>708</v>
      </c>
      <c r="G128" s="5" t="s">
        <v>708</v>
      </c>
      <c r="H128" s="5" t="s">
        <v>782</v>
      </c>
    </row>
    <row r="129" spans="1:8" ht="13.5" customHeight="1" x14ac:dyDescent="0.35">
      <c r="A129">
        <v>128</v>
      </c>
      <c r="B129" s="24" t="s">
        <v>840</v>
      </c>
      <c r="C129" s="24" t="s">
        <v>841</v>
      </c>
      <c r="D129" s="5" t="s">
        <v>708</v>
      </c>
      <c r="E129" s="5" t="s">
        <v>36</v>
      </c>
      <c r="F129" s="5" t="s">
        <v>36</v>
      </c>
      <c r="G129" s="5" t="s">
        <v>36</v>
      </c>
      <c r="H129" s="5" t="s">
        <v>782</v>
      </c>
    </row>
    <row r="130" spans="1:8" ht="13.5" customHeight="1" x14ac:dyDescent="0.35">
      <c r="A130">
        <v>129</v>
      </c>
      <c r="B130" s="24" t="s">
        <v>842</v>
      </c>
      <c r="C130" s="24" t="s">
        <v>843</v>
      </c>
      <c r="D130" s="5" t="s">
        <v>708</v>
      </c>
      <c r="E130" s="5" t="s">
        <v>36</v>
      </c>
      <c r="F130" s="5" t="s">
        <v>64</v>
      </c>
      <c r="G130" s="5" t="s">
        <v>708</v>
      </c>
      <c r="H130" s="5" t="s">
        <v>782</v>
      </c>
    </row>
    <row r="131" spans="1:8" ht="13.5" customHeight="1" x14ac:dyDescent="0.35">
      <c r="A131">
        <v>130</v>
      </c>
      <c r="B131" s="24" t="s">
        <v>844</v>
      </c>
      <c r="C131" s="24" t="s">
        <v>851</v>
      </c>
      <c r="D131" s="5" t="s">
        <v>64</v>
      </c>
      <c r="E131" s="5" t="s">
        <v>708</v>
      </c>
      <c r="F131" s="5" t="s">
        <v>708</v>
      </c>
      <c r="G131" s="5" t="s">
        <v>708</v>
      </c>
      <c r="H131" s="5" t="s">
        <v>782</v>
      </c>
    </row>
    <row r="132" spans="1:8" ht="13.5" customHeight="1" x14ac:dyDescent="0.35">
      <c r="A132">
        <v>131</v>
      </c>
      <c r="B132" s="24" t="s">
        <v>845</v>
      </c>
      <c r="C132" s="24" t="s">
        <v>846</v>
      </c>
      <c r="D132" s="5" t="s">
        <v>36</v>
      </c>
      <c r="E132" s="5" t="s">
        <v>36</v>
      </c>
      <c r="F132" s="5" t="s">
        <v>36</v>
      </c>
      <c r="G132" s="5" t="s">
        <v>36</v>
      </c>
      <c r="H132" s="5" t="s">
        <v>782</v>
      </c>
    </row>
    <row r="133" spans="1:8" ht="13.5" customHeight="1" x14ac:dyDescent="0.35">
      <c r="A133">
        <v>132</v>
      </c>
      <c r="B133" s="24" t="s">
        <v>847</v>
      </c>
      <c r="C133" s="24" t="s">
        <v>848</v>
      </c>
      <c r="D133" s="5" t="s">
        <v>708</v>
      </c>
      <c r="E133" s="5" t="s">
        <v>36</v>
      </c>
      <c r="F133" s="5" t="s">
        <v>708</v>
      </c>
      <c r="G133" s="5" t="s">
        <v>708</v>
      </c>
      <c r="H133" s="5" t="s">
        <v>782</v>
      </c>
    </row>
    <row r="134" spans="1:8" ht="13.5" customHeight="1" x14ac:dyDescent="0.35">
      <c r="A134">
        <v>133</v>
      </c>
      <c r="B134" s="24" t="s">
        <v>849</v>
      </c>
      <c r="C134" s="24" t="s">
        <v>850</v>
      </c>
      <c r="D134" s="5" t="s">
        <v>36</v>
      </c>
      <c r="E134" s="5" t="s">
        <v>36</v>
      </c>
      <c r="F134" s="5" t="s">
        <v>36</v>
      </c>
      <c r="G134" s="5" t="s">
        <v>36</v>
      </c>
      <c r="H134" s="5" t="s">
        <v>782</v>
      </c>
    </row>
  </sheetData>
  <phoneticPr fontId="3" type="noConversion"/>
  <dataValidations count="1">
    <dataValidation type="list" allowBlank="1" showInputMessage="1" showErrorMessage="1" sqref="H2:H134" xr:uid="{41A6989A-069E-4859-AE0B-8F71BB8E21EA}">
      <formula1>"rule generation, v0, v1, v2, v3, v4, v5, final test"</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B6AC33-AE50-4EF8-8103-031750CF1B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9</vt:i4>
      </vt:variant>
      <vt:variant>
        <vt:lpstr>טווחים בעלי שם</vt:lpstr>
      </vt:variant>
      <vt:variant>
        <vt:i4>1</vt:i4>
      </vt:variant>
    </vt:vector>
  </HeadingPairs>
  <TitlesOfParts>
    <vt:vector size="10" baseType="lpstr">
      <vt:lpstr>נתונים גולמיים שאלון התנהגות</vt:lpstr>
      <vt:lpstr>133_answers_after_handling_neg</vt:lpstr>
      <vt:lpstr>  והשוואת בדיקת PID</vt:lpstr>
      <vt:lpstr>o</vt:lpstr>
      <vt:lpstr>c</vt:lpstr>
      <vt:lpstr>e</vt:lpstr>
      <vt:lpstr>a</vt:lpstr>
      <vt:lpstr>n</vt:lpstr>
      <vt:lpstr>summary_true_labels_3_classes</vt:lpstr>
      <vt:lpstr>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itaytol09@gmail.com</cp:lastModifiedBy>
  <dcterms:created xsi:type="dcterms:W3CDTF">2025-10-11T10:16:14Z</dcterms:created>
  <dcterms:modified xsi:type="dcterms:W3CDTF">2025-12-21T21:29:18Z</dcterms:modified>
</cp:coreProperties>
</file>